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updateLinks="always" codeName="ЭтаКнига"/>
  <mc:AlternateContent xmlns:mc="http://schemas.openxmlformats.org/markup-compatibility/2006">
    <mc:Choice Requires="x15">
      <x15ac:absPath xmlns:x15ac="http://schemas.microsoft.com/office/spreadsheetml/2010/11/ac" url="\\Nas\Shared Docs\"/>
    </mc:Choice>
  </mc:AlternateContent>
  <xr:revisionPtr revIDLastSave="0" documentId="13_ncr:1_{9F8DBCB1-D9B1-4404-91E4-8E6C15A6BD8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РасчетДокументация" sheetId="7" r:id="rId1"/>
  </sheets>
  <externalReferences>
    <externalReference r:id="rId2"/>
    <externalReference r:id="rId3"/>
    <externalReference r:id="rId4"/>
    <externalReference r:id="rId5"/>
  </externalReferences>
  <definedNames>
    <definedName name="_xlnm._FilterDatabase" localSheetId="0" hidden="1">РасчетДокументация!$A$10:$BA$10</definedName>
    <definedName name="Административные2">[1]ИТОГОВЫЙ!$F$37</definedName>
    <definedName name="АдресОбъекта">[1]ВВОД!$B$18</definedName>
    <definedName name="АдресФактический">[1]ВВОД!$B$29</definedName>
    <definedName name="АдресЮридический">[1]ВВОД!$B$28</definedName>
    <definedName name="Выручка">[1]ИТОГОВЫЙ!$F$43</definedName>
    <definedName name="ДатаДоговора">[1]ВВОД!$B$5</definedName>
    <definedName name="ДолжностьРуководителя">[1]ВВОД!$B$10</definedName>
    <definedName name="ЗаказыТаблМесяц">[2]ЗАКАЗЫ!$B$4:$II$102</definedName>
    <definedName name="ИмяОБЪЕКТАвРЕЕСТР">[1]ВВОД!$B$6</definedName>
    <definedName name="ИНН">[1]ВВОД!$B$30</definedName>
    <definedName name="КассаТаблМесяц">[3]КАССА!$D$8:$Z$37</definedName>
    <definedName name="Материалы">[1]ИТОГОВЫЙ!$F$4</definedName>
    <definedName name="Материалы2">[1]ИТОГОВЫЙ!$F$34</definedName>
    <definedName name="Менеджер">[1]ИТОГОВЫЙ!$F$11</definedName>
    <definedName name="Менеджер2">[1]ИТОГОВЫЙ!$F$40</definedName>
    <definedName name="Название">[1]ВВОД!$B$9</definedName>
    <definedName name="Накладные">[1]ИТОГОВЫЙ!$F$7</definedName>
    <definedName name="Накладные2">[1]ИТОГОВЫЙ!$F$38</definedName>
    <definedName name="НомерДоговора">[1]ВВОД!$B$4</definedName>
    <definedName name="ПравоваяФорма">[1]ВВОД!$B$8</definedName>
    <definedName name="ПредметДоговора">[1]ВВОД!$B$17</definedName>
    <definedName name="ПремияФОТ">[1]ИТОГОВЫЙ!$F$12</definedName>
    <definedName name="ПремияФОТ2">[1]ИТОГОВЫЙ!$F$41</definedName>
    <definedName name="Прибыль">[1]ИТОГОВЫЙ!$F$9</definedName>
    <definedName name="Прибыль2">[1]ИТОГОВЫЙ!$F$44</definedName>
    <definedName name="СотрудникиТаблМесяц">[4]СПРАВОЧНИКИ!$D$4:$P$33</definedName>
    <definedName name="СтоимостьКонтракта">[1]ИТОГОВЫЙ!$F$3</definedName>
    <definedName name="СтоимостьКонтракта2">[1]ИТОГОВЫЙ!$F$33</definedName>
    <definedName name="Услуги">[1]ИТОГОВЫЙ!$F$5</definedName>
    <definedName name="Услуги2">[1]ИТОГОВЫЙ!$F$35</definedName>
    <definedName name="ФИОруководителя">[1]ВВОД!$B$11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507" i="7" l="1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61" i="7"/>
  <c r="A562" i="7"/>
  <c r="A558" i="7"/>
  <c r="A559" i="7"/>
  <c r="A560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468" i="7"/>
  <c r="A2469" i="7"/>
  <c r="A2470" i="7"/>
  <c r="A2471" i="7"/>
  <c r="A2472" i="7"/>
  <c r="A2473" i="7"/>
  <c r="A2474" i="7"/>
  <c r="A2475" i="7"/>
  <c r="A2476" i="7"/>
  <c r="A2477" i="7"/>
  <c r="A2478" i="7"/>
  <c r="A2479" i="7"/>
  <c r="A2480" i="7"/>
  <c r="A2481" i="7"/>
  <c r="A2482" i="7"/>
  <c r="A2483" i="7"/>
  <c r="A2484" i="7"/>
  <c r="A2485" i="7"/>
  <c r="A2486" i="7"/>
  <c r="A2487" i="7"/>
  <c r="A2488" i="7"/>
  <c r="A2489" i="7"/>
  <c r="A2490" i="7"/>
  <c r="A2491" i="7"/>
  <c r="A2492" i="7"/>
  <c r="A2493" i="7"/>
  <c r="A2494" i="7"/>
  <c r="A2495" i="7"/>
  <c r="A2496" i="7"/>
  <c r="A2497" i="7"/>
  <c r="A2498" i="7"/>
  <c r="A2499" i="7"/>
  <c r="A2500" i="7"/>
  <c r="A2501" i="7"/>
  <c r="A2502" i="7"/>
  <c r="A2503" i="7"/>
  <c r="A2504" i="7"/>
  <c r="A2505" i="7"/>
  <c r="A2506" i="7"/>
  <c r="A2507" i="7"/>
  <c r="A2508" i="7"/>
  <c r="A2509" i="7"/>
  <c r="A2510" i="7"/>
  <c r="A2511" i="7"/>
  <c r="A2512" i="7"/>
  <c r="A2513" i="7"/>
  <c r="A2514" i="7"/>
  <c r="A2515" i="7"/>
  <c r="A2516" i="7"/>
  <c r="A2517" i="7"/>
  <c r="A2518" i="7"/>
  <c r="A2519" i="7"/>
  <c r="A2520" i="7"/>
  <c r="A2521" i="7"/>
  <c r="A2522" i="7"/>
  <c r="A2523" i="7"/>
  <c r="A2524" i="7"/>
  <c r="A2525" i="7"/>
  <c r="A2526" i="7"/>
  <c r="A2527" i="7"/>
  <c r="A2528" i="7"/>
  <c r="A2529" i="7"/>
  <c r="A2530" i="7"/>
  <c r="A2531" i="7"/>
  <c r="A2532" i="7"/>
  <c r="A2533" i="7"/>
  <c r="A2534" i="7"/>
  <c r="A2535" i="7"/>
  <c r="A2536" i="7"/>
  <c r="A2537" i="7"/>
  <c r="A2538" i="7"/>
  <c r="A2539" i="7"/>
  <c r="A2540" i="7"/>
  <c r="A2541" i="7"/>
  <c r="A2542" i="7"/>
  <c r="A2543" i="7"/>
  <c r="A2544" i="7"/>
  <c r="A2545" i="7"/>
  <c r="A2546" i="7"/>
  <c r="A2547" i="7"/>
  <c r="A2548" i="7"/>
  <c r="A2549" i="7"/>
  <c r="A2550" i="7"/>
  <c r="A2551" i="7"/>
  <c r="A2552" i="7"/>
  <c r="A2553" i="7"/>
  <c r="A2554" i="7"/>
  <c r="A2555" i="7"/>
  <c r="A2556" i="7"/>
  <c r="A2557" i="7"/>
  <c r="A2558" i="7"/>
  <c r="A2559" i="7"/>
  <c r="A2560" i="7"/>
  <c r="A2561" i="7"/>
  <c r="A2562" i="7"/>
  <c r="A2563" i="7"/>
  <c r="A2564" i="7"/>
  <c r="A2565" i="7"/>
  <c r="A2566" i="7"/>
  <c r="A2567" i="7"/>
  <c r="A2568" i="7"/>
  <c r="A2569" i="7"/>
  <c r="A2570" i="7"/>
  <c r="A2571" i="7"/>
  <c r="A2572" i="7"/>
  <c r="A2573" i="7"/>
  <c r="A2574" i="7"/>
  <c r="A2575" i="7"/>
  <c r="A2576" i="7"/>
  <c r="A2577" i="7"/>
  <c r="A2578" i="7"/>
  <c r="A2579" i="7"/>
  <c r="A2580" i="7"/>
  <c r="A2581" i="7"/>
  <c r="A2582" i="7"/>
  <c r="A2583" i="7"/>
  <c r="A2584" i="7"/>
  <c r="A2585" i="7"/>
  <c r="A2586" i="7"/>
  <c r="A2587" i="7"/>
  <c r="A2588" i="7"/>
  <c r="A2589" i="7"/>
  <c r="A2590" i="7"/>
  <c r="A2591" i="7"/>
  <c r="A2592" i="7"/>
  <c r="A2593" i="7"/>
  <c r="A2594" i="7"/>
  <c r="A2595" i="7"/>
  <c r="A2596" i="7"/>
  <c r="A2597" i="7"/>
  <c r="A2598" i="7"/>
  <c r="A2599" i="7"/>
  <c r="A2600" i="7"/>
  <c r="A2601" i="7"/>
  <c r="A2602" i="7"/>
  <c r="A2603" i="7"/>
  <c r="A2604" i="7"/>
  <c r="A2605" i="7"/>
  <c r="A2606" i="7"/>
  <c r="A2607" i="7"/>
  <c r="A2608" i="7"/>
  <c r="A2609" i="7"/>
  <c r="A2610" i="7"/>
  <c r="A2611" i="7"/>
  <c r="A2612" i="7"/>
  <c r="A2613" i="7"/>
  <c r="A2614" i="7"/>
  <c r="A2615" i="7"/>
  <c r="A2616" i="7"/>
  <c r="A2617" i="7"/>
  <c r="A2618" i="7"/>
  <c r="A2619" i="7"/>
  <c r="A2620" i="7"/>
  <c r="A2621" i="7"/>
  <c r="A2622" i="7"/>
  <c r="A2623" i="7"/>
  <c r="A2624" i="7"/>
  <c r="A2625" i="7"/>
  <c r="A2626" i="7"/>
  <c r="A2627" i="7"/>
  <c r="A2628" i="7"/>
  <c r="A2629" i="7"/>
  <c r="A2630" i="7"/>
  <c r="A2631" i="7"/>
  <c r="A2632" i="7"/>
  <c r="A2633" i="7"/>
  <c r="A2634" i="7"/>
  <c r="A2635" i="7"/>
  <c r="A2636" i="7"/>
  <c r="A2637" i="7"/>
  <c r="A2638" i="7"/>
  <c r="A2639" i="7"/>
  <c r="A2640" i="7"/>
  <c r="A2641" i="7"/>
  <c r="A2642" i="7"/>
  <c r="A2643" i="7"/>
  <c r="A2644" i="7"/>
  <c r="A2645" i="7"/>
  <c r="A2646" i="7"/>
  <c r="A2647" i="7"/>
  <c r="A2648" i="7"/>
  <c r="A2649" i="7"/>
  <c r="A2650" i="7"/>
  <c r="A2651" i="7"/>
  <c r="A2652" i="7"/>
  <c r="A2653" i="7"/>
  <c r="A2654" i="7"/>
  <c r="A2655" i="7"/>
  <c r="A2656" i="7"/>
  <c r="A2657" i="7"/>
  <c r="A2658" i="7"/>
  <c r="A2659" i="7"/>
  <c r="A2660" i="7"/>
  <c r="A2661" i="7"/>
  <c r="A2662" i="7"/>
  <c r="A2663" i="7"/>
  <c r="A2664" i="7"/>
  <c r="A2665" i="7"/>
  <c r="A2666" i="7"/>
  <c r="A2667" i="7"/>
  <c r="A2668" i="7"/>
  <c r="A2669" i="7"/>
  <c r="A2670" i="7"/>
  <c r="A2671" i="7"/>
  <c r="A2672" i="7"/>
  <c r="A2673" i="7"/>
  <c r="A2674" i="7"/>
  <c r="A2675" i="7"/>
  <c r="A2676" i="7"/>
  <c r="A2677" i="7"/>
  <c r="A2678" i="7"/>
  <c r="A2679" i="7"/>
  <c r="A2680" i="7"/>
  <c r="A2681" i="7"/>
  <c r="A2682" i="7"/>
  <c r="A2683" i="7"/>
  <c r="A2684" i="7"/>
  <c r="A2685" i="7"/>
  <c r="A2686" i="7"/>
  <c r="A2687" i="7"/>
  <c r="A2688" i="7"/>
  <c r="A2689" i="7"/>
  <c r="A2690" i="7"/>
  <c r="A2691" i="7"/>
  <c r="A2692" i="7"/>
  <c r="A2693" i="7"/>
  <c r="A2694" i="7"/>
  <c r="A2695" i="7"/>
  <c r="A2696" i="7"/>
  <c r="A2697" i="7"/>
  <c r="A2698" i="7"/>
  <c r="A2699" i="7"/>
  <c r="A2700" i="7"/>
  <c r="A2701" i="7"/>
  <c r="A2702" i="7"/>
  <c r="A2703" i="7"/>
  <c r="A2704" i="7"/>
  <c r="A2705" i="7"/>
  <c r="A2706" i="7"/>
  <c r="A2707" i="7"/>
  <c r="A2708" i="7"/>
  <c r="A2709" i="7"/>
  <c r="A2710" i="7"/>
  <c r="A2711" i="7"/>
  <c r="A2712" i="7"/>
  <c r="A2713" i="7"/>
  <c r="A2714" i="7"/>
  <c r="A2715" i="7"/>
  <c r="A2716" i="7"/>
  <c r="A2717" i="7"/>
  <c r="A2718" i="7"/>
  <c r="A2719" i="7"/>
  <c r="A2720" i="7"/>
  <c r="A2721" i="7"/>
  <c r="A2722" i="7"/>
  <c r="A2723" i="7"/>
  <c r="A2724" i="7"/>
  <c r="A2725" i="7"/>
  <c r="A2726" i="7"/>
  <c r="A2727" i="7"/>
  <c r="A2728" i="7"/>
  <c r="A2729" i="7"/>
  <c r="A2730" i="7"/>
  <c r="A2731" i="7"/>
  <c r="A2732" i="7"/>
  <c r="A2733" i="7"/>
  <c r="A2734" i="7"/>
  <c r="A2735" i="7"/>
  <c r="A2736" i="7"/>
  <c r="A2737" i="7"/>
  <c r="A2738" i="7"/>
  <c r="A2739" i="7"/>
  <c r="A2740" i="7"/>
  <c r="A2741" i="7"/>
  <c r="A2742" i="7"/>
  <c r="A2743" i="7"/>
  <c r="A2744" i="7"/>
  <c r="A2745" i="7"/>
  <c r="A2746" i="7"/>
  <c r="A2747" i="7"/>
  <c r="A2748" i="7"/>
  <c r="A2749" i="7"/>
  <c r="A2750" i="7"/>
  <c r="A2751" i="7"/>
  <c r="A2752" i="7"/>
  <c r="A2753" i="7"/>
  <c r="A2754" i="7"/>
  <c r="A2755" i="7"/>
  <c r="A2756" i="7"/>
  <c r="A2757" i="7"/>
  <c r="A2758" i="7"/>
  <c r="A2759" i="7"/>
  <c r="A2760" i="7"/>
  <c r="A2761" i="7"/>
  <c r="A2762" i="7"/>
  <c r="A2763" i="7"/>
  <c r="A2764" i="7"/>
  <c r="A2765" i="7"/>
  <c r="A2766" i="7"/>
  <c r="A2767" i="7"/>
  <c r="A2768" i="7"/>
  <c r="A2769" i="7"/>
  <c r="A2770" i="7"/>
  <c r="A2771" i="7"/>
  <c r="A2772" i="7"/>
  <c r="A2773" i="7"/>
  <c r="A2774" i="7"/>
  <c r="A2775" i="7"/>
  <c r="A2776" i="7"/>
  <c r="A2777" i="7"/>
  <c r="A2778" i="7"/>
  <c r="A2779" i="7"/>
  <c r="A2780" i="7"/>
  <c r="A2781" i="7"/>
  <c r="A2782" i="7"/>
  <c r="A2783" i="7"/>
  <c r="A2784" i="7"/>
  <c r="A2785" i="7"/>
  <c r="A2786" i="7"/>
  <c r="A2787" i="7"/>
  <c r="A2788" i="7"/>
  <c r="A2789" i="7"/>
  <c r="A2790" i="7"/>
  <c r="A2791" i="7"/>
  <c r="A2792" i="7"/>
  <c r="A2793" i="7"/>
  <c r="A2794" i="7"/>
  <c r="A2795" i="7"/>
  <c r="A2796" i="7"/>
  <c r="A2797" i="7"/>
  <c r="A2798" i="7"/>
  <c r="A2799" i="7"/>
  <c r="A2800" i="7"/>
  <c r="A2801" i="7"/>
  <c r="A2802" i="7"/>
  <c r="A2803" i="7"/>
  <c r="A2804" i="7"/>
  <c r="A2805" i="7"/>
  <c r="A2806" i="7"/>
  <c r="A2807" i="7"/>
  <c r="A2808" i="7"/>
  <c r="A2809" i="7"/>
  <c r="A2810" i="7"/>
  <c r="A2811" i="7"/>
  <c r="A2812" i="7"/>
  <c r="A2813" i="7"/>
  <c r="A2814" i="7"/>
  <c r="A2815" i="7"/>
  <c r="A2816" i="7"/>
  <c r="A2817" i="7"/>
  <c r="A2818" i="7"/>
  <c r="A2819" i="7"/>
  <c r="A2820" i="7"/>
  <c r="A2821" i="7"/>
  <c r="A2822" i="7"/>
  <c r="A2823" i="7"/>
  <c r="A2824" i="7"/>
  <c r="A2825" i="7"/>
  <c r="A2826" i="7"/>
  <c r="A2827" i="7"/>
  <c r="A2828" i="7"/>
  <c r="A2829" i="7"/>
  <c r="A2830" i="7"/>
  <c r="A2831" i="7"/>
  <c r="A2832" i="7"/>
  <c r="A2833" i="7"/>
  <c r="A2834" i="7"/>
  <c r="A2835" i="7"/>
  <c r="A2836" i="7"/>
  <c r="A2837" i="7"/>
  <c r="A2838" i="7"/>
  <c r="A2839" i="7"/>
  <c r="A2840" i="7"/>
  <c r="A2841" i="7"/>
  <c r="A2842" i="7"/>
  <c r="A2843" i="7"/>
  <c r="A2844" i="7"/>
  <c r="A2845" i="7"/>
  <c r="A2846" i="7"/>
  <c r="A2847" i="7"/>
  <c r="A2848" i="7"/>
  <c r="A2849" i="7"/>
  <c r="A2850" i="7"/>
  <c r="A2851" i="7"/>
  <c r="A2852" i="7"/>
  <c r="A2853" i="7"/>
  <c r="A2854" i="7"/>
  <c r="A2855" i="7"/>
  <c r="A2856" i="7"/>
  <c r="A2857" i="7"/>
  <c r="A2858" i="7"/>
  <c r="A2859" i="7"/>
  <c r="A2860" i="7"/>
  <c r="A2861" i="7"/>
  <c r="A2862" i="7"/>
  <c r="A2863" i="7"/>
  <c r="A2864" i="7"/>
  <c r="A2865" i="7"/>
  <c r="A2866" i="7"/>
  <c r="A2867" i="7"/>
  <c r="A2868" i="7"/>
  <c r="A2869" i="7"/>
  <c r="A2870" i="7"/>
  <c r="A2871" i="7"/>
  <c r="A2872" i="7"/>
  <c r="A2873" i="7"/>
  <c r="A2874" i="7"/>
  <c r="A2875" i="7"/>
  <c r="A2876" i="7"/>
  <c r="A2877" i="7"/>
  <c r="A2878" i="7"/>
  <c r="A2879" i="7"/>
  <c r="A2880" i="7"/>
  <c r="A2881" i="7"/>
  <c r="A2882" i="7"/>
  <c r="A2883" i="7"/>
  <c r="A2884" i="7"/>
  <c r="A2885" i="7"/>
  <c r="A2886" i="7"/>
  <c r="A2887" i="7"/>
  <c r="A2888" i="7"/>
  <c r="A2889" i="7"/>
  <c r="A2890" i="7"/>
  <c r="A2891" i="7"/>
  <c r="A2892" i="7"/>
  <c r="A2893" i="7"/>
  <c r="A2894" i="7"/>
  <c r="A2895" i="7"/>
  <c r="A2896" i="7"/>
  <c r="A2897" i="7"/>
  <c r="A2898" i="7"/>
  <c r="A2899" i="7"/>
  <c r="A2900" i="7"/>
  <c r="A2901" i="7"/>
  <c r="A2902" i="7"/>
  <c r="A2903" i="7"/>
  <c r="A2904" i="7"/>
  <c r="A2905" i="7"/>
  <c r="A2906" i="7"/>
  <c r="A2907" i="7"/>
  <c r="A2908" i="7"/>
  <c r="A2909" i="7"/>
  <c r="A2910" i="7"/>
  <c r="A2911" i="7"/>
  <c r="A2912" i="7"/>
  <c r="A2913" i="7"/>
  <c r="A2914" i="7"/>
  <c r="A2915" i="7"/>
  <c r="A2916" i="7"/>
  <c r="A2917" i="7"/>
  <c r="A2918" i="7"/>
  <c r="A2919" i="7"/>
  <c r="A2920" i="7"/>
  <c r="A2921" i="7"/>
  <c r="A2922" i="7"/>
  <c r="A2923" i="7"/>
  <c r="A2924" i="7"/>
  <c r="A2925" i="7"/>
  <c r="A2926" i="7"/>
  <c r="A2927" i="7"/>
  <c r="A2928" i="7"/>
  <c r="A2929" i="7"/>
  <c r="A2930" i="7"/>
  <c r="A2931" i="7"/>
  <c r="A2932" i="7"/>
  <c r="A2933" i="7"/>
  <c r="A2934" i="7"/>
  <c r="A2935" i="7"/>
  <c r="A2936" i="7"/>
  <c r="A2937" i="7"/>
  <c r="A2938" i="7"/>
  <c r="A2939" i="7"/>
  <c r="A2940" i="7"/>
  <c r="A2941" i="7"/>
  <c r="A2942" i="7"/>
  <c r="A2943" i="7"/>
  <c r="A2944" i="7"/>
  <c r="A2945" i="7"/>
  <c r="A2946" i="7"/>
  <c r="A2947" i="7"/>
  <c r="A2948" i="7"/>
  <c r="A2949" i="7"/>
  <c r="A2950" i="7"/>
  <c r="A2951" i="7"/>
  <c r="A2952" i="7"/>
  <c r="A2953" i="7"/>
  <c r="A2954" i="7"/>
  <c r="A2955" i="7"/>
  <c r="A2956" i="7"/>
  <c r="A2957" i="7"/>
  <c r="A2958" i="7"/>
  <c r="A2959" i="7"/>
  <c r="A2960" i="7"/>
  <c r="A2961" i="7"/>
  <c r="A2962" i="7"/>
  <c r="A2963" i="7"/>
  <c r="A2964" i="7"/>
  <c r="A2965" i="7"/>
  <c r="A2966" i="7"/>
  <c r="A2967" i="7"/>
  <c r="A2968" i="7"/>
  <c r="A2969" i="7"/>
  <c r="A2970" i="7"/>
  <c r="A2971" i="7"/>
  <c r="A2972" i="7"/>
  <c r="A2973" i="7"/>
  <c r="A2974" i="7"/>
  <c r="A2975" i="7"/>
  <c r="A2976" i="7"/>
  <c r="A2977" i="7"/>
  <c r="A2978" i="7"/>
  <c r="A2979" i="7"/>
  <c r="A2980" i="7"/>
  <c r="A2981" i="7"/>
  <c r="A2982" i="7"/>
  <c r="A2983" i="7"/>
  <c r="A2984" i="7"/>
  <c r="A2985" i="7"/>
  <c r="A2986" i="7"/>
  <c r="A2987" i="7"/>
  <c r="A2988" i="7"/>
  <c r="A2989" i="7"/>
  <c r="A2990" i="7"/>
  <c r="A2991" i="7"/>
  <c r="A2992" i="7"/>
  <c r="A2993" i="7"/>
  <c r="A2994" i="7"/>
  <c r="A2995" i="7"/>
  <c r="A2996" i="7"/>
  <c r="A2997" i="7"/>
  <c r="A2998" i="7"/>
  <c r="A2999" i="7"/>
  <c r="A3000" i="7"/>
  <c r="A3001" i="7"/>
  <c r="A3002" i="7"/>
  <c r="A3003" i="7"/>
  <c r="A3004" i="7"/>
  <c r="A3005" i="7"/>
  <c r="A3006" i="7"/>
  <c r="A3007" i="7"/>
  <c r="A3008" i="7"/>
  <c r="A3009" i="7"/>
  <c r="A3010" i="7"/>
  <c r="A3011" i="7"/>
  <c r="A3012" i="7"/>
  <c r="A3013" i="7"/>
  <c r="A3014" i="7"/>
  <c r="A3015" i="7"/>
  <c r="A3016" i="7"/>
  <c r="A3017" i="7"/>
  <c r="A3018" i="7"/>
  <c r="A3019" i="7"/>
  <c r="A3020" i="7"/>
  <c r="A3021" i="7"/>
  <c r="A3022" i="7"/>
  <c r="A3023" i="7"/>
  <c r="A3024" i="7"/>
  <c r="A3025" i="7"/>
  <c r="A3026" i="7"/>
  <c r="A3027" i="7"/>
  <c r="A3028" i="7"/>
  <c r="A3029" i="7"/>
  <c r="A3030" i="7"/>
  <c r="A3031" i="7"/>
  <c r="A3032" i="7"/>
  <c r="A3033" i="7"/>
  <c r="A3034" i="7"/>
  <c r="A3035" i="7"/>
  <c r="A3036" i="7"/>
  <c r="A3037" i="7"/>
  <c r="A3038" i="7"/>
  <c r="A3039" i="7"/>
  <c r="A3040" i="7"/>
  <c r="A3041" i="7"/>
  <c r="A3042" i="7"/>
  <c r="A3043" i="7"/>
  <c r="A3044" i="7"/>
  <c r="A3045" i="7"/>
  <c r="A3046" i="7"/>
  <c r="A3047" i="7"/>
  <c r="A3048" i="7"/>
  <c r="A3049" i="7"/>
  <c r="A3050" i="7"/>
  <c r="A3051" i="7"/>
  <c r="A3052" i="7"/>
  <c r="A3053" i="7"/>
  <c r="A3054" i="7"/>
  <c r="A3055" i="7"/>
  <c r="A3056" i="7"/>
  <c r="A3057" i="7"/>
  <c r="A3058" i="7"/>
  <c r="A3059" i="7"/>
  <c r="A3060" i="7"/>
  <c r="A3061" i="7"/>
  <c r="A3062" i="7"/>
  <c r="A3063" i="7"/>
  <c r="A3064" i="7"/>
  <c r="A3065" i="7"/>
  <c r="A3066" i="7"/>
  <c r="A3067" i="7"/>
  <c r="A3068" i="7"/>
  <c r="A3069" i="7"/>
  <c r="A3070" i="7"/>
  <c r="A3071" i="7"/>
  <c r="A3072" i="7"/>
  <c r="A3073" i="7"/>
  <c r="A3074" i="7"/>
  <c r="A3075" i="7"/>
  <c r="A3076" i="7"/>
  <c r="A3077" i="7"/>
  <c r="A3078" i="7"/>
  <c r="A3079" i="7"/>
  <c r="A3080" i="7"/>
  <c r="A3081" i="7"/>
  <c r="A3082" i="7"/>
  <c r="A3083" i="7"/>
  <c r="A3084" i="7"/>
  <c r="A3085" i="7"/>
  <c r="A3086" i="7"/>
  <c r="A3087" i="7"/>
  <c r="A3088" i="7"/>
  <c r="A3089" i="7"/>
  <c r="A3090" i="7"/>
  <c r="A3091" i="7"/>
  <c r="A3092" i="7"/>
  <c r="A3093" i="7"/>
  <c r="A3094" i="7"/>
  <c r="A3095" i="7"/>
  <c r="A3096" i="7"/>
  <c r="A3097" i="7"/>
  <c r="A3098" i="7"/>
  <c r="A3099" i="7"/>
  <c r="A3100" i="7"/>
  <c r="A3101" i="7"/>
  <c r="A3102" i="7"/>
  <c r="A3103" i="7"/>
  <c r="A3104" i="7"/>
  <c r="A3105" i="7"/>
  <c r="A3106" i="7"/>
  <c r="A3107" i="7"/>
  <c r="A3108" i="7"/>
  <c r="A3109" i="7"/>
  <c r="A3110" i="7"/>
  <c r="A3111" i="7"/>
  <c r="A3112" i="7"/>
  <c r="A3113" i="7"/>
  <c r="A3114" i="7"/>
  <c r="A3115" i="7"/>
  <c r="A3116" i="7"/>
  <c r="A3117" i="7"/>
  <c r="A3118" i="7"/>
  <c r="A3119" i="7"/>
  <c r="A3120" i="7"/>
  <c r="A3121" i="7"/>
  <c r="A3122" i="7"/>
  <c r="A3123" i="7"/>
  <c r="A3124" i="7"/>
  <c r="A3125" i="7"/>
  <c r="A3126" i="7"/>
  <c r="A3127" i="7"/>
  <c r="A3128" i="7"/>
  <c r="A3129" i="7"/>
  <c r="A3130" i="7"/>
  <c r="A3131" i="7"/>
  <c r="A3132" i="7"/>
  <c r="A3133" i="7"/>
  <c r="A3134" i="7"/>
  <c r="A3135" i="7"/>
  <c r="A3136" i="7"/>
  <c r="A3137" i="7"/>
  <c r="A3138" i="7"/>
  <c r="A3139" i="7"/>
  <c r="A3140" i="7"/>
  <c r="A3141" i="7"/>
  <c r="A3142" i="7"/>
  <c r="A3143" i="7"/>
  <c r="A3144" i="7"/>
  <c r="A3145" i="7"/>
  <c r="A3146" i="7"/>
  <c r="A3147" i="7"/>
  <c r="A3148" i="7"/>
  <c r="A3149" i="7"/>
  <c r="A3150" i="7"/>
  <c r="A3151" i="7"/>
  <c r="A3152" i="7"/>
  <c r="A3153" i="7"/>
  <c r="A3154" i="7"/>
  <c r="A3155" i="7"/>
  <c r="A3156" i="7"/>
  <c r="A3157" i="7"/>
  <c r="A3158" i="7"/>
  <c r="A3159" i="7"/>
  <c r="A3160" i="7"/>
  <c r="A3161" i="7"/>
  <c r="A3162" i="7"/>
  <c r="A3163" i="7"/>
  <c r="A3164" i="7"/>
  <c r="A3165" i="7"/>
  <c r="A3166" i="7"/>
  <c r="A3167" i="7"/>
  <c r="A3168" i="7"/>
  <c r="A3169" i="7"/>
  <c r="A3170" i="7"/>
  <c r="A3171" i="7"/>
  <c r="A3172" i="7"/>
  <c r="A3173" i="7"/>
  <c r="A3174" i="7"/>
  <c r="A3175" i="7"/>
  <c r="A3176" i="7"/>
  <c r="A3177" i="7"/>
  <c r="A3178" i="7"/>
  <c r="A3179" i="7"/>
  <c r="A3180" i="7"/>
  <c r="A3181" i="7"/>
  <c r="A3182" i="7"/>
  <c r="A3183" i="7"/>
  <c r="A3184" i="7"/>
  <c r="A3185" i="7"/>
  <c r="A3186" i="7"/>
  <c r="A3187" i="7"/>
  <c r="A3188" i="7"/>
  <c r="A3189" i="7"/>
  <c r="A3190" i="7"/>
  <c r="A3191" i="7"/>
  <c r="A3192" i="7"/>
  <c r="A3193" i="7"/>
  <c r="A3194" i="7"/>
  <c r="A3195" i="7"/>
  <c r="A3196" i="7"/>
  <c r="A3197" i="7"/>
  <c r="A3198" i="7"/>
  <c r="A3199" i="7"/>
  <c r="A3200" i="7"/>
  <c r="A3201" i="7"/>
  <c r="A3202" i="7"/>
  <c r="A3203" i="7"/>
  <c r="A3204" i="7"/>
  <c r="A3205" i="7"/>
  <c r="A3206" i="7"/>
  <c r="A3207" i="7"/>
  <c r="A3208" i="7"/>
  <c r="A3209" i="7"/>
  <c r="A3210" i="7"/>
  <c r="A3211" i="7"/>
  <c r="A3212" i="7"/>
  <c r="A3213" i="7"/>
  <c r="A3214" i="7"/>
  <c r="A3215" i="7"/>
  <c r="A3216" i="7"/>
  <c r="A3217" i="7"/>
  <c r="A3218" i="7"/>
  <c r="A3219" i="7"/>
  <c r="A3220" i="7"/>
  <c r="A3221" i="7"/>
  <c r="A3222" i="7"/>
  <c r="A3223" i="7"/>
  <c r="A3224" i="7"/>
  <c r="A3225" i="7"/>
  <c r="A3226" i="7"/>
  <c r="A3227" i="7"/>
  <c r="A3228" i="7"/>
  <c r="A3229" i="7"/>
  <c r="A3230" i="7"/>
  <c r="A3231" i="7"/>
  <c r="A3232" i="7"/>
  <c r="A3233" i="7"/>
  <c r="A3234" i="7"/>
  <c r="A3235" i="7"/>
  <c r="A3236" i="7"/>
  <c r="A3237" i="7"/>
  <c r="A3238" i="7"/>
  <c r="A3239" i="7"/>
  <c r="A3240" i="7"/>
  <c r="A3241" i="7"/>
  <c r="A3242" i="7"/>
  <c r="A3243" i="7"/>
  <c r="A3244" i="7"/>
  <c r="A3245" i="7"/>
  <c r="A3246" i="7"/>
  <c r="A3247" i="7"/>
  <c r="A3248" i="7"/>
  <c r="A3249" i="7"/>
  <c r="A3250" i="7"/>
  <c r="A3251" i="7"/>
  <c r="A3252" i="7"/>
  <c r="A3253" i="7"/>
  <c r="A3254" i="7"/>
  <c r="A3255" i="7"/>
  <c r="A3256" i="7"/>
  <c r="A3257" i="7"/>
  <c r="A3258" i="7"/>
  <c r="A3259" i="7"/>
  <c r="A3260" i="7"/>
  <c r="A3261" i="7"/>
  <c r="A3262" i="7"/>
  <c r="A3263" i="7"/>
  <c r="A3264" i="7"/>
  <c r="A3265" i="7"/>
  <c r="A3266" i="7"/>
  <c r="A3267" i="7"/>
  <c r="A3268" i="7"/>
  <c r="A3269" i="7"/>
  <c r="A3270" i="7"/>
  <c r="A3271" i="7"/>
  <c r="A3272" i="7"/>
  <c r="A3273" i="7"/>
  <c r="A3274" i="7"/>
  <c r="A3275" i="7"/>
  <c r="A3276" i="7"/>
  <c r="A3277" i="7"/>
  <c r="A3278" i="7"/>
  <c r="A3279" i="7"/>
  <c r="A3280" i="7"/>
  <c r="A3281" i="7"/>
  <c r="A3282" i="7"/>
  <c r="A3283" i="7"/>
  <c r="A3284" i="7"/>
  <c r="A3285" i="7"/>
  <c r="A3286" i="7"/>
  <c r="A3287" i="7"/>
  <c r="A3288" i="7"/>
  <c r="A3289" i="7"/>
  <c r="A3290" i="7"/>
  <c r="A3291" i="7"/>
  <c r="A3292" i="7"/>
  <c r="A3293" i="7"/>
  <c r="A3294" i="7"/>
  <c r="A3295" i="7"/>
  <c r="A3296" i="7"/>
  <c r="A3297" i="7"/>
  <c r="A3298" i="7"/>
  <c r="A3299" i="7"/>
  <c r="A3300" i="7"/>
  <c r="A3301" i="7"/>
  <c r="A3302" i="7"/>
  <c r="A3303" i="7"/>
  <c r="A3304" i="7"/>
  <c r="A3305" i="7"/>
  <c r="A3306" i="7"/>
  <c r="A3307" i="7"/>
  <c r="A3308" i="7"/>
  <c r="A3309" i="7"/>
  <c r="A3310" i="7"/>
  <c r="A3311" i="7"/>
  <c r="A3312" i="7"/>
  <c r="A3313" i="7"/>
  <c r="A3314" i="7"/>
  <c r="A3315" i="7"/>
  <c r="A3316" i="7"/>
  <c r="A3317" i="7"/>
  <c r="A3318" i="7"/>
  <c r="A3319" i="7"/>
  <c r="A3320" i="7"/>
  <c r="A3321" i="7"/>
  <c r="A3322" i="7"/>
  <c r="A3323" i="7"/>
  <c r="A3324" i="7"/>
  <c r="A3325" i="7"/>
  <c r="A3326" i="7"/>
  <c r="A3327" i="7"/>
  <c r="A3328" i="7"/>
  <c r="A3329" i="7"/>
  <c r="A3330" i="7"/>
  <c r="A3331" i="7"/>
  <c r="A3332" i="7"/>
  <c r="A3333" i="7"/>
  <c r="A3334" i="7"/>
  <c r="A3335" i="7"/>
  <c r="A3336" i="7"/>
  <c r="A3337" i="7"/>
  <c r="A3338" i="7"/>
  <c r="A3339" i="7"/>
  <c r="A3340" i="7"/>
  <c r="A3341" i="7"/>
  <c r="A3342" i="7"/>
  <c r="A3343" i="7"/>
  <c r="A3344" i="7"/>
  <c r="A3345" i="7"/>
  <c r="A3346" i="7"/>
  <c r="A3347" i="7"/>
  <c r="A3348" i="7"/>
  <c r="A3349" i="7"/>
  <c r="A3350" i="7"/>
  <c r="A3351" i="7"/>
  <c r="A3352" i="7"/>
  <c r="A3353" i="7"/>
  <c r="A3354" i="7"/>
  <c r="A3355" i="7"/>
  <c r="A3356" i="7"/>
  <c r="A3357" i="7"/>
  <c r="A3358" i="7"/>
  <c r="A3359" i="7"/>
  <c r="A3360" i="7"/>
  <c r="A3361" i="7"/>
  <c r="A3362" i="7"/>
  <c r="A3363" i="7"/>
  <c r="A3364" i="7"/>
  <c r="A3365" i="7"/>
  <c r="A3366" i="7"/>
  <c r="A3367" i="7"/>
  <c r="A3368" i="7"/>
  <c r="A3369" i="7"/>
  <c r="A3370" i="7"/>
  <c r="A3371" i="7"/>
  <c r="A3372" i="7"/>
  <c r="A3373" i="7"/>
  <c r="A3374" i="7"/>
  <c r="A3375" i="7"/>
  <c r="A3376" i="7"/>
  <c r="A3377" i="7"/>
  <c r="A3378" i="7"/>
  <c r="A3379" i="7"/>
  <c r="A3380" i="7"/>
  <c r="A3381" i="7"/>
  <c r="A3382" i="7"/>
  <c r="A3383" i="7"/>
  <c r="A3384" i="7"/>
  <c r="A3385" i="7"/>
  <c r="A3386" i="7"/>
  <c r="A3387" i="7"/>
  <c r="A3388" i="7"/>
  <c r="A3389" i="7"/>
  <c r="A3390" i="7"/>
  <c r="A3391" i="7"/>
  <c r="A3392" i="7"/>
  <c r="A3393" i="7"/>
  <c r="A3394" i="7"/>
  <c r="A3395" i="7"/>
  <c r="A3396" i="7"/>
  <c r="A3397" i="7"/>
  <c r="A3398" i="7"/>
  <c r="A3399" i="7"/>
  <c r="A3400" i="7"/>
  <c r="A3401" i="7"/>
  <c r="A3402" i="7"/>
  <c r="A3403" i="7"/>
  <c r="A3404" i="7"/>
  <c r="A3405" i="7"/>
  <c r="A3406" i="7"/>
  <c r="A3407" i="7"/>
  <c r="A3408" i="7"/>
  <c r="A3409" i="7"/>
  <c r="A3410" i="7"/>
  <c r="A3411" i="7"/>
  <c r="A3412" i="7"/>
  <c r="A3413" i="7"/>
  <c r="A3414" i="7"/>
  <c r="A3415" i="7"/>
  <c r="A3416" i="7"/>
  <c r="A3417" i="7"/>
  <c r="A3418" i="7"/>
  <c r="A3419" i="7"/>
  <c r="A3420" i="7"/>
  <c r="A3421" i="7"/>
  <c r="A3422" i="7"/>
  <c r="A3423" i="7"/>
  <c r="A3424" i="7"/>
  <c r="A3425" i="7"/>
  <c r="A3426" i="7"/>
  <c r="A3427" i="7"/>
  <c r="A3428" i="7"/>
  <c r="A3429" i="7"/>
  <c r="A3430" i="7"/>
  <c r="A3431" i="7"/>
  <c r="A3432" i="7"/>
  <c r="A3433" i="7"/>
  <c r="A3434" i="7"/>
  <c r="A3435" i="7"/>
  <c r="A3436" i="7"/>
  <c r="A3437" i="7"/>
  <c r="A3438" i="7"/>
  <c r="A3439" i="7"/>
  <c r="A3440" i="7"/>
  <c r="A3441" i="7"/>
  <c r="A3442" i="7"/>
  <c r="A3443" i="7"/>
  <c r="A3444" i="7"/>
  <c r="A3445" i="7"/>
  <c r="A3446" i="7"/>
  <c r="A3447" i="7"/>
  <c r="A3448" i="7"/>
  <c r="A3449" i="7"/>
  <c r="A3450" i="7"/>
  <c r="A3451" i="7"/>
  <c r="A3452" i="7"/>
  <c r="A3453" i="7"/>
  <c r="A3454" i="7"/>
  <c r="A3455" i="7"/>
  <c r="A3456" i="7"/>
  <c r="A3457" i="7"/>
  <c r="A3458" i="7"/>
  <c r="A3459" i="7"/>
  <c r="A3460" i="7"/>
  <c r="A3461" i="7"/>
  <c r="A3462" i="7"/>
  <c r="A3463" i="7"/>
  <c r="A3464" i="7"/>
  <c r="A3465" i="7"/>
  <c r="A3466" i="7"/>
  <c r="A3467" i="7"/>
  <c r="A3468" i="7"/>
  <c r="A3469" i="7"/>
  <c r="A3470" i="7"/>
  <c r="A3471" i="7"/>
  <c r="A3472" i="7"/>
  <c r="A3473" i="7"/>
  <c r="A3474" i="7"/>
  <c r="A3475" i="7"/>
  <c r="A3476" i="7"/>
  <c r="A3477" i="7"/>
  <c r="A3478" i="7"/>
  <c r="A3479" i="7"/>
  <c r="A3480" i="7"/>
  <c r="A3481" i="7"/>
  <c r="A3482" i="7"/>
  <c r="A3483" i="7"/>
  <c r="A3484" i="7"/>
  <c r="A3485" i="7"/>
  <c r="A3486" i="7"/>
  <c r="A3487" i="7"/>
  <c r="A3488" i="7"/>
  <c r="A3489" i="7"/>
  <c r="A3490" i="7"/>
  <c r="A3491" i="7"/>
  <c r="A3492" i="7"/>
  <c r="A3493" i="7"/>
  <c r="A3494" i="7"/>
  <c r="A3495" i="7"/>
  <c r="A3496" i="7"/>
  <c r="A3497" i="7"/>
  <c r="A3498" i="7"/>
  <c r="A3499" i="7"/>
  <c r="A3500" i="7"/>
  <c r="A3501" i="7"/>
  <c r="A3502" i="7"/>
  <c r="A3503" i="7"/>
  <c r="A3504" i="7"/>
  <c r="A3505" i="7"/>
  <c r="A3506" i="7"/>
  <c r="A3507" i="7"/>
  <c r="A3508" i="7"/>
  <c r="A3509" i="7"/>
  <c r="A3510" i="7"/>
  <c r="A3511" i="7"/>
  <c r="A3512" i="7"/>
  <c r="A3513" i="7"/>
  <c r="A3514" i="7"/>
  <c r="A3515" i="7"/>
  <c r="A3516" i="7"/>
  <c r="A3517" i="7"/>
  <c r="A3518" i="7"/>
  <c r="A3519" i="7"/>
  <c r="A3520" i="7"/>
  <c r="A3521" i="7"/>
  <c r="A3522" i="7"/>
  <c r="A3523" i="7"/>
  <c r="A3524" i="7"/>
  <c r="A3525" i="7"/>
  <c r="A3526" i="7"/>
  <c r="A3527" i="7"/>
  <c r="A3528" i="7"/>
  <c r="A3529" i="7"/>
  <c r="A3530" i="7"/>
  <c r="A3531" i="7"/>
  <c r="A3532" i="7"/>
  <c r="A3533" i="7"/>
  <c r="A3534" i="7"/>
  <c r="A3535" i="7"/>
  <c r="A3536" i="7"/>
  <c r="A3537" i="7"/>
  <c r="A3538" i="7"/>
  <c r="A3539" i="7"/>
  <c r="A3540" i="7"/>
  <c r="A3541" i="7"/>
  <c r="A3542" i="7"/>
  <c r="A3543" i="7"/>
  <c r="A3544" i="7"/>
  <c r="A3545" i="7"/>
  <c r="A3546" i="7"/>
  <c r="A3547" i="7"/>
  <c r="A3548" i="7"/>
  <c r="A3549" i="7"/>
  <c r="A3550" i="7"/>
  <c r="A3551" i="7"/>
  <c r="A3552" i="7"/>
  <c r="A3553" i="7"/>
  <c r="A3554" i="7"/>
  <c r="A3555" i="7"/>
  <c r="A3556" i="7"/>
  <c r="A3557" i="7"/>
  <c r="A3558" i="7"/>
  <c r="A3559" i="7"/>
  <c r="A3560" i="7"/>
  <c r="A3561" i="7"/>
  <c r="A3562" i="7"/>
  <c r="A3563" i="7"/>
  <c r="A3564" i="7"/>
  <c r="A3565" i="7"/>
  <c r="A3566" i="7"/>
  <c r="A3567" i="7"/>
  <c r="A3568" i="7"/>
  <c r="A3569" i="7"/>
  <c r="A3570" i="7"/>
  <c r="A3571" i="7"/>
  <c r="A3572" i="7"/>
  <c r="A3573" i="7"/>
  <c r="A3574" i="7"/>
  <c r="A3575" i="7"/>
  <c r="A3576" i="7"/>
  <c r="A3577" i="7"/>
  <c r="A3578" i="7"/>
  <c r="A3579" i="7"/>
  <c r="A3580" i="7"/>
  <c r="A3581" i="7"/>
  <c r="A3582" i="7"/>
  <c r="A3583" i="7"/>
  <c r="A3584" i="7"/>
  <c r="A3585" i="7"/>
  <c r="A3586" i="7"/>
  <c r="A3587" i="7"/>
  <c r="A3588" i="7"/>
  <c r="A3589" i="7"/>
  <c r="A3590" i="7"/>
  <c r="A3591" i="7"/>
  <c r="A3592" i="7"/>
  <c r="A3593" i="7"/>
  <c r="A3594" i="7"/>
  <c r="A3595" i="7"/>
  <c r="A3596" i="7"/>
  <c r="A3597" i="7"/>
  <c r="A3598" i="7"/>
  <c r="A3599" i="7"/>
  <c r="A3600" i="7"/>
  <c r="A3601" i="7"/>
  <c r="A3602" i="7"/>
  <c r="A3603" i="7"/>
  <c r="A3604" i="7"/>
  <c r="A3605" i="7"/>
  <c r="A3606" i="7"/>
  <c r="A3607" i="7"/>
  <c r="A3608" i="7"/>
  <c r="A3609" i="7"/>
  <c r="A3610" i="7"/>
  <c r="A3611" i="7"/>
  <c r="A3612" i="7"/>
  <c r="A3613" i="7"/>
  <c r="A3614" i="7"/>
  <c r="A3615" i="7"/>
  <c r="A3616" i="7"/>
  <c r="A3617" i="7"/>
  <c r="A3618" i="7"/>
  <c r="A3619" i="7"/>
  <c r="A3620" i="7"/>
  <c r="A3621" i="7"/>
  <c r="A3622" i="7"/>
  <c r="A3623" i="7"/>
  <c r="A3624" i="7"/>
  <c r="A3625" i="7"/>
  <c r="A3626" i="7"/>
  <c r="A3627" i="7"/>
  <c r="A3628" i="7"/>
  <c r="A3629" i="7"/>
  <c r="A3630" i="7"/>
  <c r="A3631" i="7"/>
  <c r="A3632" i="7"/>
  <c r="A3633" i="7"/>
  <c r="A3634" i="7"/>
  <c r="A3635" i="7"/>
  <c r="A3636" i="7"/>
  <c r="A3637" i="7"/>
  <c r="A3638" i="7"/>
  <c r="A3639" i="7"/>
  <c r="A3640" i="7"/>
  <c r="A3641" i="7"/>
  <c r="A3642" i="7"/>
  <c r="A3643" i="7"/>
  <c r="A3644" i="7"/>
  <c r="A3645" i="7"/>
  <c r="A3646" i="7"/>
  <c r="A3647" i="7"/>
  <c r="A3648" i="7"/>
  <c r="A3649" i="7"/>
  <c r="A3650" i="7"/>
  <c r="A3651" i="7"/>
  <c r="A3652" i="7"/>
  <c r="A3653" i="7"/>
  <c r="A3654" i="7"/>
  <c r="A3655" i="7"/>
  <c r="A3656" i="7"/>
  <c r="A3657" i="7"/>
  <c r="A3658" i="7"/>
  <c r="A3659" i="7"/>
  <c r="A3660" i="7"/>
  <c r="A3661" i="7"/>
  <c r="A3662" i="7"/>
  <c r="A3663" i="7"/>
  <c r="A3664" i="7"/>
  <c r="A3665" i="7"/>
  <c r="A3666" i="7"/>
  <c r="A3667" i="7"/>
  <c r="A3668" i="7"/>
  <c r="A3669" i="7"/>
  <c r="A3670" i="7"/>
  <c r="A3671" i="7"/>
  <c r="A3672" i="7"/>
  <c r="A3673" i="7"/>
  <c r="A3674" i="7"/>
  <c r="A3675" i="7"/>
  <c r="A3676" i="7"/>
  <c r="A3677" i="7"/>
  <c r="A3678" i="7"/>
  <c r="A3679" i="7"/>
  <c r="A3680" i="7"/>
  <c r="A3681" i="7"/>
  <c r="A3682" i="7"/>
  <c r="A3683" i="7"/>
  <c r="A3684" i="7"/>
  <c r="A3685" i="7"/>
  <c r="A3686" i="7"/>
  <c r="A3687" i="7"/>
  <c r="A3688" i="7"/>
  <c r="A3689" i="7"/>
  <c r="A3690" i="7"/>
  <c r="A3691" i="7"/>
  <c r="A3692" i="7"/>
  <c r="A3693" i="7"/>
  <c r="A3694" i="7"/>
  <c r="A3695" i="7"/>
  <c r="A3696" i="7"/>
  <c r="A3697" i="7"/>
  <c r="A3698" i="7"/>
  <c r="A3699" i="7"/>
  <c r="A3700" i="7"/>
  <c r="A3701" i="7"/>
  <c r="A3702" i="7"/>
  <c r="A3703" i="7"/>
  <c r="A3704" i="7"/>
  <c r="A3705" i="7"/>
  <c r="A3706" i="7"/>
  <c r="A3707" i="7"/>
  <c r="A3708" i="7"/>
  <c r="A3709" i="7"/>
  <c r="A3710" i="7"/>
  <c r="A3711" i="7"/>
  <c r="A3712" i="7"/>
  <c r="A3713" i="7"/>
  <c r="A3714" i="7"/>
  <c r="A3715" i="7"/>
  <c r="A3716" i="7"/>
  <c r="A3717" i="7"/>
  <c r="A3718" i="7"/>
  <c r="A3719" i="7"/>
  <c r="A3720" i="7"/>
  <c r="A3721" i="7"/>
  <c r="A3722" i="7"/>
  <c r="A3723" i="7"/>
  <c r="A3724" i="7"/>
  <c r="A3725" i="7"/>
  <c r="A3726" i="7"/>
  <c r="A3727" i="7"/>
  <c r="A3728" i="7"/>
  <c r="A3729" i="7"/>
  <c r="A3730" i="7"/>
  <c r="A3731" i="7"/>
  <c r="A3732" i="7"/>
  <c r="A3733" i="7"/>
  <c r="A3734" i="7"/>
  <c r="A3735" i="7"/>
  <c r="A3736" i="7"/>
  <c r="A3737" i="7"/>
  <c r="A3738" i="7"/>
  <c r="A3739" i="7"/>
  <c r="A3740" i="7"/>
  <c r="A3741" i="7"/>
  <c r="A3742" i="7"/>
  <c r="A3743" i="7"/>
  <c r="A3744" i="7"/>
  <c r="A3745" i="7"/>
  <c r="A3746" i="7"/>
  <c r="A3747" i="7"/>
  <c r="A3748" i="7"/>
  <c r="A3749" i="7"/>
  <c r="A3750" i="7"/>
  <c r="A3751" i="7"/>
  <c r="A3752" i="7"/>
  <c r="A3753" i="7"/>
  <c r="A3754" i="7"/>
  <c r="A3755" i="7"/>
  <c r="A3756" i="7"/>
  <c r="A3757" i="7"/>
  <c r="A3758" i="7"/>
  <c r="A3759" i="7"/>
  <c r="A3760" i="7"/>
  <c r="A3761" i="7"/>
  <c r="A3762" i="7"/>
  <c r="A3763" i="7"/>
  <c r="A3764" i="7"/>
  <c r="A3765" i="7"/>
  <c r="A3766" i="7"/>
  <c r="A3767" i="7"/>
  <c r="A3768" i="7"/>
  <c r="A3769" i="7"/>
  <c r="A3770" i="7"/>
  <c r="A3771" i="7"/>
  <c r="A3772" i="7"/>
  <c r="A3773" i="7"/>
  <c r="A3774" i="7"/>
  <c r="A3775" i="7"/>
  <c r="A3776" i="7"/>
  <c r="A3777" i="7"/>
  <c r="A3778" i="7"/>
  <c r="A3779" i="7"/>
  <c r="A3780" i="7"/>
  <c r="A3781" i="7"/>
  <c r="A3782" i="7"/>
  <c r="A3783" i="7"/>
  <c r="A3784" i="7"/>
  <c r="A3785" i="7"/>
  <c r="A3786" i="7"/>
  <c r="A3787" i="7"/>
  <c r="A3788" i="7"/>
  <c r="A3789" i="7"/>
  <c r="A3790" i="7"/>
  <c r="A3791" i="7"/>
  <c r="A3792" i="7"/>
  <c r="A3793" i="7"/>
  <c r="A3794" i="7"/>
  <c r="A3795" i="7"/>
  <c r="A3796" i="7"/>
  <c r="A3797" i="7"/>
  <c r="A3798" i="7"/>
  <c r="A3799" i="7"/>
  <c r="A3800" i="7"/>
  <c r="A3801" i="7"/>
  <c r="A3802" i="7"/>
  <c r="A3803" i="7"/>
  <c r="A3804" i="7"/>
  <c r="A3805" i="7"/>
  <c r="A3806" i="7"/>
  <c r="A3807" i="7"/>
  <c r="A3808" i="7"/>
  <c r="A3809" i="7"/>
  <c r="A3810" i="7"/>
  <c r="A3811" i="7"/>
  <c r="A3812" i="7"/>
  <c r="A3813" i="7"/>
  <c r="A3814" i="7"/>
  <c r="A3815" i="7"/>
  <c r="A3816" i="7"/>
  <c r="A3817" i="7"/>
  <c r="A3818" i="7"/>
  <c r="A3819" i="7"/>
  <c r="A3820" i="7"/>
  <c r="A3821" i="7"/>
  <c r="A3822" i="7"/>
  <c r="A3823" i="7"/>
  <c r="A3824" i="7"/>
  <c r="A3825" i="7"/>
  <c r="A3826" i="7"/>
  <c r="A3827" i="7"/>
  <c r="A3828" i="7"/>
  <c r="A3829" i="7"/>
  <c r="A3830" i="7"/>
  <c r="A3831" i="7"/>
  <c r="A3832" i="7"/>
  <c r="A3833" i="7"/>
  <c r="A3834" i="7"/>
  <c r="A3835" i="7"/>
  <c r="A3836" i="7"/>
  <c r="A3837" i="7"/>
  <c r="A3838" i="7"/>
  <c r="A3839" i="7"/>
  <c r="A3840" i="7"/>
  <c r="A3841" i="7"/>
  <c r="A3842" i="7"/>
  <c r="A3843" i="7"/>
  <c r="A3844" i="7"/>
  <c r="A3845" i="7"/>
  <c r="A3846" i="7"/>
  <c r="A3847" i="7"/>
  <c r="A3848" i="7"/>
  <c r="A3849" i="7"/>
  <c r="A3850" i="7"/>
  <c r="A3851" i="7"/>
  <c r="A3852" i="7"/>
  <c r="A3853" i="7"/>
  <c r="A3854" i="7"/>
  <c r="A3855" i="7"/>
  <c r="A3856" i="7"/>
  <c r="A3857" i="7"/>
  <c r="A3858" i="7"/>
  <c r="A3859" i="7"/>
  <c r="A3860" i="7"/>
  <c r="A3861" i="7"/>
  <c r="A3862" i="7"/>
  <c r="A3863" i="7"/>
  <c r="A3864" i="7"/>
  <c r="A3865" i="7"/>
  <c r="A3866" i="7"/>
  <c r="A3867" i="7"/>
  <c r="A3868" i="7"/>
  <c r="A3869" i="7"/>
  <c r="A3870" i="7"/>
  <c r="A3871" i="7"/>
  <c r="A3872" i="7"/>
  <c r="A3873" i="7"/>
  <c r="A3874" i="7"/>
  <c r="A3875" i="7"/>
  <c r="A3876" i="7"/>
  <c r="A3877" i="7"/>
  <c r="A3878" i="7"/>
  <c r="A3879" i="7"/>
  <c r="A3880" i="7"/>
  <c r="A3881" i="7"/>
  <c r="A3882" i="7"/>
  <c r="A3883" i="7"/>
  <c r="A3884" i="7"/>
  <c r="A3885" i="7"/>
  <c r="A3886" i="7"/>
  <c r="A3887" i="7"/>
  <c r="A3888" i="7"/>
  <c r="A3889" i="7"/>
  <c r="A3890" i="7"/>
  <c r="A3891" i="7"/>
  <c r="A3892" i="7"/>
  <c r="A3893" i="7"/>
  <c r="A3894" i="7"/>
  <c r="A3895" i="7"/>
  <c r="A3896" i="7"/>
  <c r="A3897" i="7"/>
  <c r="A3898" i="7"/>
  <c r="A3899" i="7"/>
  <c r="A3900" i="7"/>
  <c r="A3901" i="7"/>
  <c r="A3902" i="7"/>
  <c r="A3903" i="7"/>
  <c r="A3904" i="7"/>
  <c r="A3905" i="7"/>
  <c r="A3906" i="7"/>
  <c r="A3907" i="7"/>
  <c r="A3908" i="7"/>
  <c r="A3909" i="7"/>
  <c r="A3910" i="7"/>
  <c r="A3911" i="7"/>
  <c r="A3912" i="7"/>
  <c r="A3913" i="7"/>
  <c r="A3914" i="7"/>
  <c r="A3915" i="7"/>
  <c r="A3916" i="7"/>
  <c r="A3917" i="7"/>
  <c r="A3918" i="7"/>
  <c r="A3919" i="7"/>
  <c r="A3920" i="7"/>
  <c r="A3921" i="7"/>
  <c r="A3922" i="7"/>
  <c r="A3923" i="7"/>
  <c r="A3924" i="7"/>
  <c r="A3925" i="7"/>
  <c r="A3926" i="7"/>
  <c r="A3927" i="7"/>
  <c r="A3928" i="7"/>
  <c r="A3929" i="7"/>
  <c r="A3930" i="7"/>
  <c r="A3931" i="7"/>
  <c r="A3932" i="7"/>
  <c r="A3933" i="7"/>
  <c r="A3934" i="7"/>
  <c r="A3935" i="7"/>
  <c r="A3936" i="7"/>
  <c r="A3937" i="7"/>
  <c r="A3938" i="7"/>
  <c r="A3939" i="7"/>
  <c r="A3940" i="7"/>
  <c r="A3941" i="7"/>
  <c r="A3942" i="7"/>
  <c r="A3943" i="7"/>
  <c r="A3944" i="7"/>
  <c r="A3945" i="7"/>
  <c r="A3946" i="7"/>
  <c r="A3947" i="7"/>
  <c r="A3948" i="7"/>
  <c r="A3949" i="7"/>
  <c r="A3950" i="7"/>
  <c r="A3951" i="7"/>
  <c r="A3952" i="7"/>
  <c r="A3953" i="7"/>
  <c r="A3954" i="7"/>
  <c r="A3955" i="7"/>
  <c r="A3956" i="7"/>
  <c r="A3957" i="7"/>
  <c r="A3958" i="7"/>
  <c r="A3959" i="7"/>
  <c r="A3960" i="7"/>
  <c r="A3961" i="7"/>
  <c r="A3962" i="7"/>
  <c r="A3963" i="7"/>
  <c r="A3964" i="7"/>
  <c r="A3965" i="7"/>
  <c r="A3966" i="7"/>
  <c r="A3967" i="7"/>
  <c r="A3968" i="7"/>
  <c r="A3969" i="7"/>
  <c r="A3970" i="7"/>
  <c r="A3971" i="7"/>
  <c r="A3972" i="7"/>
  <c r="A3973" i="7"/>
  <c r="A3974" i="7"/>
  <c r="A3975" i="7"/>
  <c r="A3976" i="7"/>
  <c r="A3977" i="7"/>
  <c r="A3978" i="7"/>
  <c r="A3979" i="7"/>
  <c r="A3980" i="7"/>
  <c r="A3981" i="7"/>
  <c r="A3982" i="7"/>
  <c r="A3983" i="7"/>
  <c r="A3984" i="7"/>
  <c r="A3985" i="7"/>
  <c r="A3986" i="7"/>
  <c r="A3987" i="7"/>
  <c r="A3988" i="7"/>
  <c r="A3989" i="7"/>
  <c r="A3990" i="7"/>
  <c r="A3991" i="7"/>
  <c r="A3992" i="7"/>
  <c r="A3993" i="7"/>
  <c r="A3994" i="7"/>
  <c r="A3995" i="7"/>
  <c r="A3996" i="7"/>
  <c r="A3997" i="7"/>
  <c r="A3998" i="7"/>
  <c r="A3999" i="7"/>
  <c r="A4000" i="7"/>
  <c r="A4001" i="7"/>
  <c r="A4002" i="7"/>
  <c r="A4003" i="7"/>
  <c r="A4004" i="7"/>
  <c r="A4005" i="7"/>
  <c r="A4006" i="7"/>
  <c r="A4007" i="7"/>
  <c r="A4008" i="7"/>
  <c r="A4009" i="7"/>
  <c r="A4010" i="7"/>
  <c r="A4011" i="7"/>
  <c r="A4012" i="7"/>
  <c r="A4013" i="7"/>
  <c r="A4014" i="7"/>
  <c r="A4015" i="7"/>
  <c r="A4016" i="7"/>
  <c r="A4017" i="7"/>
  <c r="A4018" i="7"/>
  <c r="A4019" i="7"/>
  <c r="A4020" i="7"/>
  <c r="A4021" i="7"/>
  <c r="A4022" i="7"/>
  <c r="A4023" i="7"/>
  <c r="A4024" i="7"/>
  <c r="A4025" i="7"/>
  <c r="A4026" i="7"/>
  <c r="A4027" i="7"/>
  <c r="A4028" i="7"/>
  <c r="A4029" i="7"/>
  <c r="A4030" i="7"/>
  <c r="A4031" i="7"/>
  <c r="A4032" i="7"/>
  <c r="A4033" i="7"/>
  <c r="A4034" i="7"/>
  <c r="A4035" i="7"/>
  <c r="A4036" i="7"/>
  <c r="A4037" i="7"/>
  <c r="A4038" i="7"/>
  <c r="A4039" i="7"/>
  <c r="A4040" i="7"/>
  <c r="A4041" i="7"/>
  <c r="A4042" i="7"/>
  <c r="A4043" i="7"/>
  <c r="A4044" i="7"/>
  <c r="A4045" i="7"/>
  <c r="A4046" i="7"/>
  <c r="A4047" i="7"/>
  <c r="A4048" i="7"/>
  <c r="A4049" i="7"/>
  <c r="A4050" i="7"/>
  <c r="A4051" i="7"/>
  <c r="A4052" i="7"/>
  <c r="A4053" i="7"/>
  <c r="A4054" i="7"/>
  <c r="A4055" i="7"/>
  <c r="A4056" i="7"/>
  <c r="A4057" i="7"/>
  <c r="A4058" i="7"/>
  <c r="A4059" i="7"/>
  <c r="A4060" i="7"/>
  <c r="A4061" i="7"/>
  <c r="A4062" i="7"/>
  <c r="A4063" i="7"/>
  <c r="A4064" i="7"/>
  <c r="A4065" i="7"/>
  <c r="A4066" i="7"/>
  <c r="A4067" i="7"/>
  <c r="A4068" i="7"/>
  <c r="A4069" i="7"/>
  <c r="A4070" i="7"/>
  <c r="A4071" i="7"/>
  <c r="A4072" i="7"/>
  <c r="A4073" i="7"/>
  <c r="A4074" i="7"/>
  <c r="A4075" i="7"/>
  <c r="A4076" i="7"/>
  <c r="A4077" i="7"/>
  <c r="A4078" i="7"/>
  <c r="A4079" i="7"/>
  <c r="A4080" i="7"/>
  <c r="A4081" i="7"/>
  <c r="A4082" i="7"/>
  <c r="A4083" i="7"/>
  <c r="A4084" i="7"/>
  <c r="A4085" i="7"/>
  <c r="A4086" i="7"/>
  <c r="A4087" i="7"/>
  <c r="A4088" i="7"/>
  <c r="A4089" i="7"/>
  <c r="A4090" i="7"/>
  <c r="A4091" i="7"/>
  <c r="A4092" i="7"/>
  <c r="A4093" i="7"/>
  <c r="A4094" i="7"/>
  <c r="A4095" i="7"/>
  <c r="A4096" i="7"/>
  <c r="A4097" i="7"/>
  <c r="A4098" i="7"/>
  <c r="A4099" i="7"/>
  <c r="A4100" i="7"/>
  <c r="A4101" i="7"/>
  <c r="A4102" i="7"/>
  <c r="A4103" i="7"/>
  <c r="A4104" i="7"/>
  <c r="A4105" i="7"/>
  <c r="A4106" i="7"/>
  <c r="A4107" i="7"/>
  <c r="A4108" i="7"/>
  <c r="A4109" i="7"/>
  <c r="A4110" i="7"/>
  <c r="A4111" i="7"/>
  <c r="A4112" i="7"/>
  <c r="A4113" i="7"/>
  <c r="A4114" i="7"/>
  <c r="A4115" i="7"/>
  <c r="A4116" i="7"/>
  <c r="A4117" i="7"/>
  <c r="A4118" i="7"/>
  <c r="A4119" i="7"/>
  <c r="A4120" i="7"/>
  <c r="A4121" i="7"/>
  <c r="A4122" i="7"/>
  <c r="A4123" i="7"/>
  <c r="A4124" i="7"/>
  <c r="A4125" i="7"/>
  <c r="A4126" i="7"/>
  <c r="A4127" i="7"/>
  <c r="A4128" i="7"/>
  <c r="A4129" i="7"/>
  <c r="A4130" i="7"/>
  <c r="A4131" i="7"/>
  <c r="A4132" i="7"/>
  <c r="A4133" i="7"/>
  <c r="A4134" i="7"/>
  <c r="A4135" i="7"/>
  <c r="A4136" i="7"/>
  <c r="A4137" i="7"/>
  <c r="A4138" i="7"/>
  <c r="A4139" i="7"/>
  <c r="A4140" i="7"/>
  <c r="A4141" i="7"/>
  <c r="A4142" i="7"/>
  <c r="A4143" i="7"/>
  <c r="A4144" i="7"/>
  <c r="A4145" i="7"/>
  <c r="A4146" i="7"/>
  <c r="A4147" i="7"/>
  <c r="A4148" i="7"/>
  <c r="A4149" i="7"/>
  <c r="A4150" i="7"/>
  <c r="A4151" i="7"/>
  <c r="A4152" i="7"/>
  <c r="A4153" i="7"/>
  <c r="A4154" i="7"/>
  <c r="A4155" i="7"/>
  <c r="A4156" i="7"/>
  <c r="A4157" i="7"/>
  <c r="A4158" i="7"/>
  <c r="A4159" i="7"/>
  <c r="A4160" i="7"/>
  <c r="A4161" i="7"/>
  <c r="A4162" i="7"/>
  <c r="A4163" i="7"/>
  <c r="A4164" i="7"/>
  <c r="A4165" i="7"/>
  <c r="A4166" i="7"/>
  <c r="A4167" i="7"/>
  <c r="A4168" i="7"/>
  <c r="A4169" i="7"/>
  <c r="A4170" i="7"/>
  <c r="A4171" i="7"/>
  <c r="A4172" i="7"/>
  <c r="A4173" i="7"/>
  <c r="A4174" i="7"/>
  <c r="A4175" i="7"/>
  <c r="A4176" i="7"/>
  <c r="A4177" i="7"/>
  <c r="A4178" i="7"/>
  <c r="A4179" i="7"/>
  <c r="A4180" i="7"/>
  <c r="A4181" i="7"/>
  <c r="A4182" i="7"/>
  <c r="A4183" i="7"/>
  <c r="A4184" i="7"/>
  <c r="A4185" i="7"/>
  <c r="A4186" i="7"/>
  <c r="A4187" i="7"/>
  <c r="A4188" i="7"/>
  <c r="A4189" i="7"/>
  <c r="A4190" i="7"/>
  <c r="A4191" i="7"/>
  <c r="A4192" i="7"/>
  <c r="A4193" i="7"/>
  <c r="A4194" i="7"/>
  <c r="A4195" i="7"/>
  <c r="A4196" i="7"/>
  <c r="A4197" i="7"/>
  <c r="A4198" i="7"/>
  <c r="A4199" i="7"/>
  <c r="A4200" i="7"/>
  <c r="A4201" i="7"/>
  <c r="A4202" i="7"/>
  <c r="A4203" i="7"/>
  <c r="A4204" i="7"/>
  <c r="A4205" i="7"/>
  <c r="A4206" i="7"/>
  <c r="A4207" i="7"/>
  <c r="A4208" i="7"/>
  <c r="A4209" i="7"/>
  <c r="A4210" i="7"/>
  <c r="A4211" i="7"/>
  <c r="A4212" i="7"/>
  <c r="A4213" i="7"/>
  <c r="A4214" i="7"/>
  <c r="A4215" i="7"/>
  <c r="A4216" i="7"/>
  <c r="A4217" i="7"/>
  <c r="A4218" i="7"/>
  <c r="A4219" i="7"/>
  <c r="A4220" i="7"/>
  <c r="A4221" i="7"/>
  <c r="A4222" i="7"/>
  <c r="A4223" i="7"/>
  <c r="A4224" i="7"/>
  <c r="A4225" i="7"/>
  <c r="A4226" i="7"/>
  <c r="A4227" i="7"/>
  <c r="A4228" i="7"/>
  <c r="A4229" i="7"/>
  <c r="A4230" i="7"/>
  <c r="A4231" i="7"/>
  <c r="A4232" i="7"/>
  <c r="A4233" i="7"/>
  <c r="A4234" i="7"/>
  <c r="A4235" i="7"/>
  <c r="A4236" i="7"/>
  <c r="A4237" i="7"/>
  <c r="A4238" i="7"/>
  <c r="A4239" i="7"/>
  <c r="A4240" i="7"/>
  <c r="A4241" i="7"/>
  <c r="A4242" i="7"/>
  <c r="A4243" i="7"/>
  <c r="A4244" i="7"/>
  <c r="A4245" i="7"/>
  <c r="A4246" i="7"/>
  <c r="A4247" i="7"/>
  <c r="A4248" i="7"/>
  <c r="A4249" i="7"/>
  <c r="A4250" i="7"/>
  <c r="A4251" i="7"/>
  <c r="A4252" i="7"/>
  <c r="A4253" i="7"/>
  <c r="A4254" i="7"/>
  <c r="A4255" i="7"/>
  <c r="A4256" i="7"/>
  <c r="A4257" i="7"/>
  <c r="A4258" i="7"/>
  <c r="A4259" i="7"/>
  <c r="A4260" i="7"/>
  <c r="A4261" i="7"/>
  <c r="A4262" i="7"/>
  <c r="A4263" i="7"/>
  <c r="A4264" i="7"/>
  <c r="A4265" i="7"/>
  <c r="A4266" i="7"/>
  <c r="A4267" i="7"/>
  <c r="A4268" i="7"/>
  <c r="A4269" i="7"/>
  <c r="A4270" i="7"/>
  <c r="A4271" i="7"/>
  <c r="A4272" i="7"/>
  <c r="A4273" i="7"/>
  <c r="A4274" i="7"/>
  <c r="A4275" i="7"/>
  <c r="A4276" i="7"/>
  <c r="A4277" i="7"/>
  <c r="A4278" i="7"/>
  <c r="A4279" i="7"/>
  <c r="A4280" i="7"/>
  <c r="A4281" i="7"/>
  <c r="A4282" i="7"/>
  <c r="A4283" i="7"/>
  <c r="A4284" i="7"/>
  <c r="A4285" i="7"/>
  <c r="A4286" i="7"/>
  <c r="A4287" i="7"/>
  <c r="A4288" i="7"/>
  <c r="A4289" i="7"/>
  <c r="A4290" i="7"/>
  <c r="A4291" i="7"/>
  <c r="A4292" i="7"/>
  <c r="A4293" i="7"/>
  <c r="A4294" i="7"/>
  <c r="A4295" i="7"/>
  <c r="A4296" i="7"/>
  <c r="A4297" i="7"/>
  <c r="A4298" i="7"/>
  <c r="A4299" i="7"/>
  <c r="A4300" i="7"/>
  <c r="A4301" i="7"/>
  <c r="A4302" i="7"/>
  <c r="A4303" i="7"/>
  <c r="A4304" i="7"/>
  <c r="A4305" i="7"/>
  <c r="A4306" i="7"/>
  <c r="A4307" i="7"/>
  <c r="A4308" i="7"/>
  <c r="A4309" i="7"/>
  <c r="A4310" i="7"/>
  <c r="A4311" i="7"/>
  <c r="A4312" i="7"/>
  <c r="A4313" i="7"/>
  <c r="A4314" i="7"/>
  <c r="A4315" i="7"/>
  <c r="A4316" i="7"/>
  <c r="A4317" i="7"/>
  <c r="A4318" i="7"/>
  <c r="A4319" i="7"/>
  <c r="A4320" i="7"/>
  <c r="A4321" i="7"/>
  <c r="A4322" i="7"/>
  <c r="A4323" i="7"/>
  <c r="A4324" i="7"/>
  <c r="A4325" i="7"/>
  <c r="A4326" i="7"/>
  <c r="A4327" i="7"/>
  <c r="A4328" i="7"/>
  <c r="A4329" i="7"/>
  <c r="A4330" i="7"/>
  <c r="A4331" i="7"/>
  <c r="A4332" i="7"/>
  <c r="A4333" i="7"/>
  <c r="A4334" i="7"/>
  <c r="A4335" i="7"/>
  <c r="A4336" i="7"/>
  <c r="A4337" i="7"/>
  <c r="A4338" i="7"/>
  <c r="A4339" i="7"/>
  <c r="A4340" i="7"/>
  <c r="A4341" i="7"/>
  <c r="A4342" i="7"/>
  <c r="A4343" i="7"/>
  <c r="A4344" i="7"/>
  <c r="A4345" i="7"/>
  <c r="A4346" i="7"/>
  <c r="A4347" i="7"/>
  <c r="A4348" i="7"/>
  <c r="A4349" i="7"/>
  <c r="A4350" i="7"/>
  <c r="A4351" i="7"/>
  <c r="A4352" i="7"/>
  <c r="A4353" i="7"/>
  <c r="A4354" i="7"/>
  <c r="A4355" i="7"/>
  <c r="A4356" i="7"/>
  <c r="A4357" i="7"/>
  <c r="A4358" i="7"/>
  <c r="A4359" i="7"/>
  <c r="A4360" i="7"/>
  <c r="A4361" i="7"/>
  <c r="A4362" i="7"/>
  <c r="A4363" i="7"/>
  <c r="A4364" i="7"/>
  <c r="A4365" i="7"/>
  <c r="A4366" i="7"/>
  <c r="A4367" i="7"/>
  <c r="A4368" i="7"/>
  <c r="A4369" i="7"/>
  <c r="A4370" i="7"/>
  <c r="A4371" i="7"/>
  <c r="A4372" i="7"/>
  <c r="A4373" i="7"/>
  <c r="A4374" i="7"/>
  <c r="A4375" i="7"/>
  <c r="A4376" i="7"/>
  <c r="A4377" i="7"/>
  <c r="A4378" i="7"/>
  <c r="A4379" i="7"/>
  <c r="A4380" i="7"/>
  <c r="A4381" i="7"/>
  <c r="A4382" i="7"/>
  <c r="A4383" i="7"/>
  <c r="A4384" i="7"/>
  <c r="A4385" i="7"/>
  <c r="A4386" i="7"/>
  <c r="A4387" i="7"/>
  <c r="A4388" i="7"/>
  <c r="A4389" i="7"/>
  <c r="A4390" i="7"/>
  <c r="A4391" i="7"/>
  <c r="A4392" i="7"/>
  <c r="A4393" i="7"/>
  <c r="A4394" i="7"/>
  <c r="A4395" i="7"/>
  <c r="A4396" i="7"/>
  <c r="A4397" i="7"/>
  <c r="A4398" i="7"/>
  <c r="A4399" i="7"/>
  <c r="A4400" i="7"/>
  <c r="A4401" i="7"/>
  <c r="A4402" i="7"/>
  <c r="A4403" i="7"/>
  <c r="A4404" i="7"/>
  <c r="A4405" i="7"/>
  <c r="A4406" i="7"/>
  <c r="A4407" i="7"/>
  <c r="A4408" i="7"/>
  <c r="A4409" i="7"/>
  <c r="A4410" i="7"/>
  <c r="A4411" i="7"/>
  <c r="A4412" i="7"/>
  <c r="A4413" i="7"/>
  <c r="A4414" i="7"/>
  <c r="A4415" i="7"/>
  <c r="A4416" i="7"/>
  <c r="A4417" i="7"/>
  <c r="A4418" i="7"/>
  <c r="A4419" i="7"/>
  <c r="A4420" i="7"/>
  <c r="A4421" i="7"/>
  <c r="A4422" i="7"/>
  <c r="A4423" i="7"/>
  <c r="A4424" i="7"/>
  <c r="A4425" i="7"/>
  <c r="A4426" i="7"/>
  <c r="A4427" i="7"/>
  <c r="A4428" i="7"/>
  <c r="A4429" i="7"/>
  <c r="A4430" i="7"/>
  <c r="A4431" i="7"/>
  <c r="A4432" i="7"/>
  <c r="A4433" i="7"/>
  <c r="A4434" i="7"/>
  <c r="A4435" i="7"/>
  <c r="A4436" i="7"/>
  <c r="A4437" i="7"/>
  <c r="A4438" i="7"/>
  <c r="A4439" i="7"/>
  <c r="A4440" i="7"/>
  <c r="A4441" i="7"/>
  <c r="A4442" i="7"/>
  <c r="A4443" i="7"/>
  <c r="A4444" i="7"/>
  <c r="A4445" i="7"/>
  <c r="A4446" i="7"/>
  <c r="A4447" i="7"/>
  <c r="A4448" i="7"/>
  <c r="A4449" i="7"/>
  <c r="A4450" i="7"/>
  <c r="A4451" i="7"/>
  <c r="A4452" i="7"/>
  <c r="A4453" i="7"/>
  <c r="A4454" i="7"/>
  <c r="A4455" i="7"/>
  <c r="A4456" i="7"/>
  <c r="A4457" i="7"/>
  <c r="A4458" i="7"/>
  <c r="A4459" i="7"/>
  <c r="A4460" i="7"/>
  <c r="A4461" i="7"/>
  <c r="A4462" i="7"/>
  <c r="A4463" i="7"/>
  <c r="A4464" i="7"/>
  <c r="A4465" i="7"/>
  <c r="A4466" i="7"/>
  <c r="A4467" i="7"/>
  <c r="A4468" i="7"/>
  <c r="A4469" i="7"/>
  <c r="A4470" i="7"/>
  <c r="A4471" i="7"/>
  <c r="A4472" i="7"/>
  <c r="A4473" i="7"/>
  <c r="A4474" i="7"/>
  <c r="A4475" i="7"/>
  <c r="A4476" i="7"/>
  <c r="A4477" i="7"/>
  <c r="A4478" i="7"/>
  <c r="A4479" i="7"/>
  <c r="A4480" i="7"/>
  <c r="A4481" i="7"/>
  <c r="A4482" i="7"/>
  <c r="A4483" i="7"/>
  <c r="A4484" i="7"/>
  <c r="A4485" i="7"/>
  <c r="A4486" i="7"/>
  <c r="A4487" i="7"/>
  <c r="A4488" i="7"/>
  <c r="A4489" i="7"/>
  <c r="A4490" i="7"/>
  <c r="A4491" i="7"/>
  <c r="A4492" i="7"/>
  <c r="A4493" i="7"/>
  <c r="A4494" i="7"/>
  <c r="A4495" i="7"/>
  <c r="A4496" i="7"/>
  <c r="A4497" i="7"/>
  <c r="A4498" i="7"/>
  <c r="A4499" i="7"/>
  <c r="A4500" i="7"/>
  <c r="A4501" i="7"/>
  <c r="A4502" i="7"/>
  <c r="A4503" i="7"/>
  <c r="A4504" i="7"/>
  <c r="A4505" i="7"/>
  <c r="A4506" i="7"/>
  <c r="A4507" i="7"/>
  <c r="A4508" i="7"/>
  <c r="A4509" i="7"/>
  <c r="A4510" i="7"/>
  <c r="A4511" i="7"/>
  <c r="A4512" i="7"/>
  <c r="A4513" i="7"/>
  <c r="A4514" i="7"/>
  <c r="A4515" i="7"/>
  <c r="A4516" i="7"/>
  <c r="A4517" i="7"/>
  <c r="A4518" i="7"/>
  <c r="A4519" i="7"/>
  <c r="A4520" i="7"/>
  <c r="A4521" i="7"/>
  <c r="A4522" i="7"/>
  <c r="A4523" i="7"/>
  <c r="A4524" i="7"/>
  <c r="A4525" i="7"/>
  <c r="A4526" i="7"/>
  <c r="A4527" i="7"/>
  <c r="A4528" i="7"/>
  <c r="A4529" i="7"/>
  <c r="A4530" i="7"/>
  <c r="A4531" i="7"/>
  <c r="A4532" i="7"/>
  <c r="A4533" i="7"/>
  <c r="A4534" i="7"/>
  <c r="A4535" i="7"/>
  <c r="A4536" i="7"/>
  <c r="A4537" i="7"/>
  <c r="A4538" i="7"/>
  <c r="A4539" i="7"/>
  <c r="A4540" i="7"/>
  <c r="A4541" i="7"/>
  <c r="A4542" i="7"/>
  <c r="A4543" i="7"/>
  <c r="A4544" i="7"/>
  <c r="A4545" i="7"/>
  <c r="A4546" i="7"/>
  <c r="A4547" i="7"/>
  <c r="A4548" i="7"/>
  <c r="A4549" i="7"/>
  <c r="A4550" i="7"/>
  <c r="A4551" i="7"/>
  <c r="A4552" i="7"/>
  <c r="A4553" i="7"/>
  <c r="A4554" i="7"/>
  <c r="A4555" i="7"/>
  <c r="A4556" i="7"/>
  <c r="A4557" i="7"/>
  <c r="A4558" i="7"/>
  <c r="A4559" i="7"/>
  <c r="A4560" i="7"/>
  <c r="A4561" i="7"/>
  <c r="A4562" i="7"/>
  <c r="A4563" i="7"/>
  <c r="A4564" i="7"/>
  <c r="A4565" i="7"/>
  <c r="A4566" i="7"/>
  <c r="A4567" i="7"/>
  <c r="A4568" i="7"/>
  <c r="A4569" i="7"/>
  <c r="A4570" i="7"/>
  <c r="A4571" i="7"/>
  <c r="A4572" i="7"/>
  <c r="A4573" i="7"/>
  <c r="A4574" i="7"/>
  <c r="A4575" i="7"/>
  <c r="A4576" i="7"/>
  <c r="A4577" i="7"/>
  <c r="A4578" i="7"/>
  <c r="A4579" i="7"/>
  <c r="A4580" i="7"/>
  <c r="A4581" i="7"/>
  <c r="A4582" i="7"/>
  <c r="A4583" i="7"/>
  <c r="A4584" i="7"/>
  <c r="A4585" i="7"/>
  <c r="A4586" i="7"/>
  <c r="A4587" i="7"/>
  <c r="A4588" i="7"/>
  <c r="A4589" i="7"/>
  <c r="A4590" i="7"/>
  <c r="A4591" i="7"/>
  <c r="A4592" i="7"/>
  <c r="A4593" i="7"/>
  <c r="A4594" i="7"/>
  <c r="A4595" i="7"/>
  <c r="A4596" i="7"/>
  <c r="A4597" i="7"/>
  <c r="A4598" i="7"/>
  <c r="A4599" i="7"/>
  <c r="A4600" i="7"/>
  <c r="A4601" i="7"/>
  <c r="A4602" i="7"/>
  <c r="A4603" i="7"/>
  <c r="A4604" i="7"/>
  <c r="A4605" i="7"/>
  <c r="A4606" i="7"/>
  <c r="A4607" i="7"/>
  <c r="A4608" i="7"/>
  <c r="A4609" i="7"/>
  <c r="A4610" i="7"/>
  <c r="A4611" i="7"/>
  <c r="A4612" i="7"/>
  <c r="A4613" i="7"/>
  <c r="A4614" i="7"/>
  <c r="A4615" i="7"/>
  <c r="A4616" i="7"/>
  <c r="A4617" i="7"/>
  <c r="A4618" i="7"/>
  <c r="A4619" i="7"/>
  <c r="A4620" i="7"/>
  <c r="A4621" i="7"/>
  <c r="A4622" i="7"/>
  <c r="A4623" i="7"/>
  <c r="A4624" i="7"/>
  <c r="A4625" i="7"/>
  <c r="A4626" i="7"/>
  <c r="A4627" i="7"/>
  <c r="A4628" i="7"/>
  <c r="A4629" i="7"/>
  <c r="A4630" i="7"/>
  <c r="A4631" i="7"/>
  <c r="A4632" i="7"/>
  <c r="A4633" i="7"/>
  <c r="A4634" i="7"/>
  <c r="A4635" i="7"/>
  <c r="A4636" i="7"/>
  <c r="A4637" i="7"/>
  <c r="A4638" i="7"/>
  <c r="A4639" i="7"/>
  <c r="A4640" i="7"/>
  <c r="A4641" i="7"/>
  <c r="A4642" i="7"/>
  <c r="A4643" i="7"/>
  <c r="A4644" i="7"/>
  <c r="A4645" i="7"/>
  <c r="A4646" i="7"/>
  <c r="A4647" i="7"/>
  <c r="A4648" i="7"/>
  <c r="A4649" i="7"/>
  <c r="A4650" i="7"/>
  <c r="A4651" i="7"/>
  <c r="A4652" i="7"/>
  <c r="A4653" i="7"/>
  <c r="A4654" i="7"/>
  <c r="A4655" i="7"/>
  <c r="A4656" i="7"/>
  <c r="A4657" i="7"/>
  <c r="A4658" i="7"/>
  <c r="A4659" i="7"/>
  <c r="A4660" i="7"/>
  <c r="A4661" i="7"/>
  <c r="A4662" i="7"/>
  <c r="A4663" i="7"/>
  <c r="A4664" i="7"/>
  <c r="A4665" i="7"/>
  <c r="A4666" i="7"/>
  <c r="A4667" i="7"/>
  <c r="A4668" i="7"/>
  <c r="A4669" i="7"/>
  <c r="A4670" i="7"/>
  <c r="A4671" i="7"/>
  <c r="A4672" i="7"/>
  <c r="A4673" i="7"/>
  <c r="A4674" i="7"/>
  <c r="A4675" i="7"/>
  <c r="A4676" i="7"/>
  <c r="A4677" i="7"/>
  <c r="A4678" i="7"/>
  <c r="A4679" i="7"/>
  <c r="A4680" i="7"/>
  <c r="A4681" i="7"/>
  <c r="A4682" i="7"/>
  <c r="A4683" i="7"/>
  <c r="A4684" i="7"/>
  <c r="A4685" i="7"/>
  <c r="A4686" i="7"/>
  <c r="A4687" i="7"/>
  <c r="A4688" i="7"/>
  <c r="A4689" i="7"/>
  <c r="A4690" i="7"/>
  <c r="A4691" i="7"/>
  <c r="A4692" i="7"/>
  <c r="A4693" i="7"/>
  <c r="A4694" i="7"/>
  <c r="A4695" i="7"/>
  <c r="A4696" i="7"/>
  <c r="A4697" i="7"/>
  <c r="A4698" i="7"/>
  <c r="A4699" i="7"/>
  <c r="A4700" i="7"/>
  <c r="A4701" i="7"/>
  <c r="A4702" i="7"/>
  <c r="A4703" i="7"/>
  <c r="A4704" i="7"/>
  <c r="A4705" i="7"/>
  <c r="A4706" i="7"/>
  <c r="A4707" i="7"/>
  <c r="A4708" i="7"/>
  <c r="A4709" i="7"/>
  <c r="A4710" i="7"/>
  <c r="A4711" i="7"/>
  <c r="A4712" i="7"/>
  <c r="A4713" i="7"/>
  <c r="A4714" i="7"/>
  <c r="A4715" i="7"/>
  <c r="A4716" i="7"/>
  <c r="A4717" i="7"/>
  <c r="A4718" i="7"/>
  <c r="A4719" i="7"/>
  <c r="A4720" i="7"/>
  <c r="A4721" i="7"/>
  <c r="A4722" i="7"/>
  <c r="A4723" i="7"/>
  <c r="A4724" i="7"/>
  <c r="A4725" i="7"/>
  <c r="A4726" i="7"/>
  <c r="A4727" i="7"/>
  <c r="A4728" i="7"/>
  <c r="A4729" i="7"/>
  <c r="A4730" i="7"/>
  <c r="A4731" i="7"/>
  <c r="A4732" i="7"/>
  <c r="A4733" i="7"/>
  <c r="A4734" i="7"/>
  <c r="A4735" i="7"/>
  <c r="A4736" i="7"/>
  <c r="A4737" i="7"/>
  <c r="A4738" i="7"/>
  <c r="A4739" i="7"/>
  <c r="A4740" i="7"/>
  <c r="A4741" i="7"/>
  <c r="A4742" i="7"/>
  <c r="A4743" i="7"/>
  <c r="A4744" i="7"/>
  <c r="A4745" i="7"/>
  <c r="A4746" i="7"/>
  <c r="A4747" i="7"/>
  <c r="A4748" i="7"/>
  <c r="A4749" i="7"/>
  <c r="A4750" i="7"/>
  <c r="A4751" i="7"/>
  <c r="A4752" i="7"/>
  <c r="A4753" i="7"/>
  <c r="A4754" i="7"/>
  <c r="A4755" i="7"/>
  <c r="A4756" i="7"/>
  <c r="A4757" i="7"/>
  <c r="A4758" i="7"/>
  <c r="A4759" i="7"/>
  <c r="A4760" i="7"/>
  <c r="A4761" i="7"/>
  <c r="A4762" i="7"/>
  <c r="A4763" i="7"/>
  <c r="A4764" i="7"/>
  <c r="A4765" i="7"/>
  <c r="A4766" i="7"/>
  <c r="A4767" i="7"/>
  <c r="A4768" i="7"/>
  <c r="A4769" i="7"/>
  <c r="A4770" i="7"/>
  <c r="A4771" i="7"/>
  <c r="A4772" i="7"/>
  <c r="A4773" i="7"/>
  <c r="A4774" i="7"/>
  <c r="A4775" i="7"/>
  <c r="A4776" i="7"/>
  <c r="A4777" i="7"/>
  <c r="A4778" i="7"/>
  <c r="A4779" i="7"/>
  <c r="A4780" i="7"/>
  <c r="A4781" i="7"/>
  <c r="A4782" i="7"/>
  <c r="A4783" i="7"/>
  <c r="A4784" i="7"/>
  <c r="A4785" i="7"/>
  <c r="A4786" i="7"/>
  <c r="A4787" i="7"/>
  <c r="A4788" i="7"/>
  <c r="A4789" i="7"/>
  <c r="A4790" i="7"/>
  <c r="A4791" i="7"/>
  <c r="A4792" i="7"/>
  <c r="A4793" i="7"/>
  <c r="A4794" i="7"/>
  <c r="A4795" i="7"/>
  <c r="A4796" i="7"/>
  <c r="A4797" i="7"/>
  <c r="A4798" i="7"/>
  <c r="A4799" i="7"/>
  <c r="A4800" i="7"/>
  <c r="A4801" i="7"/>
  <c r="A4802" i="7"/>
  <c r="A4803" i="7"/>
  <c r="A4804" i="7"/>
  <c r="A4805" i="7"/>
  <c r="A4806" i="7"/>
  <c r="A4807" i="7"/>
  <c r="A4808" i="7"/>
  <c r="A4809" i="7"/>
  <c r="A4810" i="7"/>
  <c r="A4811" i="7"/>
  <c r="A4812" i="7"/>
  <c r="A4813" i="7"/>
  <c r="A4814" i="7"/>
  <c r="A4815" i="7"/>
  <c r="A4816" i="7"/>
  <c r="A4817" i="7"/>
  <c r="A4818" i="7"/>
  <c r="A4819" i="7"/>
  <c r="A4820" i="7"/>
  <c r="A4821" i="7"/>
  <c r="A4822" i="7"/>
  <c r="A4823" i="7"/>
  <c r="A4824" i="7"/>
  <c r="A4825" i="7"/>
  <c r="A4826" i="7"/>
  <c r="A4827" i="7"/>
  <c r="A4828" i="7"/>
  <c r="A4829" i="7"/>
  <c r="A4830" i="7"/>
  <c r="A4831" i="7"/>
  <c r="A4832" i="7"/>
  <c r="A4833" i="7"/>
  <c r="A4834" i="7"/>
  <c r="A4835" i="7"/>
  <c r="A4836" i="7"/>
  <c r="A4837" i="7"/>
  <c r="A4838" i="7"/>
  <c r="A4839" i="7"/>
  <c r="A4840" i="7"/>
  <c r="A4841" i="7"/>
  <c r="A4842" i="7"/>
  <c r="A4843" i="7"/>
  <c r="A4844" i="7"/>
  <c r="A4845" i="7"/>
  <c r="A4846" i="7"/>
  <c r="A4847" i="7"/>
  <c r="A4848" i="7"/>
  <c r="A4849" i="7"/>
  <c r="A4850" i="7"/>
  <c r="A4851" i="7"/>
  <c r="A4852" i="7"/>
  <c r="A4853" i="7"/>
  <c r="A4854" i="7"/>
  <c r="A4855" i="7"/>
  <c r="A4856" i="7"/>
  <c r="A4857" i="7"/>
  <c r="A4858" i="7"/>
  <c r="A4859" i="7"/>
  <c r="A4860" i="7"/>
  <c r="A4861" i="7"/>
  <c r="A4862" i="7"/>
  <c r="A4863" i="7"/>
  <c r="A4864" i="7"/>
  <c r="A4865" i="7"/>
  <c r="A4866" i="7"/>
  <c r="A4867" i="7"/>
  <c r="A4868" i="7"/>
  <c r="A4869" i="7"/>
  <c r="A4870" i="7"/>
  <c r="A4871" i="7"/>
  <c r="A4872" i="7"/>
  <c r="A4873" i="7"/>
  <c r="A4874" i="7"/>
  <c r="A4875" i="7"/>
  <c r="A4876" i="7"/>
  <c r="A4877" i="7"/>
  <c r="A4878" i="7"/>
  <c r="A4879" i="7"/>
  <c r="A4880" i="7"/>
  <c r="A4881" i="7"/>
  <c r="A4882" i="7"/>
  <c r="A4883" i="7"/>
  <c r="A4884" i="7"/>
  <c r="A4885" i="7"/>
  <c r="A4886" i="7"/>
  <c r="A4887" i="7"/>
  <c r="A4888" i="7"/>
  <c r="A4889" i="7"/>
  <c r="A4890" i="7"/>
  <c r="A4891" i="7"/>
  <c r="A4892" i="7"/>
  <c r="A4893" i="7"/>
  <c r="A4894" i="7"/>
  <c r="A4895" i="7"/>
  <c r="A4896" i="7"/>
  <c r="A4897" i="7"/>
  <c r="A4898" i="7"/>
  <c r="A4899" i="7"/>
  <c r="A4900" i="7"/>
  <c r="A4901" i="7"/>
  <c r="A4902" i="7"/>
  <c r="A4903" i="7"/>
  <c r="A4904" i="7"/>
  <c r="A4905" i="7"/>
  <c r="A4906" i="7"/>
  <c r="A4907" i="7"/>
  <c r="A4908" i="7"/>
  <c r="A4909" i="7"/>
  <c r="A4910" i="7"/>
  <c r="A4911" i="7"/>
  <c r="A4912" i="7"/>
  <c r="A4913" i="7"/>
  <c r="A4914" i="7"/>
  <c r="A4915" i="7"/>
  <c r="A4916" i="7"/>
  <c r="A4917" i="7"/>
  <c r="A4918" i="7"/>
  <c r="A4919" i="7"/>
  <c r="A4920" i="7"/>
  <c r="A4921" i="7"/>
  <c r="A4922" i="7"/>
  <c r="A4923" i="7"/>
  <c r="A4924" i="7"/>
  <c r="A4925" i="7"/>
  <c r="A4926" i="7"/>
  <c r="A4927" i="7"/>
  <c r="A4928" i="7"/>
  <c r="A4929" i="7"/>
  <c r="A4930" i="7"/>
  <c r="A4931" i="7"/>
  <c r="A4932" i="7"/>
  <c r="A4933" i="7"/>
  <c r="A4934" i="7"/>
  <c r="A4935" i="7"/>
  <c r="A4936" i="7"/>
  <c r="A4937" i="7"/>
  <c r="A4938" i="7"/>
  <c r="A4939" i="7"/>
  <c r="A4940" i="7"/>
  <c r="A4941" i="7"/>
  <c r="A4942" i="7"/>
  <c r="A4943" i="7"/>
  <c r="A4944" i="7"/>
  <c r="A4945" i="7"/>
  <c r="A4946" i="7"/>
  <c r="A4947" i="7"/>
  <c r="A4948" i="7"/>
  <c r="A4949" i="7"/>
  <c r="A4950" i="7"/>
  <c r="A4951" i="7"/>
  <c r="A4952" i="7"/>
  <c r="A4953" i="7"/>
  <c r="A4954" i="7"/>
  <c r="A4955" i="7"/>
  <c r="A4956" i="7"/>
  <c r="A4957" i="7"/>
  <c r="A4958" i="7"/>
  <c r="A4959" i="7"/>
  <c r="A4960" i="7"/>
  <c r="A4961" i="7"/>
  <c r="A4962" i="7"/>
  <c r="A4963" i="7"/>
  <c r="A4964" i="7"/>
  <c r="A4965" i="7"/>
  <c r="A4966" i="7"/>
  <c r="A4967" i="7"/>
  <c r="A4968" i="7"/>
  <c r="A4969" i="7"/>
  <c r="A4970" i="7"/>
  <c r="A4971" i="7"/>
  <c r="A4972" i="7"/>
  <c r="A4973" i="7"/>
  <c r="A4974" i="7"/>
  <c r="A4975" i="7"/>
  <c r="A4976" i="7"/>
  <c r="A4977" i="7"/>
  <c r="A4978" i="7"/>
  <c r="A4979" i="7"/>
  <c r="A4980" i="7"/>
  <c r="A4981" i="7"/>
  <c r="A4982" i="7"/>
  <c r="A4983" i="7"/>
  <c r="A4984" i="7"/>
  <c r="A4985" i="7"/>
  <c r="A4986" i="7"/>
  <c r="A4987" i="7"/>
  <c r="A4988" i="7"/>
  <c r="A4989" i="7"/>
  <c r="A4990" i="7"/>
  <c r="A4991" i="7"/>
  <c r="A4992" i="7"/>
  <c r="A4993" i="7"/>
  <c r="A4994" i="7"/>
  <c r="A4995" i="7"/>
  <c r="A4996" i="7"/>
  <c r="A4997" i="7"/>
  <c r="A4998" i="7"/>
  <c r="A4999" i="7"/>
  <c r="A5000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11" i="7"/>
  <c r="A1" i="7" l="1"/>
</calcChain>
</file>

<file path=xl/sharedStrings.xml><?xml version="1.0" encoding="utf-8"?>
<sst xmlns="http://schemas.openxmlformats.org/spreadsheetml/2006/main" count="5474" uniqueCount="2179">
  <si>
    <t>Сотрудник</t>
  </si>
  <si>
    <t>Пользователь</t>
  </si>
  <si>
    <t>Компьютер</t>
  </si>
  <si>
    <t>Администратор</t>
  </si>
  <si>
    <t/>
  </si>
  <si>
    <t>Дата договора</t>
  </si>
  <si>
    <t>Имя ОБЪЕКТА в РЕЕСТР</t>
  </si>
  <si>
    <t>Правовая форма</t>
  </si>
  <si>
    <t>Должность руководителя</t>
  </si>
  <si>
    <t>ФИО руководителя</t>
  </si>
  <si>
    <t>Предмет договора</t>
  </si>
  <si>
    <t>Объект выполнения работ расположен по адресу</t>
  </si>
  <si>
    <t>Адрес Юридический</t>
  </si>
  <si>
    <t>ИНН/КПП</t>
  </si>
  <si>
    <t>Стоимость контракта (ПЛАН)</t>
  </si>
  <si>
    <t>Стоимость контракта (ФАКТ)</t>
  </si>
  <si>
    <t>Материалы (ПЛАН)</t>
  </si>
  <si>
    <t>Материалы (ФАКТ)</t>
  </si>
  <si>
    <t>Услуги (ПЛАН)</t>
  </si>
  <si>
    <t>Услуги (ФАКТ)</t>
  </si>
  <si>
    <t>Накладные расходы (ПЛАН)</t>
  </si>
  <si>
    <t>Накладные расходы (ФАКТ)</t>
  </si>
  <si>
    <t>Административные расходы (ФАКТ)</t>
  </si>
  <si>
    <t>Прибыль компании (ПЛАН)</t>
  </si>
  <si>
    <t>Прибыль компании (ФАКТ)</t>
  </si>
  <si>
    <t>ЗП Менеджер (ПЛАН)</t>
  </si>
  <si>
    <t>ЗП Менеджер (ФАКТ)</t>
  </si>
  <si>
    <t>Премия ФОТ (ПЛАН)</t>
  </si>
  <si>
    <t>Премия ФОТ (ФАКТ)</t>
  </si>
  <si>
    <t>Выручка</t>
  </si>
  <si>
    <t>Название Заказчика</t>
  </si>
  <si>
    <t>Путь к файлу</t>
  </si>
  <si>
    <t>ВремяЗаписи</t>
  </si>
  <si>
    <t>ДатаЗаписи</t>
  </si>
  <si>
    <t>Папка хранения</t>
  </si>
  <si>
    <t>Куратор</t>
  </si>
  <si>
    <t>Владислав Чухарев</t>
  </si>
  <si>
    <t>РАСЧЕТ</t>
  </si>
  <si>
    <t>ххх</t>
  </si>
  <si>
    <t>Источник Заказа</t>
  </si>
  <si>
    <t>User</t>
  </si>
  <si>
    <t>VLADCHUKHAREV</t>
  </si>
  <si>
    <t>v4.0</t>
  </si>
  <si>
    <t>DESKTOP-FQNUUCP</t>
  </si>
  <si>
    <t>54 дом</t>
  </si>
  <si>
    <t>\\Nas\Shared Docs\АРХИВ ЗАКАЗОВ 2\54 дом\Заказ_54 дом.xlsm</t>
  </si>
  <si>
    <t>\\Nas\Shared Docs\АРХИВ ЗАКАЗОВ 2\54 дом</t>
  </si>
  <si>
    <t>с Миасское д 55 кв 55</t>
  </si>
  <si>
    <t>\\Nas\Shared Docs\АРХИВ ЗАКАЗОВ 2\с Миасское д 55 кв 55\Заказ_с Миасское д 55 кв 55.xlsm</t>
  </si>
  <si>
    <t>\\Nas\Shared Docs\АРХИВ ЗАКАЗОВ 2\с Миасское д 55 кв 55</t>
  </si>
  <si>
    <t>с Миасское д 55 кв 55 расчет квартирой</t>
  </si>
  <si>
    <t>\\Nas\Shared Docs\АРХИВ ЗАКАЗОВ 2\с Миасское д 55 кв 55 расчет квартирой\Заказ_с Миасское д 55 кв 55 расчет квартирой.xlsm</t>
  </si>
  <si>
    <t>\\Nas\Shared Docs\АРХИВ ЗАКАЗОВ 2\с Миасское д 55 кв 55 расчет квартирой</t>
  </si>
  <si>
    <t>ЭОМ РБТ Набережные челны ТЦ Палитра</t>
  </si>
  <si>
    <t>\\Nas\Shared Docs\АРХИВ ЗАКАЗОВ 2\ЭОМ РБТ Набережные челны ТЦ Палитра\Заказ_ЭОМ РБТ Набережные челны ТЦ Палитра.xlsm</t>
  </si>
  <si>
    <t>\\Nas\Shared Docs\АРХИВ ЗАКАЗОВ 2\ЭОМ РБТ Набережные челны ТЦ Палитра</t>
  </si>
  <si>
    <t>ЭОМ РБТ Набережные челны ТЦ Палитра Любимый дом</t>
  </si>
  <si>
    <t>\\Nas\Shared Docs\АРХИВ ЗАКАЗОВ 2\ЭОМ РБТ Набережные челны ТЦ Палитра Любимый дом\Заказ_ЭОМ РБТ Набережные челны ТЦ Палитра Любимый дом.xlsm</t>
  </si>
  <si>
    <t>\\Nas\Shared Docs\АРХИВ ЗАКАЗОВ 2\ЭОМ РБТ Набережные челны ТЦ Палитра Любимый дом</t>
  </si>
  <si>
    <t>Офисное помещение Западный Луч</t>
  </si>
  <si>
    <t>\\Nas\Shared Docs\АРХИВ ЗАКАЗОВ 2\Офисное помещение Западный Луч\Заказ_Офисное помещение Западный Луч.xlsm</t>
  </si>
  <si>
    <t>\\Nas\Shared Docs\АРХИВ ЗАКАЗОВ 2\Офисное помещение Западный Луч</t>
  </si>
  <si>
    <t>100 дом</t>
  </si>
  <si>
    <t>\\Nas\Shared Docs\АРХИВ ЗАКАЗОВ 2\100 дом\Заказ_100 дом.xlsm</t>
  </si>
  <si>
    <t>\\Nas\Shared Docs\АРХИВ ЗАКАЗОВ 2\100 дом</t>
  </si>
  <si>
    <t>ЭОМ РБТ Тюмень ТЦ Зеленый берег</t>
  </si>
  <si>
    <t>\\Nas\Shared Docs\АРХИВ ЗАКАЗОВ 2\ЭОМ РБТ Тюмень ТЦ Зеленый берег\Заказ_ЭОМ РБТ Тюмень ТЦ Зеленый берег.xlsm</t>
  </si>
  <si>
    <t>\\Nas\Shared Docs\АРХИВ ЗАКАЗОВ 2\ЭОМ РБТ Тюмень ТЦ Зеленый берег</t>
  </si>
  <si>
    <t>ЭОМ РБТ Тюмень ТРЦ Сити Молл</t>
  </si>
  <si>
    <t>\\Nas\Shared Docs\АРХИВ ЗАКАЗОВ 2\ЭОМ РБТ Тюмень ТРЦ Сити Молл\Заказ_ЭОМ РБТ Тюмень ТРЦ Сити Молл.xlsm</t>
  </si>
  <si>
    <t>\\Nas\Shared Docs\АРХИВ ЗАКАЗОВ 2\ЭОМ РБТ Тюмень ТРЦ Сити Молл</t>
  </si>
  <si>
    <t>ЭОМ РБТ Тюмень ТРЦ Сити Молл с замена свет</t>
  </si>
  <si>
    <t>\\Nas\Shared Docs\АРХИВ ЗАКАЗОВ 2\ЭОМ РБТ Тюмень ТРЦ Сити Молл с замена свет\Заказ_ЭОМ РБТ Тюмень ТРЦ Сити Молл с замена свет.xlsm</t>
  </si>
  <si>
    <t>\\Nas\Shared Docs\АРХИВ ЗАКАЗОВ 2\ЭОМ РБТ Тюмень ТРЦ Сити Молл с замена свет</t>
  </si>
  <si>
    <t>Жилой дом №96 97 98</t>
  </si>
  <si>
    <t>\\Nas\Shared Docs\АРХИВ ЗАКАЗОВ 2\Жилой дом №96 97 98\Заказ_Жилой дом №96 97 98.xlsm</t>
  </si>
  <si>
    <t>\\Nas\Shared Docs\АРХИВ ЗАКАЗОВ 2\Жилой дом №96 97 98</t>
  </si>
  <si>
    <t>Военная прокуратура</t>
  </si>
  <si>
    <t>\\Nas\Shared Docs\АРХИВ ЗАКАЗОВ 2\Военная прокуратура\Заказ_Военная прокуратура.xlsm</t>
  </si>
  <si>
    <t>\\Nas\Shared Docs\АРХИВ ЗАКАЗОВ 2\Военная прокуратура</t>
  </si>
  <si>
    <t>Жилой дом №1</t>
  </si>
  <si>
    <t>\\Nas\Shared Docs\АРХИВ ЗАКАЗОВ 2\Жилой дом №1\Заказ_Жилой дом №1.xlsm</t>
  </si>
  <si>
    <t>\\Nas\Shared Docs\АРХИВ ЗАКАЗОВ 2\Жилой дом №1</t>
  </si>
  <si>
    <t>Жилой дом №1 оси 3-5</t>
  </si>
  <si>
    <t>\\Nas\Shared Docs\АРХИВ ЗАКАЗОВ 2\Жилой дом №1 оси 3-5\Заказ_Жилой дом №1 оси 3-5.xlsm</t>
  </si>
  <si>
    <t>\\Nas\Shared Docs\АРХИВ ЗАКАЗОВ 2\Жилой дом №1 оси 3-5</t>
  </si>
  <si>
    <t>Парковый 2 - ЖД 1</t>
  </si>
  <si>
    <t>\\Nas\Shared Docs\АРХИВ ЗАКАЗОВ 2\Парковый 2 - ЖД 1\Заказ_Парковый 2 - ЖД 1.xlsm</t>
  </si>
  <si>
    <t>\\Nas\Shared Docs\АРХИВ ЗАКАЗОВ 2\Парковый 2 - ЖД 1</t>
  </si>
  <si>
    <t>Жилой дом №13.3 Западный</t>
  </si>
  <si>
    <t>\\Nas\Shared Docs\АРХИВ ЗАКАЗОВ 2\Жилой дом №13.3 Западный\Заказ_Жилой дом №13.3 Западный.xlsm</t>
  </si>
  <si>
    <t>\\Nas\Shared Docs\АРХИВ ЗАКАЗОВ 2\Жилой дом №13.3 Западный</t>
  </si>
  <si>
    <t>v4.1</t>
  </si>
  <si>
    <t>Жилой дом №13.4 Западный</t>
  </si>
  <si>
    <t>\\Nas\Shared Docs\АРХИВ ЗАКАЗОВ 2\Жилой дом №13.4 Западный\Заказ_Жилой дом №13.4 Западный.xlsm</t>
  </si>
  <si>
    <t>\\Nas\Shared Docs\АРХИВ ЗАКАЗОВ 2\Жилой дом №13.4 Западный</t>
  </si>
  <si>
    <t>Жилой дом 5.15</t>
  </si>
  <si>
    <t>\\Nas\Shared Docs\АРХИВ ЗАКАЗОВ 2\Жилой дом 5.15\Заказ_Жилой дом 5.15.xlsm</t>
  </si>
  <si>
    <t>\\Nas\Shared Docs\АРХИВ ЗАКАЗОВ 2\Жилой дом 5.15</t>
  </si>
  <si>
    <t>ЭОМ РБТ ТК АМБАР Самара LERAN</t>
  </si>
  <si>
    <t>\\Nas\Shared Docs\АРХИВ ЗАКАЗОВ 2\ЭОМ РБТ ТК АМБАР Самара LERAN\Заказ_ЭОМ РБТ ТК АМБАР Самара LERAN.xlsm</t>
  </si>
  <si>
    <t>\\Nas\Shared Docs\АРХИВ ЗАКАЗОВ 2\ЭОМ РБТ ТК АМБАР Самара LERAN</t>
  </si>
  <si>
    <t>ЭОМ РБТ ТЦ Стрекоза Курган LERAN</t>
  </si>
  <si>
    <t>\\Nas\Shared Docs\АРХИВ ЗАКАЗОВ 2\ЭОМ РБТ ТЦ Стрекоза Курган LERAN\Заказ_ЭОМ РБТ ТЦ Стрекоза Курган LERAN.xlsm</t>
  </si>
  <si>
    <t>\\Nas\Shared Docs\АРХИВ ЗАКАЗОВ 2\ЭОМ РБТ ТЦ Стрекоза Курган LERAN</t>
  </si>
  <si>
    <t>Жилой дом №13.3 Западный (без квартир)</t>
  </si>
  <si>
    <t>\\Nas\Shared Docs\АРХИВ ЗАКАЗОВ 2\Жилой дом №13.3 Западный (без квартир)\Заказ_Жилой дом №13.3 Западный (без квартир).xlsm</t>
  </si>
  <si>
    <t>\\Nas\Shared Docs\АРХИВ ЗАКАЗОВ 2\Жилой дом №13.3 Западный (без квартир)</t>
  </si>
  <si>
    <t>v4.2</t>
  </si>
  <si>
    <t>Жилой дом №13.4 Западный (без квартир)</t>
  </si>
  <si>
    <t>\\Nas\Shared Docs\АРХИВ ЗАКАЗОВ 2\Жилой дом №13.4 Западный (без квартир)\Заказ_Жилой дом №13.4 Западный (без квартир).xlsm</t>
  </si>
  <si>
    <t>\\Nas\Shared Docs\АРХИВ ЗАКАЗОВ 2\Жилой дом №13.4 Западный (без квартир)</t>
  </si>
  <si>
    <t>Жилой дом №13.3, №13.4 Западный (без квартир)</t>
  </si>
  <si>
    <t>\\Nas\Shared Docs\АРХИВ ЗАКАЗОВ 2\Жилой дом №13.3, №13.4 Западный (без квартир)\Заказ_Жилой дом №13.3, №13.4 Западный (без квартир).xlsm</t>
  </si>
  <si>
    <t>\\Nas\Shared Docs\АРХИВ ЗАКАЗОВ 2\Жилой дом №13.3, №13.4 Западный (без квартир)</t>
  </si>
  <si>
    <t>ЮУрГУ 2017</t>
  </si>
  <si>
    <t>\\Nas\Shared Docs\АРХИВ ЗАКАЗОВ 2\ЮУрГУ 2017\Заказ_ЮУрГУ 2017.xlsm</t>
  </si>
  <si>
    <t>\\Nas\Shared Docs\АРХИВ ЗАКАЗОВ 2\ЮУрГУ 2017</t>
  </si>
  <si>
    <t>105 дом кв 575 584 665</t>
  </si>
  <si>
    <t>\\Nas\Shared Docs\АРХИВ ЗАКАЗОВ 2\105 дом кв 575 584 665\Заказ_105 дом кв 575 584 665.xlsm</t>
  </si>
  <si>
    <t>\\Nas\Shared Docs\АРХИВ ЗАКАЗОВ 2\105 дом кв 575 584 665</t>
  </si>
  <si>
    <t>Жилой дом №13.3 Западный демонстрациоонная квартира</t>
  </si>
  <si>
    <t>\\Nas\Shared Docs\АРХИВ ЗАКАЗОВ 2\Жилой дом №13.3 Западный демонстрациоонная квартира\Заказ_Жилой дом №13.3 Западный демонстрациоонная квартира.xlsm</t>
  </si>
  <si>
    <t>\\Nas\Shared Docs\АРХИВ ЗАКАЗОВ 2\Жилой дом №13.3 Западный демонстрациоонная квартира</t>
  </si>
  <si>
    <t>ЭТЛ жд 14 28 49</t>
  </si>
  <si>
    <t>\\Nas\Shared Docs\АРХИВ ЗАКАЗОВ 2\ЭТЛ жд 14 28 49\Заказ_ЭТЛ жд 14 28 49.xlsm</t>
  </si>
  <si>
    <t>\\Nas\Shared Docs\АРХИВ ЗАКАЗОВ 2\ЭТЛ жд 14 28 49</t>
  </si>
  <si>
    <t>ЭТЛ жд 1 4 7 40</t>
  </si>
  <si>
    <t>\\Nas\Shared Docs\АРХИВ ЗАКАЗОВ 2\ЭТЛ жд 1 4 7 40\Заказ_ЭТЛ жд 1 4 7 40.xlsm</t>
  </si>
  <si>
    <t>\\Nas\Shared Docs\АРХИВ ЗАКАЗОВ 2\ЭТЛ жд 1 4 7 40</t>
  </si>
  <si>
    <t>ЭТЛ жд 32</t>
  </si>
  <si>
    <t>\\Nas\Shared Docs\АРХИВ ЗАКАЗОВ 2\ЭТЛ жд 32\Заказ_ЭТЛ жд 32.xlsm</t>
  </si>
  <si>
    <t>\\Nas\Shared Docs\АРХИВ ЗАКАЗОВ 2\ЭТЛ жд 32</t>
  </si>
  <si>
    <t>Жилой дом №32 Электроснабжение видеоэкрана</t>
  </si>
  <si>
    <t>\\Nas\Shared Docs\АРХИВ ЗАКАЗОВ 2\Жилой дом №32 Электроснабжение видеоэкрана\Заказ_Жилой дом №32 Электроснабжение видеоэкрана.xlsm</t>
  </si>
  <si>
    <t>\\Nas\Shared Docs\АРХИВ ЗАКАЗОВ 2\Жилой дом №32 Электроснабжение видеоэкрана</t>
  </si>
  <si>
    <t>Жилой дом №13.3 Западный (слаботочка)</t>
  </si>
  <si>
    <t>\\Nas\Shared Docs\АРХИВ ЗАКАЗОВ 2\Жилой дом №13.3 Западный (слаботочка)\Заказ_Жилой дом №13.3 Западный (слаботочка).xlsm</t>
  </si>
  <si>
    <t>\\Nas\Shared Docs\АРХИВ ЗАКАЗОВ 2\Жилой дом №13.3 Западный (слаботочка)</t>
  </si>
  <si>
    <t>Военная прокуратура 2 часть</t>
  </si>
  <si>
    <t>\\Nas\Shared Docs\АРХИВ ЗАКАЗОВ 2\Военная прокуратура 2 часть\Заказ_Военная прокуратура 2 часть.xlsm</t>
  </si>
  <si>
    <t>\\Nas\Shared Docs\АРХИВ ЗАКАЗОВ 2\Военная прокуратура 2 часть</t>
  </si>
  <si>
    <t>ЭОМ РБТ Замена светильников салон №16 Магнитогорск</t>
  </si>
  <si>
    <t>\\Nas\Shared Docs\АРХИВ ЗАКАЗОВ 2\ЭОМ РБТ Замена светильников салон №16 Магнитогорск\Заказ_ЭОМ РБТ Замена светильников салон №16 Магнитогорск.xlsm</t>
  </si>
  <si>
    <t>\\Nas\Shared Docs\АРХИВ ЗАКАЗОВ 2\ЭОМ РБТ Замена светильников салон №16 Магнитогорск</t>
  </si>
  <si>
    <t>ЭОМ РБТ Ишимбай ТРЦ Южный</t>
  </si>
  <si>
    <t>\\Nas\Shared Docs\АРХИВ ЗАКАЗОВ 2\ЭОМ РБТ Ишимбай ТРЦ Южный\Заказ_ЭОМ РБТ Ишимбай ТРЦ Южный.xlsm</t>
  </si>
  <si>
    <t>\\Nas\Shared Docs\АРХИВ ЗАКАЗОВ 2\ЭОМ РБТ Ишимбай ТРЦ Южный</t>
  </si>
  <si>
    <t>15 8</t>
  </si>
  <si>
    <t>\\Nas\Shared Docs\АРХИВ ЗАКАЗОВ 2\15 8\Заказ_15 8.xlsm</t>
  </si>
  <si>
    <t>\\Nas\Shared Docs\АРХИВ ЗАКАЗОВ 2\15 8</t>
  </si>
  <si>
    <t>Жилой дом №14.1 Западный (без квартир)</t>
  </si>
  <si>
    <t>\\Nas\Shared Docs\АРХИВ ЗАКАЗОВ 2\Жилой дом №14.1 Западный (без квартир)\Заказ_Жилой дом №14.1 Западный (без квартир).xlsm</t>
  </si>
  <si>
    <t>\\Nas\Shared Docs\АРХИВ ЗАКАЗОВ 2\Жилой дом №14.1 Западный (без квартир)</t>
  </si>
  <si>
    <t>Жилой дом №14.4 Западный (без квартир)</t>
  </si>
  <si>
    <t>\\Nas\Shared Docs\АРХИВ ЗАКАЗОВ 2\Жилой дом №14.4 Западный (без квартир)\Заказ_Жилой дом №14.4 Западный (без квартир).xlsm</t>
  </si>
  <si>
    <t>\\Nas\Shared Docs\АРХИВ ЗАКАЗОВ 2\Жилой дом №14.4 Западный (без квартир)</t>
  </si>
  <si>
    <t>Жилой дом №14.1; 14.4 Западный (без квартир)</t>
  </si>
  <si>
    <t>\\Nas\Shared Docs\АРХИВ ЗАКАЗОВ 2\Жилой дом №14.1; 14.4 Западный (без квартир)\Заказ_Жилой дом №14.1; 14.4 Западный (без квартир).xlsm</t>
  </si>
  <si>
    <t>\\Nas\Shared Docs\АРХИВ ЗАКАЗОВ 2\Жилой дом №14.1; 14.4 Западный (без квартир)</t>
  </si>
  <si>
    <t>54 дом Российская доп работы</t>
  </si>
  <si>
    <t>\\Nas\Shared Docs\АРХИВ ЗАКАЗОВ 2\54 дом Российская доп работы\Заказ_54 дом Российская доп работы.xlsm</t>
  </si>
  <si>
    <t>\\Nas\Shared Docs\АРХИВ ЗАКАЗОВ 2\54 дом Российская доп работы</t>
  </si>
  <si>
    <t>ЭОМ РБТ ТЦ АВРОРА Самара LERAN</t>
  </si>
  <si>
    <t>\\Nas\Shared Docs\АРХИВ ЗАКАЗОВ 2\ЭОМ РБТ ТЦ АВРОРА Самара LERAN\Заказ_ЭОМ РБТ ТЦ АВРОРА Самара LERAN.xlsm</t>
  </si>
  <si>
    <t>\\Nas\Shared Docs\АРХИВ ЗАКАЗОВ 2\ЭОМ РБТ ТЦ АВРОРА Самара LERAN</t>
  </si>
  <si>
    <t>79 дом</t>
  </si>
  <si>
    <t>\\Nas\Shared Docs\АРХИВ ЗАКАЗОВ 2\79 дом\Заказ_79 дом.xlsm</t>
  </si>
  <si>
    <t>\\Nas\Shared Docs\АРХИВ ЗАКАЗОВ 2\79 дом</t>
  </si>
  <si>
    <t>ж. д. Чурилово</t>
  </si>
  <si>
    <t>\\Nas\Shared Docs\АРХИВ ЗАКАЗОВ 2\ж. д. Чурилово\Заказ_ж. д. Чурилово.xlsm</t>
  </si>
  <si>
    <t>\\Nas\Shared Docs\АРХИВ ЗАКАЗОВ 2\ж. д. Чурилово</t>
  </si>
  <si>
    <t>ж. д. Чурилово кв. студия 26-28м2</t>
  </si>
  <si>
    <t>\\Nas\Shared Docs\АРХИВ ЗАКАЗОВ 2\ж. д. Чурилово кв. студия 26-28м2\Заказ_ж. д. Чурилово кв. студия 26-28м2.xlsm</t>
  </si>
  <si>
    <t>\\Nas\Shared Docs\АРХИВ ЗАКАЗОВ 2\ж. д. Чурилово кв. студия 26-28м2</t>
  </si>
  <si>
    <t>ж. д. Чурилово кв. студия 40м2</t>
  </si>
  <si>
    <t>\\Nas\Shared Docs\АРХИВ ЗАКАЗОВ 2\ж. д. Чурилово кв. студия 40м2\Заказ_ж. д. Чурилово кв. студия 40м2.xlsm</t>
  </si>
  <si>
    <t>\\Nas\Shared Docs\АРХИВ ЗАКАЗОВ 2\ж. д. Чурилово кв. студия 40м2</t>
  </si>
  <si>
    <t>Полифарм дополнительные работы (лоток)</t>
  </si>
  <si>
    <t>\\Nas\Shared Docs\АРХИВ ЗАКАЗОВ 2\Полифарм дополнительные работы (лоток)\Заказ_Полифарм дополнительные работы (лоток).xlsm</t>
  </si>
  <si>
    <t>\\Nas\Shared Docs\АРХИВ ЗАКАЗОВ 2\Полифарм дополнительные работы (лоток)</t>
  </si>
  <si>
    <t>Жилой дом №13.1 Западный (без квартир)</t>
  </si>
  <si>
    <t>\\Nas\Shared Docs\АРХИВ ЗАКАЗОВ 2\Жилой дом №13.1 Западный (без квартир)\Заказ_Жилой дом №13.1 Западный (без квартир).xlsm</t>
  </si>
  <si>
    <t>\\Nas\Shared Docs\АРХИВ ЗАКАЗОВ 2\Жилой дом №13.1 Западный (без квартир)</t>
  </si>
  <si>
    <t>v4.3</t>
  </si>
  <si>
    <t>Заказ_Жилой дом №13.1 Западный (без квартир)</t>
  </si>
  <si>
    <t>\\Nas\Shared Docs\АРХИВ ЗАКАЗОВ 2\Заказ_Жилой дом №13.1 Западный (без квартир)\Заказ_Заказ_Жилой дом №13.1 Западный (без квартир).xlsm</t>
  </si>
  <si>
    <t>\\Nas\Shared Docs\АРХИВ ЗАКАЗОВ 2\Заказ_Жилой дом №13.1 Западный (без квартир)</t>
  </si>
  <si>
    <t>Заказ_Жилой дом №13.2 Западный (без квартир)</t>
  </si>
  <si>
    <t>\\Nas\Shared Docs\АРХИВ ЗАКАЗОВ 2\Заказ_Жилой дом №13.2 Западный (без квартир)\Заказ_Заказ_Жилой дом №13.2 Западный (без квартир).xlsm</t>
  </si>
  <si>
    <t>\\Nas\Shared Docs\АРХИВ ЗАКАЗОВ 2\Заказ_Жилой дом №13.2 Западный (без квартир)</t>
  </si>
  <si>
    <t>Дополнительные работы 54 дом</t>
  </si>
  <si>
    <t>\\Nas\Shared Docs\АРХИВ ЗАКАЗОВ 2\Дополнительные работы 54 дом\Заказ_Дополнительные работы 54 дом.xlsm</t>
  </si>
  <si>
    <t>\\Nas\Shared Docs\АРХИВ ЗАКАЗОВ 2\Дополнительные работы 54 дом</t>
  </si>
  <si>
    <t>Владислав</t>
  </si>
  <si>
    <t>EVGENYLYANGE</t>
  </si>
  <si>
    <t>Дополнительное соглашение 13.3 13.4</t>
  </si>
  <si>
    <t>\\Nas\Shared Docs\АРХИВ ЗАКАЗОВ 2\Дополнительное соглашение 13.3 13.4\Заказ_Дополнительное соглашение 13.3 13.4.xlsm</t>
  </si>
  <si>
    <t>\\Nas\Shared Docs\АРХИВ ЗАКАЗОВ 2\Дополнительное соглашение 13.3 13.4</t>
  </si>
  <si>
    <t>Контур заземления Торгово-офисное здание</t>
  </si>
  <si>
    <t>\\Nas\Shared Docs\АРХИВ ЗАКАЗОВ 2\Контур заземления Торгово-офисное здание\Заказ_Контур заземления Торгово-офисное здание.xlsm</t>
  </si>
  <si>
    <t>\\Nas\Shared Docs\АРХИВ ЗАКАЗОВ 2\Контур заземления Торгово-офисное здание</t>
  </si>
  <si>
    <t>Жилой дом №14.2 Западный (без квартир)</t>
  </si>
  <si>
    <t>\\Nas\Shared Docs\АРХИВ ЗАКАЗОВ 2\Жилой дом №14.2 Западный (без квартир)\Заказ_Жилой дом №14.2 Западный (без квартир).xlsm</t>
  </si>
  <si>
    <t>\\Nas\Shared Docs\АРХИВ ЗАКАЗОВ 2\Жилой дом №14.2 Западный (без квартир)</t>
  </si>
  <si>
    <t>Жилой дом №14.3 Западный (без квартир)</t>
  </si>
  <si>
    <t>\\Nas\Shared Docs\АРХИВ ЗАКАЗОВ 2\Жилой дом №14.3 Западный (без квартир)\Заказ_Жилой дом №14.3 Западный (без квартир).xlsm</t>
  </si>
  <si>
    <t>\\Nas\Shared Docs\АРХИВ ЗАКАЗОВ 2\Жилой дом №14.3 Западный (без квартир)</t>
  </si>
  <si>
    <t>Тюмень КП ЭОМ РБТ ТРЦ Южный</t>
  </si>
  <si>
    <t>\\Nas\Shared Docs\АРХИВ ЗАКАЗОВ 2\Тюмень КП ЭОМ РБТ ТРЦ Южный\Заказ_Тюмень КП ЭОМ РБТ ТРЦ Южный.xlsm</t>
  </si>
  <si>
    <t>\\Nas\Shared Docs\АРХИВ ЗАКАЗОВ 2\Тюмень КП ЭОМ РБТ ТРЦ Южный</t>
  </si>
  <si>
    <t>Автомобильное училище</t>
  </si>
  <si>
    <t>\\Nas\Shared Docs\АРХИВ ЗАКАЗОВ 2\Автомобильное училище\Заказ_Автомобильное училище.xlsm</t>
  </si>
  <si>
    <t>\\Nas\Shared Docs\АРХИВ ЗАКАЗОВ 2\Автомобильное училище</t>
  </si>
  <si>
    <t>ПС Торгово-офисное помещение</t>
  </si>
  <si>
    <t>\\Nas\Shared Docs\АРХИВ ЗАКАЗОВ 2\ПС Торгово-офисное помещение\Заказ_ПС Торгово-офисное помещение.xlsm</t>
  </si>
  <si>
    <t>\\Nas\Shared Docs\АРХИВ ЗАКАЗОВ 2\ПС Торгово-офисное помещение</t>
  </si>
  <si>
    <t>Наружная подсветка 13.1, 13.2, 13.3, 13.4</t>
  </si>
  <si>
    <t>\\Nas\Shared Docs\АРХИВ ЗАКАЗОВ 2\Наружная подсветка 13.1, 13.2, 13.3, 13.4\Заказ_Наружная подсветка 13.1, 13.2, 13.3, 13.4.xlsm</t>
  </si>
  <si>
    <t>\\Nas\Shared Docs\АРХИВ ЗАКАЗОВ 2\Наружная подсветка 13.1, 13.2, 13.3, 13.4</t>
  </si>
  <si>
    <t>Наружное освещение 13.1-13.4</t>
  </si>
  <si>
    <t>\\Nas\Shared Docs\АРХИВ ЗАКАЗОВ 2\Наружное освещение 13.1-13.4\Заказ_Наружное освещение 13.1-13.4.xlsm</t>
  </si>
  <si>
    <t>\\Nas\Shared Docs\АРХИВ ЗАКАЗОВ 2\Наружное освещение 13.1-13.4</t>
  </si>
  <si>
    <t>МОП Российская,54</t>
  </si>
  <si>
    <t>\\Nas\Shared Docs\АРХИВ ЗАКАЗОВ 2\МОП Российская,54\Заказ_МОП Российская,54.xlsm</t>
  </si>
  <si>
    <t>\\Nas\Shared Docs\АРХИВ ЗАКАЗОВ 2\МОП Российская,54</t>
  </si>
  <si>
    <t>Жилой дом №12.3 Западный (без квартир)</t>
  </si>
  <si>
    <t>\\Nas\Shared Docs\АРХИВ ЗАКАЗОВ 2\Жилой дом №12.3 Западный (без квартир)\Заказ_Жилой дом №12.3 Западный (без квартир).xlsm</t>
  </si>
  <si>
    <t>\\Nas\Shared Docs\АРХИВ ЗАКАЗОВ 2\Жилой дом №12.3 Западный (без квартир)</t>
  </si>
  <si>
    <t>Жилой дом №12.1 Западный (без квартир)</t>
  </si>
  <si>
    <t>\\Nas\Shared Docs\АРХИВ ЗАКАЗОВ 2\Жилой дом №12.1 Западный (без квартир)\Заказ_Жилой дом №12.1 Западный (без квартир).xlsm</t>
  </si>
  <si>
    <t>\\Nas\Shared Docs\АРХИВ ЗАКАЗОВ 2\Жилой дом №12.1 Западный (без квартир)</t>
  </si>
  <si>
    <t>Жилой дом №12.2Западный (без квартир)</t>
  </si>
  <si>
    <t>\\Nas\Shared Docs\АРХИВ ЗАКАЗОВ 2\Жилой дом №12.2Западный (без квартир)\Заказ_Жилой дом №12.2Западный (без квартир).xlsm</t>
  </si>
  <si>
    <t>\\Nas\Shared Docs\АРХИВ ЗАКАЗОВ 2\Жилой дом №12.2Западный (без квартир)</t>
  </si>
  <si>
    <t>Жилой дом №12.4 Западный (без квартир)</t>
  </si>
  <si>
    <t>\\Nas\Shared Docs\АРХИВ ЗАКАЗОВ 2\Жилой дом №12.4 Западный (без квартир)\Заказ_Жилой дом №12.4 Западный (без квартир).xlsm</t>
  </si>
  <si>
    <t>\\Nas\Shared Docs\АРХИВ ЗАКАЗОВ 2\Жилой дом №12.4 Западный (без квартир)</t>
  </si>
  <si>
    <t>РБТ Энергетиков</t>
  </si>
  <si>
    <t>\\Nas\Shared Docs\АРХИВ ЗАКАЗОВ 2\РБТ Энергетиков\Заказ_РБТ Энергетиков.xlsm</t>
  </si>
  <si>
    <t>\\Nas\Shared Docs\АРХИВ ЗАКАЗОВ 2\РБТ Энергетиков</t>
  </si>
  <si>
    <t>ЛЕГИОН жд 1.1</t>
  </si>
  <si>
    <t>\\Nas\Shared Docs\АРХИВ ЗАКАЗОВ 2\ЛЕГИОН жд 1.1\Заказ_ЛЕГИОН жд 1.1.xlsm</t>
  </si>
  <si>
    <t>\\Nas\Shared Docs\АРХИВ ЗАКАЗОВ 2\ЛЕГИОН жд 1.1</t>
  </si>
  <si>
    <t>РБТ Горки</t>
  </si>
  <si>
    <t>\\Nas\Shared Docs\АРХИВ ЗАКАЗОВ 2\РБТ Горки\Заказ_РБТ Горки.xlsm</t>
  </si>
  <si>
    <t>\\Nas\Shared Docs\АРХИВ ЗАКАЗОВ 2\РБТ Горки</t>
  </si>
  <si>
    <t>РБТ Кашириных</t>
  </si>
  <si>
    <t>\\Nas\Shared Docs\АРХИВ ЗАКАЗОВ 2\РБТ Кашириных\Заказ_РБТ Кашириных.xlsm</t>
  </si>
  <si>
    <t>\\Nas\Shared Docs\АРХИВ ЗАКАЗОВ 2\РБТ Кашириных</t>
  </si>
  <si>
    <t>Дополнительное соглашение 13.1</t>
  </si>
  <si>
    <t>\\Nas\Shared Docs\АРХИВ ЗАКАЗОВ 2\Дополнительное соглашение 13.1\Заказ_Дополнительное соглашение 13.1.xlsm</t>
  </si>
  <si>
    <t>\\Nas\Shared Docs\АРХИВ ЗАКАЗОВ 2\Дополнительное соглашение 13.1</t>
  </si>
  <si>
    <t>Дополнительное соглашение 13.2</t>
  </si>
  <si>
    <t>\\Nas\Shared Docs\АРХИВ ЗАКАЗОВ 2\Дополнительное соглашение 13.2\Заказ_Дополнительное соглашение 13.2.xlsm</t>
  </si>
  <si>
    <t>\\Nas\Shared Docs\АРХИВ ЗАКАЗОВ 2\Дополнительное соглашение 13.2</t>
  </si>
  <si>
    <t>Дополнительное соглашение 14.1</t>
  </si>
  <si>
    <t>\\Nas\Shared Docs\АРХИВ ЗАКАЗОВ 2\Дополнительное соглашение 14.1\Заказ_Дополнительное соглашение 14.1.xlsm</t>
  </si>
  <si>
    <t>\\Nas\Shared Docs\АРХИВ ЗАКАЗОВ 2\Дополнительное соглашение 14.1</t>
  </si>
  <si>
    <t>Дополнительное соглашение 14.4</t>
  </si>
  <si>
    <t>\\Nas\Shared Docs\АРХИВ ЗАКАЗОВ 2\Дополнительное соглашение 14.4\Заказ_Дополнительное соглашение 14.4.xlsm</t>
  </si>
  <si>
    <t>\\Nas\Shared Docs\АРХИВ ЗАКАЗОВ 2\Дополнительное соглашение 14.4</t>
  </si>
  <si>
    <t>РБТ Леран Тюмень</t>
  </si>
  <si>
    <t>\\Nas\Shared Docs\АРХИВ ЗАКАЗОВ 2\РБТ Леран Тюмень\Заказ_РБТ Леран Тюмень.xlsm</t>
  </si>
  <si>
    <t>\\Nas\Shared Docs\АРХИВ ЗАКАЗОВ 2\РБТ Леран Тюмень</t>
  </si>
  <si>
    <t>Дополнительные работы разделение квартир 54 дом</t>
  </si>
  <si>
    <t>\\Nas\Shared Docs\АРХИВ ЗАКАЗОВ 2\Дополнительные работы разделение квартир 54 дом\Заказ_Дополнительные работы разделение квартир 54 дом.xlsm</t>
  </si>
  <si>
    <t>\\Nas\Shared Docs\АРХИВ ЗАКАЗОВ 2\Дополнительные работы разделение квартир 54 дом</t>
  </si>
  <si>
    <t>РБТ Леран Тюмень Допник</t>
  </si>
  <si>
    <t>\\Nas\Shared Docs\АРХИВ ЗАКАЗОВ 2\РБТ Леран Тюмень Допник\Заказ_РБТ Леран Тюмень Допник.xlsm</t>
  </si>
  <si>
    <t>\\Nas\Shared Docs\АРХИВ ЗАКАЗОВ 2\РБТ Леран Тюмень Допник</t>
  </si>
  <si>
    <t>ДНС Челябинск Салютная 10</t>
  </si>
  <si>
    <t>\\Nas\Shared Docs\АРХИВ ЗАКАЗОВ 2\ДНС Челябинск Салютная 10\Заказ_ДНС Челябинск Салютная 10.xlsm</t>
  </si>
  <si>
    <t>\\Nas\Shared Docs\АРХИВ ЗАКАЗОВ 2\ДНС Челябинск Салютная 10</t>
  </si>
  <si>
    <t>Спар Барбюсса,22</t>
  </si>
  <si>
    <t>\\Nas\Shared Docs\АРХИВ ЗАКАЗОВ 2\Спар Барбюсса,22\Заказ_Спар Барбюсса,22.xlsm</t>
  </si>
  <si>
    <t>\\Nas\Shared Docs\АРХИВ ЗАКАЗОВ 2\Спар Барбюсса,22</t>
  </si>
  <si>
    <t>ЭОМ РБТ ТЦ Палитра доп работы</t>
  </si>
  <si>
    <t>\\Nas\Shared Docs\АРХИВ ЗАКАЗОВ 2\ЭОМ РБТ ТЦ Палитра доп работы\Заказ_ЭОМ РБТ ТЦ Палитра доп работы.xlsm</t>
  </si>
  <si>
    <t>\\Nas\Shared Docs\АРХИВ ЗАКАЗОВ 2\ЭОМ РБТ ТЦ Палитра доп работы</t>
  </si>
  <si>
    <t>РБТ Леран Кольцо Челябинск</t>
  </si>
  <si>
    <t>\\Nas\Shared Docs\АРХИВ ЗАКАЗОВ 2\РБТ Леран Кольцо Челябинск\Заказ_РБТ Леран Кольцо Челябинск.xlsm</t>
  </si>
  <si>
    <t>\\Nas\Shared Docs\АРХИВ ЗАКАЗОВ 2\РБТ Леран Кольцо Челябинск</t>
  </si>
  <si>
    <t>РБТ Леран Оренбург</t>
  </si>
  <si>
    <t>\\Nas\Shared Docs\АРХИВ ЗАКАЗОВ 2\РБТ Леран Оренбург\Заказ_РБТ Леран Оренбург.xlsm</t>
  </si>
  <si>
    <t>\\Nas\Shared Docs\АРХИВ ЗАКАЗОВ 2\РБТ Леран Оренбург</t>
  </si>
  <si>
    <t>ЭОМ РБТ Сталеваров,15</t>
  </si>
  <si>
    <t>\\Nas\Shared Docs\АРХИВ ЗАКАЗОВ 2\ЭОМ РБТ Сталеваров,15\Заказ_ЭОМ РБТ Сталеваров,15.xlsm</t>
  </si>
  <si>
    <t>\\Nas\Shared Docs\АРХИВ ЗАКАЗОВ 2\ЭОМ РБТ Сталеваров,15</t>
  </si>
  <si>
    <t>ЭОМ Леран Сталеваров 15</t>
  </si>
  <si>
    <t>\\Nas\Shared Docs\АРХИВ ЗАКАЗОВ 2\ЭОМ Леран Сталеваров 15\Заказ_ЭОМ Леран Сталеваров 15.xlsm</t>
  </si>
  <si>
    <t>user</t>
  </si>
  <si>
    <t>COMPUTERSTARKOV</t>
  </si>
  <si>
    <t>\\Nas\Shared Docs\АРХИВ ЗАКАЗОВ 2\ЭОМ Леран Сталеваров 15</t>
  </si>
  <si>
    <t>ЭОМ ЛЕРАН Екатеринбург</t>
  </si>
  <si>
    <t>\\Nas\Shared Docs\АРХИВ ЗАКАЗОВ 2\ЭОМ ЛЕРАН Екатеринбург\Заказ_ЭОМ ЛЕРАН Екатеринбург.xlsm</t>
  </si>
  <si>
    <t>\\Nas\Shared Docs\АРХИВ ЗАКАЗОВ 2\ЭОМ ЛЕРАН Екатеринбург</t>
  </si>
  <si>
    <t>Жилой дом №1.5Г</t>
  </si>
  <si>
    <t>\\Nas\Shared Docs\АРХИВ ЗАКАЗОВ 2\Жилой дом №1.5Г\Заказ_Жилой дом №1.5Г.xlsm</t>
  </si>
  <si>
    <t>\\Nas\Shared Docs\АРХИВ ЗАКАЗОВ 2\Жилой дом №1.5Г</t>
  </si>
  <si>
    <t>ж д 1.39</t>
  </si>
  <si>
    <t>\\Nas\Shared Docs\АРХИВ ЗАКАЗОВ 2\ж д 1.39\Заказ_ж д 1.39.xlsm</t>
  </si>
  <si>
    <t>\\Nas\Shared Docs\АРХИВ ЗАКАЗОВ 2\ж д 1.39</t>
  </si>
  <si>
    <t>59 дом</t>
  </si>
  <si>
    <t>\\Nas\Shared Docs\АРХИВ ЗАКАЗОВ 2\59 дом\Заказ_59 дом.xlsm</t>
  </si>
  <si>
    <t>\\Nas\Shared Docs\АРХИВ ЗАКАЗОВ 2\59 дом</t>
  </si>
  <si>
    <t>Жилой дом №10.1 Западный (без квартир)</t>
  </si>
  <si>
    <t>\\Nas\Shared Docs\АРХИВ ЗАКАЗОВ 2\Жилой дом №10.1 Западный (без квартир)\Заказ_Жилой дом №10.1 Западный (без квартир).xlsm</t>
  </si>
  <si>
    <t>\\Nas\Shared Docs\АРХИВ ЗАКАЗОВ 2\Жилой дом №10.1 Западный (без квартир)</t>
  </si>
  <si>
    <t>Жилой дом №10.2 Западный (без квартир)</t>
  </si>
  <si>
    <t>\\Nas\Shared Docs\АРХИВ ЗАКАЗОВ 2\Жилой дом №10.2 Западный (без квартир)\Заказ_Жилой дом №10.2 Западный (без квартир).xlsm</t>
  </si>
  <si>
    <t>\\Nas\Shared Docs\АРХИВ ЗАКАЗОВ 2\Жилой дом №10.2 Западный (без квартир)</t>
  </si>
  <si>
    <t>Жилой дом №10.3 Западный (без квартир)</t>
  </si>
  <si>
    <t>\\Nas\Shared Docs\АРХИВ ЗАКАЗОВ 2\Жилой дом №10.3 Западный (без квартир)\Заказ_Жилой дом №10.3 Западный (без квартир).xlsm</t>
  </si>
  <si>
    <t>\\Nas\Shared Docs\АРХИВ ЗАКАЗОВ 2\Жилой дом №10.3 Западный (без квартир)</t>
  </si>
  <si>
    <t>Наружное освещение 14 кластер</t>
  </si>
  <si>
    <t>\\Nas\Shared Docs\АРХИВ ЗАКАЗОВ 2\Наружное освещение 14 кластер\Заказ_Наружное освещение 14 кластер.xlsm</t>
  </si>
  <si>
    <t>\\Nas\Shared Docs\АРХИВ ЗАКАЗОВ 2\Наружное освещение 14 кластер</t>
  </si>
  <si>
    <t>Жилой дом №11.1 Западный (без квартир)</t>
  </si>
  <si>
    <t>\\Nas\Shared Docs\АРХИВ ЗАКАЗОВ 2\Жилой дом №11.1 Западный (без квартир)\Заказ_Жилой дом №11.1 Западный (без квартир).xlsm</t>
  </si>
  <si>
    <t>\\Nas\Shared Docs\АРХИВ ЗАКАЗОВ 2\Жилой дом №11.1 Западный (без квартир)</t>
  </si>
  <si>
    <t>Жилой дом №11.2 Западный (без квартир)</t>
  </si>
  <si>
    <t>\\Nas\Shared Docs\АРХИВ ЗАКАЗОВ 2\Жилой дом №11.2 Западный (без квартир)\Заказ_Жилой дом №11.2 Западный (без квартир).xlsm</t>
  </si>
  <si>
    <t>\\Nas\Shared Docs\АРХИВ ЗАКАЗОВ 2\Жилой дом №11.2 Западный (без квартир)</t>
  </si>
  <si>
    <t>Жилой дом №11.3 Западный (без квартир)</t>
  </si>
  <si>
    <t>\\Nas\Shared Docs\АРХИВ ЗАКАЗОВ 2\Жилой дом №11.3 Западный (без квартир)\Заказ_Жилой дом №11.3 Западный (без квартир).xlsm</t>
  </si>
  <si>
    <t>\\Nas\Shared Docs\АРХИВ ЗАКАЗОВ 2\Жилой дом №11.3 Западный (без квартир)</t>
  </si>
  <si>
    <t>Доп работы миаасское Кабель в кв</t>
  </si>
  <si>
    <t>\\Nas\Shared Docs\АРХИВ ЗАКАЗОВ 2\Доп работы миаасское Кабель в кв\Заказ_Доп работы миаасское Кабель в кв.xlsm</t>
  </si>
  <si>
    <t>\\Nas\Shared Docs\АРХИВ ЗАКАЗОВ 2\Доп работы миаасское Кабель в кв</t>
  </si>
  <si>
    <t>ЭОМ РБТ Красноярск</t>
  </si>
  <si>
    <t>\\Nas\Shared Docs\АРХИВ ЗАКАЗОВ 2\ЭОМ РБТ Красноярск\Заказ_ЭОМ РБТ Красноярск.xlsm</t>
  </si>
  <si>
    <t>\\Nas\Shared Docs\АРХИВ ЗАКАЗОВ 2\ЭОМ РБТ Красноярск</t>
  </si>
  <si>
    <t>Дополнительные работы 4. Российская,54</t>
  </si>
  <si>
    <t>\\Nas\Shared Docs\АРХИВ ЗАКАЗОВ 2\Дополнительные работы 4. Российская,54\Заказ_Дополнительные работы 4. Российская,54.xlsm</t>
  </si>
  <si>
    <t>\\Nas\Shared Docs\АРХИВ ЗАКАЗОВ 2\Дополнительные работы 4. Российская,54</t>
  </si>
  <si>
    <t>ЭОМ ЛЕРАН Когалым</t>
  </si>
  <si>
    <t>\\Nas\Shared Docs\АРХИВ ЗАКАЗОВ 2\ЭОМ ЛЕРАН Когалым\Заказ_ЭОМ ЛЕРАН Когалым.xlsm</t>
  </si>
  <si>
    <t>\\Nas\Shared Docs\АРХИВ ЗАКАЗОВ 2\ЭОМ ЛЕРАН Когалым</t>
  </si>
  <si>
    <t>ЭОМ Реконструкция (Любимый дом) Когалым</t>
  </si>
  <si>
    <t>\\Nas\Shared Docs\АРХИВ ЗАКАЗОВ 2\ЭОМ Реконструкция (Любимый дом) Когалым\Заказ_ЭОМ Реконструкция (Любимый дом) Когалым.xlsm</t>
  </si>
  <si>
    <t>\\Nas\Shared Docs\АРХИВ ЗАКАЗОВ 2\ЭОМ Реконструкция (Любимый дом) Когалым</t>
  </si>
  <si>
    <t>Замена светильников Златоуст</t>
  </si>
  <si>
    <t>\\Nas\Shared Docs\АРХИВ ЗАКАЗОВ 2\Замена светильников Златоуст\Заказ_Замена светильников Златоуст.xlsm</t>
  </si>
  <si>
    <t>\\Nas\Shared Docs\АРХИВ ЗАКАЗОВ 2\Замена светильников Златоуст</t>
  </si>
  <si>
    <t>Дополнительные Работы Ж.Д. №14.2</t>
  </si>
  <si>
    <t>\\Nas\Shared Docs\АРХИВ ЗАКАЗОВ 2\Дополнительные Работы Ж.Д. №14.2\Заказ_Дополнительные Работы Ж.Д. №14.2.xlsm</t>
  </si>
  <si>
    <t>\\Nas\Shared Docs\АРХИВ ЗАКАЗОВ 2\Дополнительные Работы Ж.Д. №14.2</t>
  </si>
  <si>
    <t>Дополнительные Работы Ж.Д. №14.3</t>
  </si>
  <si>
    <t>\\Nas\Shared Docs\АРХИВ ЗАКАЗОВ 2\Дополнительные Работы Ж.Д. №14.3\Заказ_Дополнительные Работы Ж.Д. №14.3.xlsm</t>
  </si>
  <si>
    <t>\\Nas\Shared Docs\АРХИВ ЗАКАЗОВ 2\Дополнительные Работы Ж.Д. №14.3</t>
  </si>
  <si>
    <t>ЭОМ ЛЕРАН Иркутск</t>
  </si>
  <si>
    <t>\\Nas\Shared Docs\АРХИВ ЗАКАЗОВ 2\ЭОМ ЛЕРАН Иркутск\Заказ_ЭОМ ЛЕРАН Иркутск.xlsm</t>
  </si>
  <si>
    <t>\\Nas\Shared Docs\АРХИВ ЗАКАЗОВ 2\ЭОМ ЛЕРАН Иркутск</t>
  </si>
  <si>
    <t>Дополнительные работы ж.д.№14.1</t>
  </si>
  <si>
    <t>\\Nas\Shared Docs\АРХИВ ЗАКАЗОВ 2\Дополнительные работы ж.д.№14.1\Заказ_Дополнительные работы ж.д.№14.1.xlsm</t>
  </si>
  <si>
    <t>\\Nas\Shared Docs\АРХИВ ЗАКАЗОВ 2\Дополнительные работы ж.д.№14.1</t>
  </si>
  <si>
    <t>Дополнительные работы ж.д.№14.4</t>
  </si>
  <si>
    <t>\\Nas\Shared Docs\АРХИВ ЗАКАЗОВ 2\Дополнительные работы ж.д.№14.4\Заказ_Дополнительные работы ж.д.№14.4.xlsm</t>
  </si>
  <si>
    <t>\\Nas\Shared Docs\АРХИВ ЗАКАЗОВ 2\Дополнительные работы ж.д.№14.4</t>
  </si>
  <si>
    <t>ЭОМ РБТ Улан-Уде</t>
  </si>
  <si>
    <t>\\Nas\Shared Docs\АРХИВ ЗАКАЗОВ 2\ЭОМ РБТ Улан-Уде\Заказ_ЭОМ РБТ Улан-Уде.xlsm</t>
  </si>
  <si>
    <t>\\Nas\Shared Docs\АРХИВ ЗАКАЗОВ 2\ЭОМ РБТ Улан-Уде</t>
  </si>
  <si>
    <t>ЭОМ РБТ Улан-Уде ТРЦ</t>
  </si>
  <si>
    <t>\\Nas\Shared Docs\АРХИВ ЗАКАЗОВ 2\ЭОМ РБТ Улан-Уде ТРЦ\Заказ_ЭОМ РБТ Улан-Уде ТРЦ.xlsm</t>
  </si>
  <si>
    <t>\\Nas\Shared Docs\АРХИВ ЗАКАЗОВ 2\ЭОМ РБТ Улан-Уде ТРЦ</t>
  </si>
  <si>
    <t>ЭОМ РБТ Улан-Уде ТРЦ CAPITAL MOLL</t>
  </si>
  <si>
    <t>\\Nas\Shared Docs\АРХИВ ЗАКАЗОВ 2\ЭОМ РБТ Улан-Уде ТРЦ CAPITAL MOLL\Заказ_ЭОМ РБТ Улан-Уде ТРЦ CAPITAL MOLL.xlsm</t>
  </si>
  <si>
    <t>\\Nas\Shared Docs\АРХИВ ЗАКАЗОВ 2\ЭОМ РБТ Улан-Уде ТРЦ CAPITAL MOLL</t>
  </si>
  <si>
    <t>Реконструкция столовой Л-212</t>
  </si>
  <si>
    <t>\\Nas\Shared Docs\АРХИВ ЗАКАЗОВ 2\Реконструкция столовой Л-212\Заказ_Реконструкция столовой Л-212.xlsm</t>
  </si>
  <si>
    <t>\\Nas\Shared Docs\АРХИВ ЗАКАЗОВ 2\Реконструкция столовой Л-212</t>
  </si>
  <si>
    <t>Школа</t>
  </si>
  <si>
    <t>\\Nas\Shared Docs\АРХИВ ЗАКАЗОВ 2\Школа\Заказ_Школа.xlsm</t>
  </si>
  <si>
    <t>\\Nas\Shared Docs\АРХИВ ЗАКАЗОВ 2\Школа</t>
  </si>
  <si>
    <t>Наружное освещение между 12 и 13 кластером</t>
  </si>
  <si>
    <t>\\Nas\Shared Docs\АРХИВ ЗАКАЗОВ 2\Наружное освещение между 12 и 13 кластером\Заказ_Наружное освещение между 12 и 13 кластером.xlsm</t>
  </si>
  <si>
    <t>\\Nas\Shared Docs\АРХИВ ЗАКАЗОВ 2\Наружное освещение между 12 и 13 кластером</t>
  </si>
  <si>
    <t>ЭОМ РБТ Улан-Уде ТЦ Первый</t>
  </si>
  <si>
    <t>\\Nas\Shared Docs\АРХИВ ЗАКАЗОВ 2\ЭОМ РБТ Улан-Уде ТЦ Первый\Заказ_ЭОМ РБТ Улан-Уде ТЦ Первый.xlsm</t>
  </si>
  <si>
    <t>\\Nas\Shared Docs\АРХИВ ЗАКАЗОВ 2\ЭОМ РБТ Улан-Уде ТЦ Первый</t>
  </si>
  <si>
    <t>ЭОМ РБТ Иркутск ТРЦ Юбилейный</t>
  </si>
  <si>
    <t>\\Nas\Shared Docs\АРХИВ ЗАКАЗОВ 2\ЭОМ РБТ Иркутск ТРЦ Юбилейный\Заказ_ЭОМ РБТ Иркутск ТРЦ Юбилейный.xlsm</t>
  </si>
  <si>
    <t>\\Nas\Shared Docs\АРХИВ ЗАКАЗОВ 2\ЭОМ РБТ Иркутск ТРЦ Юбилейный</t>
  </si>
  <si>
    <t>Спар Энгельса 44</t>
  </si>
  <si>
    <t>\\Nas\Shared Docs\АРХИВ ЗАКАЗОВ 2\Спар Энгельса 44\Заказ_Спар Энгельса 44.xlsm</t>
  </si>
  <si>
    <t>\\Nas\Shared Docs\АРХИВ ЗАКАЗОВ 2\Спар Энгельса 44</t>
  </si>
  <si>
    <t>Многоуровневая Автостоянка с магазином и кафе</t>
  </si>
  <si>
    <t>\\Nas\Shared Docs\АРХИВ ЗАКАЗОВ 2\Многоуровневая Автостоянка с магазином и кафе\Заказ_Многоуровневая Автостоянка с магазином и кафе.xlsm</t>
  </si>
  <si>
    <t>\\Nas\Shared Docs\АРХИВ ЗАКАЗОВ 2\Многоуровневая Автостоянка с магазином и кафе</t>
  </si>
  <si>
    <t>ЮУрГУ освещение 898 673</t>
  </si>
  <si>
    <t>\\Nas\Shared Docs\АРХИВ ЗАКАЗОВ 2\ЮУрГУ освещение 898 673\Заказ_ЮУрГУ освещение 898 673.xlsm</t>
  </si>
  <si>
    <t>\\Nas\Shared Docs\АРХИВ ЗАКАЗОВ 2\ЮУрГУ освещение 898 673</t>
  </si>
  <si>
    <t>ВРУ СПАР Энгельса 44</t>
  </si>
  <si>
    <t>\\Nas\Shared Docs\АРХИВ ЗАКАЗОВ 2\ВРУ СПАР Энгельса 44\Заказ_ВРУ СПАР Энгельса 44.xlsm</t>
  </si>
  <si>
    <t>\\Nas\Shared Docs\АРХИВ ЗАКАЗОВ 2\ВРУ СПАР Энгельса 44</t>
  </si>
  <si>
    <t>Квартира №4 в жилом доме 1.1</t>
  </si>
  <si>
    <t>\\Nas\Shared Docs\АРХИВ ЗАКАЗОВ 2\Квартира №4 в жилом доме 1.1\Заказ_Квартира №4 в жилом доме 1.1.xlsm</t>
  </si>
  <si>
    <t>\\Nas\Shared Docs\АРХИВ ЗАКАЗОВ 2\Квартира №4 в жилом доме 1.1</t>
  </si>
  <si>
    <t>Чурилово дом 3,7</t>
  </si>
  <si>
    <t>\\Nas\Shared Docs\АРХИВ ЗАКАЗОВ 2\Чурилово дом 3,7\Заказ_Чурилово дом 3,7.xlsm</t>
  </si>
  <si>
    <t>\\Nas\Shared Docs\АРХИВ ЗАКАЗОВ 2\Чурилово дом 3,7</t>
  </si>
  <si>
    <t>ЭОМ ЛЕРАН Югорск</t>
  </si>
  <si>
    <t>\\Nas\Shared Docs\АРХИВ ЗАКАЗОВ 2\ЭОМ ЛЕРАН Югорск\Заказ_ЭОМ ЛЕРАН Югорск.xlsm</t>
  </si>
  <si>
    <t>\\Nas\Shared Docs\АРХИВ ЗАКАЗОВ 2\ЭОМ ЛЕРАН Югорск</t>
  </si>
  <si>
    <t>Спар арендаторы</t>
  </si>
  <si>
    <t>\\Nas\Shared Docs\АРХИВ ЗАКАЗОВ 2\Спар арендаторы\Заказ_Спар арендаторы.xlsm</t>
  </si>
  <si>
    <t>\\Nas\Shared Docs\АРХИВ ЗАКАЗОВ 2\Спар арендаторы</t>
  </si>
  <si>
    <t>Наружное освещение 12 кластера</t>
  </si>
  <si>
    <t>\\Nas\Shared Docs\АРХИВ ЗАКАЗОВ 2\Наружное освещение 12 кластера\Заказ_Наружное освещение 12 кластера.xlsm</t>
  </si>
  <si>
    <t>COMPUTERLYANGE</t>
  </si>
  <si>
    <t>\\Nas\Shared Docs\АРХИВ ЗАКАЗОВ 2\Наружное освещение 12 кластера</t>
  </si>
  <si>
    <t>Школа Парковый</t>
  </si>
  <si>
    <t>\\Nas\Shared Docs\АРХИВ ЗАКАЗОВ 2\Школа Парковый\Заказ_Школа Парковый.xlsm</t>
  </si>
  <si>
    <t>\\Nas\Shared Docs\АРХИВ ЗАКАЗОВ 2\Школа Парковый</t>
  </si>
  <si>
    <t>Замена светильников РБТ Куба</t>
  </si>
  <si>
    <t>\\Nas\Shared Docs\АРХИВ ЗАКАЗОВ 2\Замена светильников РБТ Куба\Заказ_Замена светильников РБТ Куба.xlsm</t>
  </si>
  <si>
    <t>\\Nas\Shared Docs\АРХИВ ЗАКАЗОВ 2\Замена светильников РБТ Куба</t>
  </si>
  <si>
    <t>Спар Энгельса 44 2версия</t>
  </si>
  <si>
    <t>\\Nas\Shared Docs\АРХИВ ЗАКАЗОВ 2\Спар Энгельса 44 2версия\Заказ_Спар Энгельса 44 2версия.xlsm</t>
  </si>
  <si>
    <t>\\Nas\Shared Docs\АРХИВ ЗАКАЗОВ 2\Спар Энгельса 44 2версия</t>
  </si>
  <si>
    <t>ЭОМ ЛЕРАН Сургут</t>
  </si>
  <si>
    <t>\\Nas\Shared Docs\АРХИВ ЗАКАЗОВ 2\ЭОМ ЛЕРАН Сургут\Заказ_ЭОМ ЛЕРАН Сургут.xlsm</t>
  </si>
  <si>
    <t>\\Nas\Shared Docs\АРХИВ ЗАКАЗОВ 2\ЭОМ ЛЕРАН Сургут</t>
  </si>
  <si>
    <t>Жилой дом №16.3 Западный (без квартир)</t>
  </si>
  <si>
    <t>\\Nas\Shared Docs\АРХИВ ЗАКАЗОВ 2\Жилой дом №16.3 Западный (без квартир)\Заказ_Жилой дом №16.3 Западный (без квартир).xlsm</t>
  </si>
  <si>
    <t>\\Nas\Shared Docs\АРХИВ ЗАКАЗОВ 2\Жилой дом №16.3 Западный (без квартир)</t>
  </si>
  <si>
    <t>РБТ Омск ТРЦ Континент</t>
  </si>
  <si>
    <t>\\Nas\Shared Docs\АРХИВ ЗАКАЗОВ 2\РБТ Омск ТРЦ Континент\Заказ_РБТ Омск ТРЦ Континент.xlsm</t>
  </si>
  <si>
    <t>\\Nas\Shared Docs\АРХИВ ЗАКАЗОВ 2\РБТ Омск ТРЦ Континент</t>
  </si>
  <si>
    <t>Жилой дом №16.5 Западный (без квартир)</t>
  </si>
  <si>
    <t>\\Nas\Shared Docs\АРХИВ ЗАКАЗОВ 2\Жилой дом №16.5 Западный (без квартир)\Заказ_Жилой дом №16.5 Западный (без квартир).xlsm</t>
  </si>
  <si>
    <t>\\Nas\Shared Docs\АРХИВ ЗАКАЗОВ 2\Жилой дом №16.5 Западный (без квартир)</t>
  </si>
  <si>
    <t>ЭОМ ЛЕРАН Пермь</t>
  </si>
  <si>
    <t>\\Nas\Shared Docs\АРХИВ ЗАКАЗОВ 2\ЭОМ ЛЕРАН Пермь\Заказ_ЭОМ ЛЕРАН Пермь.xlsm</t>
  </si>
  <si>
    <t>\\Nas\Shared Docs\АРХИВ ЗАКАЗОВ 2\ЭОМ ЛЕРАН Пермь</t>
  </si>
  <si>
    <t>ЭОМ ЛЕРАН Пермь с лотком под светильники</t>
  </si>
  <si>
    <t>\\Nas\Shared Docs\АРХИВ ЗАКАЗОВ 2\ЭОМ ЛЕРАН Пермь с лотком под светильники\Заказ_ЭОМ ЛЕРАН Пермь с лотком под светильники.xlsm</t>
  </si>
  <si>
    <t>\\Nas\Shared Docs\АРХИВ ЗАКАЗОВ 2\ЭОМ ЛЕРАН Пермь с лотком под светильники</t>
  </si>
  <si>
    <t>ЭОМ ЛЕРАН Пермь без лотка под светильники</t>
  </si>
  <si>
    <t>\\Nas\Shared Docs\АРХИВ ЗАКАЗОВ 2\ЭОМ ЛЕРАН Пермь без лотка под светильники\Заказ_ЭОМ ЛЕРАН Пермь без лотка под светильники.xlsm</t>
  </si>
  <si>
    <t>\\Nas\Shared Docs\АРХИВ ЗАКАЗОВ 2\ЭОМ ЛЕРАН Пермь без лотка под светильники</t>
  </si>
  <si>
    <t>Жилой дом 1.36</t>
  </si>
  <si>
    <t>\\Nas\Shared Docs\АРХИВ ЗАКАЗОВ 2\Жилой дом 1.36\Заказ_Жилой дом 1.36.xlsm</t>
  </si>
  <si>
    <t>\\Nas\Shared Docs\АРХИВ ЗАКАЗОВ 2\Жилой дом 1.36</t>
  </si>
  <si>
    <t>Жилой дом 1.36 (без квартир)</t>
  </si>
  <si>
    <t>\\Nas\Shared Docs\АРХИВ ЗАКАЗОВ 2\Жилой дом 1.36 (без квартир)\Заказ_Жилой дом 1.36 (без квартир).xlsm</t>
  </si>
  <si>
    <t>\\Nas\Shared Docs\АРХИВ ЗАКАЗОВ 2\Жилой дом 1.36 (без квартир)</t>
  </si>
  <si>
    <t>102 дом</t>
  </si>
  <si>
    <t>\\Nas\Shared Docs\АРХИВ ЗАКАЗОВ 2\102 дом\Заказ_102 дом.xlsm</t>
  </si>
  <si>
    <t>\\Nas\Shared Docs\АРХИВ ЗАКАЗОВ 2\102 дом</t>
  </si>
  <si>
    <t>ЭОМ ЛЕРАН Челябинск ТРК Космос со слаботочкой</t>
  </si>
  <si>
    <t>\\Nas\Shared Docs\АРХИВ ЗАКАЗОВ 2\ЭОМ ЛЕРАН Челябинск ТРК Космос со слаботочкой\Заказ_ЭОМ ЛЕРАН Челябинск ТРК Космос со слаботочкой.xlsm</t>
  </si>
  <si>
    <t>\\Nas\Shared Docs\АРХИВ ЗАКАЗОВ 2\ЭОМ ЛЕРАН Челябинск ТРК Космос со слаботочкой</t>
  </si>
  <si>
    <t>ЭОМ ЛЕРАН Челябинск ТРК Космос без слаботочкой</t>
  </si>
  <si>
    <t>\\Nas\Shared Docs\АРХИВ ЗАКАЗОВ 2\ЭОМ ЛЕРАН Челябинск ТРК Космос без слаботочкой\Заказ_ЭОМ ЛЕРАН Челябинск ТРК Космос без слаботочкой.xlsm</t>
  </si>
  <si>
    <t>\\Nas\Shared Docs\АРХИВ ЗАКАЗОВ 2\ЭОМ ЛЕРАН Челябинск ТРК Космос без слаботочкой</t>
  </si>
  <si>
    <t>Наружное освещение Легион</t>
  </si>
  <si>
    <t>\\Nas\Shared Docs\АРХИВ ЗАКАЗОВ 2\Наружное освещение Легион\Заказ_Наружное освещение Легион.xlsm</t>
  </si>
  <si>
    <t>\\Nas\Shared Docs\АРХИВ ЗАКАЗОВ 2\Наружное освещение Легион</t>
  </si>
  <si>
    <t>ЭОМ ЛЕРАН каменск-Уральский ТРЦ Мегамарт со слаботочкой</t>
  </si>
  <si>
    <t>\\Nas\Shared Docs\АРХИВ ЗАКАЗОВ 2\ЭОМ ЛЕРАН каменск-Уральский ТРЦ Мегамарт со слаботочкой\Заказ_ЭОМ ЛЕРАН каменск-Уральский ТРЦ Мегамарт со слаботочкой.xlsm</t>
  </si>
  <si>
    <t>\\Nas\Shared Docs\АРХИВ ЗАКАЗОВ 2\ЭОМ ЛЕРАН каменск-Уральский ТРЦ Мегамарт со слаботочкой</t>
  </si>
  <si>
    <t>ЭОМ ЛЕРАН Кемерово ТЦ Облака</t>
  </si>
  <si>
    <t>\\Nas\Shared Docs\АРХИВ ЗАКАЗОВ 2\ЭОМ ЛЕРАН Кемерово ТЦ Облака\Заказ_ЭОМ ЛЕРАН Кемерово ТЦ Облака.xlsm</t>
  </si>
  <si>
    <t>\\Nas\Shared Docs\АРХИВ ЗАКАЗОВ 2\ЭОМ ЛЕРАН Кемерово ТЦ Облака</t>
  </si>
  <si>
    <t>ЭОМ ЛЕРАН Курган со слаботочкой</t>
  </si>
  <si>
    <t>\\Nas\Shared Docs\АРХИВ ЗАКАЗОВ 2\ЭОМ ЛЕРАН Курган со слаботочкой\Заказ_ЭОМ ЛЕРАН Курган со слаботочкой.xlsm</t>
  </si>
  <si>
    <t>\\Nas\Shared Docs\АРХИВ ЗАКАЗОВ 2\ЭОМ ЛЕРАН Курган со слаботочкой</t>
  </si>
  <si>
    <t>ЭОМ РБТ Сталеваров,15 В3</t>
  </si>
  <si>
    <t>\\Nas\Shared Docs\АРХИВ ЗАКАЗОВ 2\ЭОМ РБТ Сталеваров,15 В3\Заказ_ЭОМ РБТ Сталеваров,15 В3.xlsm</t>
  </si>
  <si>
    <t>\\Nas\Shared Docs\АРХИВ ЗАКАЗОВ 2\ЭОМ РБТ Сталеваров,15 В3</t>
  </si>
  <si>
    <t>ЭОМ РБТ Сталеваров,15 В4</t>
  </si>
  <si>
    <t>\\Nas\Shared Docs\АРХИВ ЗАКАЗОВ 2\ЭОМ РБТ Сталеваров,15 В4\Заказ_ЭОМ РБТ Сталеваров,15 В4.xlsm</t>
  </si>
  <si>
    <t>\\Nas\Shared Docs\АРХИВ ЗАКАЗОВ 2\ЭОМ РБТ Сталеваров,15 В4</t>
  </si>
  <si>
    <t>Жилой дом №5.1 Западный (без квартир)</t>
  </si>
  <si>
    <t>\\Nas\Shared Docs\АРХИВ ЗАКАЗОВ 2\Жилой дом №5.1 Западный (без квартир)\Заказ_Жилой дом №5.1 Западный (без квартир).xlsm</t>
  </si>
  <si>
    <t>\\Nas\Shared Docs\АРХИВ ЗАКАЗОВ 2\Жилой дом №5.1 Западный (без квартир)</t>
  </si>
  <si>
    <t>Жилой дом №5.2 Западный (без квартир)</t>
  </si>
  <si>
    <t>\\Nas\Shared Docs\АРХИВ ЗАКАЗОВ 2\Жилой дом №5.2 Западный (без квартир)\Заказ_Жилой дом №5.2 Западный (без квартир).xlsm</t>
  </si>
  <si>
    <t>\\Nas\Shared Docs\АРХИВ ЗАКАЗОВ 2\Жилой дом №5.2 Западный (без квартир)</t>
  </si>
  <si>
    <t>Жилой дом №5.3 Западный (без квартир)</t>
  </si>
  <si>
    <t>\\Nas\Shared Docs\АРХИВ ЗАКАЗОВ 2\Жилой дом №5.3 Западный (без квартир)\Заказ_Жилой дом №5.3 Западный (без квартир).xlsm</t>
  </si>
  <si>
    <t>\\Nas\Shared Docs\АРХИВ ЗАКАЗОВ 2\Жилой дом №5.3 Западный (без квартир)</t>
  </si>
  <si>
    <t>ЭОМ РБТ Миасс ТРК СЛОН</t>
  </si>
  <si>
    <t>\\Nas\Shared Docs\АРХИВ ЗАКАЗОВ 2\ЭОМ РБТ Миасс ТРК СЛОН\Заказ_ЭОМ РБТ Миасс ТРК СЛОН.xlsm</t>
  </si>
  <si>
    <t>\\Nas\Shared Docs\АРХИВ ЗАКАЗОВ 2\ЭОМ РБТ Миасс ТРК СЛОН</t>
  </si>
  <si>
    <t>ЭОМ РБТ Миасс ТРК СЛОН с заменой светильников</t>
  </si>
  <si>
    <t>\\Nas\Shared Docs\АРХИВ ЗАКАЗОВ 2\ЭОМ РБТ Миасс ТРК СЛОН с заменой светильников\Заказ_ЭОМ РБТ Миасс ТРК СЛОН с заменой светильников.xlsm</t>
  </si>
  <si>
    <t>\\Nas\Shared Docs\АРХИВ ЗАКАЗОВ 2\ЭОМ РБТ Миасс ТРК СЛОН с заменой светильников</t>
  </si>
  <si>
    <t>Доп работы ЭОМ ЛЕРАН Челябинск ТРК Космос</t>
  </si>
  <si>
    <t>\\Nas\Shared Docs\АРХИВ ЗАКАЗОВ 2\Доп работы ЭОМ ЛЕРАН Челябинск ТРК Космос\Заказ_Доп работы ЭОМ ЛЕРАН Челябинск ТРК Космос.xlsm</t>
  </si>
  <si>
    <t>\\Nas\Shared Docs\АРХИВ ЗАКАЗОВ 2\Доп работы ЭОМ ЛЕРАН Челябинск ТРК Космос</t>
  </si>
  <si>
    <t>Ж Д Миасское 40 лет Победы 12</t>
  </si>
  <si>
    <t>\\Nas\Shared Docs\АРХИВ ЗАКАЗОВ 2\Ж Д Миасское 40 лет Победы 12\Заказ_Ж Д Миасское 40 лет Победы 12.xlsm</t>
  </si>
  <si>
    <t>\\Nas\Shared Docs\АРХИВ ЗАКАЗОВ 2\Ж Д Миасское 40 лет Победы 12</t>
  </si>
  <si>
    <t>Школа в2019</t>
  </si>
  <si>
    <t>\\Nas\Shared Docs\АРХИВ ЗАКАЗОВ 2\Школа в2019\Заказ_Школа в2019.xlsm</t>
  </si>
  <si>
    <t>\\Nas\Shared Docs\АРХИВ ЗАКАЗОВ 2\Школа в2019</t>
  </si>
  <si>
    <t>ЭОМ Леран Тюмень со слаботочкой</t>
  </si>
  <si>
    <t>\\Nas\Shared Docs\АРХИВ ЗАКАЗОВ 2\ЭОМ Леран Тюмень со слаботочкой\Заказ_ЭОМ Леран Тюмень со слаботочкой.xlsm</t>
  </si>
  <si>
    <t>\\Nas\Shared Docs\АРХИВ ЗАКАЗОВ 2\ЭОМ Леран Тюмень со слаботочкой</t>
  </si>
  <si>
    <t>ЭОМ Леран Тюмень без слаботочки</t>
  </si>
  <si>
    <t>\\Nas\Shared Docs\АРХИВ ЗАКАЗОВ 2\ЭОМ Леран Тюмень без слаботочки\Заказ_ЭОМ Леран Тюмень без слаботочки.xlsm</t>
  </si>
  <si>
    <t>\\Nas\Shared Docs\АРХИВ ЗАКАЗОВ 2\ЭОМ Леран Тюмень без слаботочки</t>
  </si>
  <si>
    <t>ЭОМ ЛЕРАН челябинск Пушкина 65</t>
  </si>
  <si>
    <t>\\Nas\Shared Docs\АРХИВ ЗАКАЗОВ 2\ЭОМ ЛЕРАН челябинск Пушкина 65\Заказ_ЭОМ ЛЕРАН челябинск Пушкина 65.xlsm</t>
  </si>
  <si>
    <t>\\Nas\Shared Docs\АРХИВ ЗАКАЗОВ 2\ЭОМ ЛЕРАН челябинск Пушкина 65</t>
  </si>
  <si>
    <t>Квартира 53 в ж.д. №1.1</t>
  </si>
  <si>
    <t>\\Nas\Shared Docs\АРХИВ ЗАКАЗОВ 2\Квартира 53 в ж.д. №1.1\Заказ_Квартира 53 в ж.д. №1.1.xlsm</t>
  </si>
  <si>
    <t>\\Nas\Shared Docs\АРХИВ ЗАКАЗОВ 2\Квартира 53 в ж.д. №1.1</t>
  </si>
  <si>
    <t>Квартира 80 в ж.д. №1.1</t>
  </si>
  <si>
    <t>\\Nas\Shared Docs\АРХИВ ЗАКАЗОВ 2\Квартира 80 в ж.д. №1.1\Заказ_Квартира 80 в ж.д. №1.1.xlsm</t>
  </si>
  <si>
    <t>\\Nas\Shared Docs\АРХИВ ЗАКАЗОВ 2\Квартира 80 в ж.д. №1.1</t>
  </si>
  <si>
    <t>Школа без лотка и светильников</t>
  </si>
  <si>
    <t>\\Nas\Shared Docs\АРХИВ ЗАКАЗОВ 2\Школа без лотка и светильников\Заказ_Школа без лотка и светильников.xlsm</t>
  </si>
  <si>
    <t>\\Nas\Shared Docs\АРХИВ ЗАКАЗОВ 2\Школа без лотка и светильников</t>
  </si>
  <si>
    <t>Жилой дом №16.1 Западный (без квартир)</t>
  </si>
  <si>
    <t>\\Nas\Shared Docs\АРХИВ ЗАКАЗОВ 2\Жилой дом №16.1 Западный (без квартир)\Заказ_Жилой дом №16.1 Западный (без квартир).xlsm</t>
  </si>
  <si>
    <t>\\Nas\Shared Docs\АРХИВ ЗАКАЗОВ 2\Жилой дом №16.1 Западный (без квартир)</t>
  </si>
  <si>
    <t>Жилой дом №16.6 Западный (без квартир)</t>
  </si>
  <si>
    <t>\\Nas\Shared Docs\АРХИВ ЗАКАЗОВ 2\Жилой дом №16.6 Западный (без квартир)\Заказ_Жилой дом №16.6 Западный (без квартир).xlsm</t>
  </si>
  <si>
    <t>\\Nas\Shared Docs\АРХИВ ЗАКАЗОВ 2\Жилой дом №16.6 Западный (без квартир)</t>
  </si>
  <si>
    <t>Жилой дом №15.1 Западный (без квартир)</t>
  </si>
  <si>
    <t>\\Nas\Shared Docs\АРХИВ ЗАКАЗОВ 2\Жилой дом №15.1 Западный (без квартир)\Заказ_Жилой дом №15.1 Западный (без квартир).xlsm</t>
  </si>
  <si>
    <t>\\Nas\Shared Docs\АРХИВ ЗАКАЗОВ 2\Жилой дом №15.1 Западный (без квартир)</t>
  </si>
  <si>
    <t>Жилой дом №15.2 Западный (без квартир)</t>
  </si>
  <si>
    <t>\\Nas\Shared Docs\АРХИВ ЗАКАЗОВ 2\Жилой дом №15.2 Западный (без квартир)\Заказ_Жилой дом №15.2 Западный (без квартир).xlsm</t>
  </si>
  <si>
    <t>\\Nas\Shared Docs\АРХИВ ЗАКАЗОВ 2\Жилой дом №15.2 Западный (без квартир)</t>
  </si>
  <si>
    <t>Жилой дом №15.3 Западный (без квартир)</t>
  </si>
  <si>
    <t>\\Nas\Shared Docs\АРХИВ ЗАКАЗОВ 2\Жилой дом №15.3 Западный (без квартир)\Заказ_Жилой дом №15.3 Западный (без квартир).xlsm</t>
  </si>
  <si>
    <t>\\Nas\Shared Docs\АРХИВ ЗАКАЗОВ 2\Жилой дом №15.3 Западный (без квартир)</t>
  </si>
  <si>
    <t>Жилой дом №15.4 Западный (без квартир)</t>
  </si>
  <si>
    <t>\\Nas\Shared Docs\АРХИВ ЗАКАЗОВ 2\Жилой дом №15.4 Западный (без квартир)\Заказ_Жилой дом №15.4 Западный (без квартир).xlsm</t>
  </si>
  <si>
    <t>\\Nas\Shared Docs\АРХИВ ЗАКАЗОВ 2\Жилой дом №15.4 Западный (без квартир)</t>
  </si>
  <si>
    <t>Жилой дом №15.5 Западный (без квартир)</t>
  </si>
  <si>
    <t>\\Nas\Shared Docs\АРХИВ ЗАКАЗОВ 2\Жилой дом №15.5 Западный (без квартир)\Заказ_Жилой дом №15.5 Западный (без квартир).xlsm</t>
  </si>
  <si>
    <t>\\Nas\Shared Docs\АРХИВ ЗАКАЗОВ 2\Жилой дом №15.5 Западный (без квартир)</t>
  </si>
  <si>
    <t>Жилой дом №15.10 Западный (без квартир)</t>
  </si>
  <si>
    <t>\\Nas\Shared Docs\АРХИВ ЗАКАЗОВ 2\Жилой дом №15.10 Западный (без квартир)\Заказ_Жилой дом №15.10 Западный (без квартир).xlsm</t>
  </si>
  <si>
    <t>\\Nas\Shared Docs\АРХИВ ЗАКАЗОВ 2\Жилой дом №15.10 Западный (без квартир)</t>
  </si>
  <si>
    <t>ЭОМ РБТ Самара ТЦ Ида Лэнд</t>
  </si>
  <si>
    <t>\\Nas\Shared Docs\АРХИВ ЗАКАЗОВ 2\ЭОМ РБТ Самара ТЦ Ида Лэнд\Заказ_ЭОМ РБТ Самара ТЦ Ида Лэнд.xlsm</t>
  </si>
  <si>
    <t>\\Nas\Shared Docs\АРХИВ ЗАКАЗОВ 2\ЭОМ РБТ Самара ТЦ Ида Лэнд</t>
  </si>
  <si>
    <t>ЭОМ РБТ Самара ТЦ Вида Лэнд</t>
  </si>
  <si>
    <t>\\Nas\Shared Docs\АРХИВ ЗАКАЗОВ 2\ЭОМ РБТ Самара ТЦ Вида Лэнд\Заказ_ЭОМ РБТ Самара ТЦ Вида Лэнд.xlsm</t>
  </si>
  <si>
    <t>\\Nas\Shared Docs\АРХИВ ЗАКАЗОВ 2\ЭОМ РБТ Самара ТЦ Вида Лэнд</t>
  </si>
  <si>
    <t>ЭОМ РБТ Сталеваров,15 Питание кондиционера</t>
  </si>
  <si>
    <t>\\Nas\Shared Docs\АРХИВ ЗАКАЗОВ 2\ЭОМ РБТ Сталеваров,15 Питание кондиционера\Заказ_ЭОМ РБТ Сталеваров,15 Питание кондиционера.xlsm</t>
  </si>
  <si>
    <t>\\Nas\Shared Docs\АРХИВ ЗАКАЗОВ 2\ЭОМ РБТ Сталеваров,15 Питание кондиционера</t>
  </si>
  <si>
    <t>Монтаж светодиодной ленты, Пушкина,65</t>
  </si>
  <si>
    <t>\\Nas\Shared Docs\АРХИВ ЗАКАЗОВ 2\Монтаж светодиодной ленты, Пушкина,65\Заказ_Монтаж светодиодной ленты, Пушкина,65.xlsm</t>
  </si>
  <si>
    <t>\\Nas\Shared Docs\АРХИВ ЗАКАЗОВ 2\Монтаж светодиодной ленты, Пушкина,65</t>
  </si>
  <si>
    <t>ЭОМ ТЦ Авиатор Жуковский LERAN</t>
  </si>
  <si>
    <t>\\Nas\Shared Docs\АРХИВ ЗАКАЗОВ 2\ЭОМ ТЦ Авиатор Жуковский LERAN\Заказ_ЭОМ ТЦ Авиатор Жуковский LERAN.xlsm</t>
  </si>
  <si>
    <t>\\Nas\Shared Docs\АРХИВ ЗАКАЗОВ 2\ЭОМ ТЦ Авиатор Жуковский LERAN</t>
  </si>
  <si>
    <t>ОВиК ТЦ Авиатор Жуковский LERAN</t>
  </si>
  <si>
    <t>\\Nas\Shared Docs\АРХИВ ЗАКАЗОВ 2\ОВиК ТЦ Авиатор Жуковский LERAN\Заказ_ОВиК ТЦ Авиатор Жуковский LERAN.xlsm</t>
  </si>
  <si>
    <t>\\Nas\Shared Docs\АРХИВ ЗАКАЗОВ 2\ОВиК ТЦ Авиатор Жуковский LERAN</t>
  </si>
  <si>
    <t>ЭОМ ТЦ Депо Нижний Тагил LERAN</t>
  </si>
  <si>
    <t>\\Nas\Shared Docs\АРХИВ ЗАКАЗОВ 2\ЭОМ ТЦ Депо Нижний Тагил LERAN\Заказ_ЭОМ ТЦ Депо Нижний Тагил LERAN.xlsm</t>
  </si>
  <si>
    <t>\\Nas\Shared Docs\АРХИВ ЗАКАЗОВ 2\ЭОМ ТЦ Депо Нижний Тагил LERAN</t>
  </si>
  <si>
    <t>ОВиК ТЦ Депо Нижний Тагил LERAN</t>
  </si>
  <si>
    <t>\\Nas\Shared Docs\АРХИВ ЗАКАЗОВ 2\ОВиК ТЦ Депо Нижний Тагил LERAN\Заказ_ОВиК ТЦ Депо Нижний Тагил LERAN.xlsm</t>
  </si>
  <si>
    <t>\\Nas\Shared Docs\АРХИВ ЗАКАЗОВ 2\ОВиК ТЦ Депо Нижний Тагил LERAN</t>
  </si>
  <si>
    <t>ЭОМ Леран Туймазы со слаботочкой</t>
  </si>
  <si>
    <t>\\Nas\Shared Docs\АРХИВ ЗАКАЗОВ 2\ЭОМ Леран Туймазы со слаботочкой\Заказ_ЭОМ Леран Туймазы со слаботочкой.xlsm</t>
  </si>
  <si>
    <t>\\Nas\Shared Docs\АРХИВ ЗАКАЗОВ 2\ЭОМ Леран Туймазы со слаботочкой</t>
  </si>
  <si>
    <t>VLAD_SK_MES</t>
  </si>
  <si>
    <t>VLADSKMES</t>
  </si>
  <si>
    <t>ЭОМ ЛЕРАН Сургут ТЦ Аура</t>
  </si>
  <si>
    <t>\\Nas\Shared Docs\АРХИВ ЗАКАЗОВ 2\ЭОМ ЛЕРАН Сургут ТЦ Аура\Заказ_ЭОМ ЛЕРАН Сургут ТЦ Аура.xlsm</t>
  </si>
  <si>
    <t>\\Nas\Shared Docs\АРХИВ ЗАКАЗОВ 2\ЭОМ ЛЕРАН Сургут ТЦ Аура</t>
  </si>
  <si>
    <t>ОВ ЛЕРАН Сургут ТЦ Аура</t>
  </si>
  <si>
    <t>\\Nas\Shared Docs\АРХИВ ЗАКАЗОВ 2\ОВ ЛЕРАН Сургут ТЦ Аура\Заказ_ОВ ЛЕРАН Сургут ТЦ Аура.xlsm</t>
  </si>
  <si>
    <t>\\Nas\Shared Docs\АРХИВ ЗАКАЗОВ 2\ОВ ЛЕРАН Сургут ТЦ Аура</t>
  </si>
  <si>
    <t>Восстановление освещение тросса после обрыва тросса</t>
  </si>
  <si>
    <t>\\Nas\Shared Docs\АРХИВ ЗАКАЗОВ 2\Восстановление освещение тросса после обрыва тросса\Заказ_Восстановление освещение тросса после обрыва тросса.xlsm</t>
  </si>
  <si>
    <t>\\Nas\Shared Docs\АРХИВ ЗАКАЗОВ 2\Восстановление освещение тросса после обрыва тросса</t>
  </si>
  <si>
    <t>Квартира 4 в ж.д. №1.1</t>
  </si>
  <si>
    <t>\\Nas\Shared Docs\АРХИВ ЗАКАЗОВ 2\Квартира 4 в ж.д. №1.1\Заказ_Квартира 4 в ж.д. №1.1.xlsm</t>
  </si>
  <si>
    <t>\\Nas\Shared Docs\АРХИВ ЗАКАЗОВ 2\Квартира 4 в ж.д. №1.1</t>
  </si>
  <si>
    <t>жилой дом чурилово 5.14</t>
  </si>
  <si>
    <t>\\Nas\Shared Docs\АРХИВ ЗАКАЗОВ 2\жилой дом чурилово 5.14\Заказ_жилой дом чурилово 5.14.xlsm</t>
  </si>
  <si>
    <t>\\Nas\Shared Docs\АРХИВ ЗАКАЗОВ 2\жилой дом чурилово 5.14</t>
  </si>
  <si>
    <t>17.2 Привилегия</t>
  </si>
  <si>
    <t>\\Nas\Shared Docs\АРХИВ ЗАКАЗОВ 2\17.2 Привилегия\Заказ_17.2 Привилегия.xlsm</t>
  </si>
  <si>
    <t>\\Nas\Shared Docs\АРХИВ ЗАКАЗОВ 2\17.2 Привилегия</t>
  </si>
  <si>
    <t>16.2 привилегия</t>
  </si>
  <si>
    <t>\\Nas\Shared Docs\АРХИВ ЗАКАЗОВ 2\16.2 привилегия\Заказ_16.2 привилегия.xlsm</t>
  </si>
  <si>
    <t>\\Nas\Shared Docs\АРХИВ ЗАКАЗОВ 2\16.2 привилегия</t>
  </si>
  <si>
    <t>16.4 привилегия</t>
  </si>
  <si>
    <t>\\Nas\Shared Docs\АРХИВ ЗАКАЗОВ 2\16.4 привилегия\Заказ_16.4 привилегия.xlsm</t>
  </si>
  <si>
    <t>\\Nas\Shared Docs\АРХИВ ЗАКАЗОВ 2\16.4 привилегия</t>
  </si>
  <si>
    <t>Помещение для занития спортом Привилегия</t>
  </si>
  <si>
    <t>\\Nas\Shared Docs\АРХИВ ЗАКАЗОВ 2\Помещение для занития спортом Привилегия\Заказ_Помещение для занития спортом Привилегия.xlsm</t>
  </si>
  <si>
    <t>\\Nas\Shared Docs\АРХИВ ЗАКАЗОВ 2\Помещение для занития спортом Привилегия</t>
  </si>
  <si>
    <t>ЭОМ ТЦ Семейный парк Магнитогорск LERAN</t>
  </si>
  <si>
    <t>\\Nas\Shared Docs\АРХИВ ЗАКАЗОВ 2\ЭОМ ТЦ Семейный парк Магнитогорск LERAN\Заказ_ЭОМ ТЦ Семейный парк Магнитогорск LERAN.xlsm</t>
  </si>
  <si>
    <t>\\Nas\Shared Docs\АРХИВ ЗАКАЗОВ 2\ЭОМ ТЦ Семейный парк Магнитогорск LERAN</t>
  </si>
  <si>
    <t>ЭОМ ТРЦ РИО Тобольск LERAN</t>
  </si>
  <si>
    <t>\\Nas\Shared Docs\АРХИВ ЗАКАЗОВ 2\ЭОМ ТРЦ РИО Тобольск LERAN\Заказ_ЭОМ ТРЦ РИО Тобольск LERAN.xlsm</t>
  </si>
  <si>
    <t>\\Nas\Shared Docs\АРХИВ ЗАКАЗОВ 2\ЭОМ ТРЦ РИО Тобольск LERAN</t>
  </si>
  <si>
    <t>ЭОМ РБТ Нижневартовск ТЦ Подсолнух</t>
  </si>
  <si>
    <t>\\Nas\Shared Docs\АРХИВ ЗАКАЗОВ 2\ЭОМ РБТ Нижневартовск ТЦ Подсолнух\Заказ_ЭОМ РБТ Нижневартовск ТЦ Подсолнух.xlsm</t>
  </si>
  <si>
    <t>\\Nas\Shared Docs\АРХИВ ЗАКАЗОВ 2\ЭОМ РБТ Нижневартовск ТЦ Подсолнух</t>
  </si>
  <si>
    <t>17.1 Привилегия</t>
  </si>
  <si>
    <t>\\Nas\Shared Docs\АРХИВ ЗАКАЗОВ 2\17.1 Привилегия\Заказ_17.1 Привилегия.xlsm</t>
  </si>
  <si>
    <t>\\Nas\Shared Docs\АРХИВ ЗАКАЗОВ 2\17.1 Привилегия</t>
  </si>
  <si>
    <t>17.4 Привилегия</t>
  </si>
  <si>
    <t>\\Nas\Shared Docs\АРХИВ ЗАКАЗОВ 2\17.4 Привилегия\Заказ_17.4 Привилегия.xlsm</t>
  </si>
  <si>
    <t>\\Nas\Shared Docs\АРХИВ ЗАКАЗОВ 2\17.4 Привилегия</t>
  </si>
  <si>
    <t>КП ЭОМ Горки</t>
  </si>
  <si>
    <t>\\Nas\Shared Docs\АРХИВ ЗАКАЗОВ 2\КП ЭОМ Горки\Заказ_КП ЭОМ Горки.xlsm</t>
  </si>
  <si>
    <t>\\Nas\Shared Docs\АРХИВ ЗАКАЗОВ 2\КП ЭОМ Горки</t>
  </si>
  <si>
    <t>ЭОМ ТЦ Мегамарт Нижний Тагил LERAN</t>
  </si>
  <si>
    <t>\\Nas\Shared Docs\АРХИВ ЗАКАЗОВ 2\ЭОМ ТЦ Мегамарт Нижний Тагил LERAN\Заказ_ЭОМ ТЦ Мегамарт Нижний Тагил LERAN.xlsm</t>
  </si>
  <si>
    <t>\\Nas\Shared Docs\АРХИВ ЗАКАЗОВ 2\ЭОМ ТЦ Мегамарт Нижний Тагил LERAN</t>
  </si>
  <si>
    <t>ЭОМ ТЦ  NEXT Советский LERAN</t>
  </si>
  <si>
    <t>\\Nas\Shared Docs\АРХИВ ЗАКАЗОВ 2\ЭОМ ТЦ  NEXT Советский LERAN\Заказ_ЭОМ ТЦ  NEXT Советский LERAN.xlsm</t>
  </si>
  <si>
    <t>\\Nas\Shared Docs\АРХИВ ЗАКАЗОВ 2\ЭОМ ТЦ  NEXT Советский LERAN</t>
  </si>
  <si>
    <t>ЭОМ ТЦ КИТ Оренбуррг LERAN</t>
  </si>
  <si>
    <t>\\Nas\Shared Docs\АРХИВ ЗАКАЗОВ 2\ЭОМ ТЦ КИТ Оренбуррг LERAN\Заказ_ЭОМ ТЦ КИТ Оренбуррг LERAN.xlsm</t>
  </si>
  <si>
    <t>\\Nas\Shared Docs\АРХИВ ЗАКАЗОВ 2\ЭОМ ТЦ КИТ Оренбуррг LERAN</t>
  </si>
  <si>
    <t>Наружное освещение 10 комплекса</t>
  </si>
  <si>
    <t>\\Nas\Shared Docs\АРХИВ ЗАКАЗОВ 2\Наружное освещение 10 комплекса\Заказ_Наружное освещение 10 комплекса.xlsm</t>
  </si>
  <si>
    <t>\\Nas\Shared Docs\АРХИВ ЗАКАЗОВ 2\Наружное освещение 10 комплекса</t>
  </si>
  <si>
    <t>Наружное освещение 11 комплекса</t>
  </si>
  <si>
    <t>\\Nas\Shared Docs\АРХИВ ЗАКАЗОВ 2\Наружное освещение 11 комплекса\Заказ_Наружное освещение 11 комплекса.xlsm</t>
  </si>
  <si>
    <t>\\Nas\Shared Docs\АРХИВ ЗАКАЗОВ 2\Наружное освещение 11 комплекса</t>
  </si>
  <si>
    <t>ЭОМ ТЦ Мегамарт Нижний Тагил LERAN доп освещение</t>
  </si>
  <si>
    <t>\\Nas\Shared Docs\АРХИВ ЗАКАЗОВ 2\ЭОМ ТЦ Мегамарт Нижний Тагил LERAN доп освещение\Заказ_ЭОМ ТЦ Мегамарт Нижний Тагил LERAN доп освещение.xlsm</t>
  </si>
  <si>
    <t>\\Nas\Shared Docs\АРХИВ ЗАКАЗОВ 2\ЭОМ ТЦ Мегамарт Нижний Тагил LERAN доп освещение</t>
  </si>
  <si>
    <t>ЭОМ ТЦ Мегамарт Нижний Тагил LERAN доп освещение№2 от 26.09</t>
  </si>
  <si>
    <t>\\Nas\Shared Docs\АРХИВ ЗАКАЗОВ 2\ЭОМ ТЦ Мегамарт Нижний Тагил LERAN доп освещение№2 от 26.09\Заказ_ЭОМ ТЦ Мегамарт Нижний Тагил LERAN доп освещение№2 от 26.09.xlsm</t>
  </si>
  <si>
    <t>\\Nas\Shared Docs\АРХИВ ЗАКАЗОВ 2\ЭОМ ТЦ Мегамарт Нижний Тагил LERAN доп освещение№2 от 26.09</t>
  </si>
  <si>
    <t>Тепловая завеса, Пушкина,65</t>
  </si>
  <si>
    <t>\\Nas\Shared Docs\АРХИВ ЗАКАЗОВ 2\Тепловая завеса, Пушкина,65\Заказ_Тепловая завеса, Пушкина,65.xlsm</t>
  </si>
  <si>
    <t>\\Nas\Shared Docs\АРХИВ ЗАКАЗОВ 2\Тепловая завеса, Пушкина,65</t>
  </si>
  <si>
    <t>Наружное освещение 15 кластера</t>
  </si>
  <si>
    <t>\\Nas\Shared Docs\АРХИВ ЗАКАЗОВ 2\Наружное освещение 15 кластера\Заказ_Наружное освещение 15 кластера.xlsm</t>
  </si>
  <si>
    <t>\\Nas\Shared Docs\АРХИВ ЗАКАЗОВ 2\Наружное освещение 15 кластера</t>
  </si>
  <si>
    <t>Наружное освещение 16 кластера</t>
  </si>
  <si>
    <t>\\Nas\Shared Docs\АРХИВ ЗАКАЗОВ 2\Наружное освещение 16 кластера\Заказ_Наружное освещение 16 кластера.xlsm</t>
  </si>
  <si>
    <t>\\Nas\Shared Docs\АРХИВ ЗАКАЗОВ 2\Наружное освещение 16 кластера</t>
  </si>
  <si>
    <t>Наружное освещение между 15 и 16 кластерами</t>
  </si>
  <si>
    <t>\\Nas\Shared Docs\АРХИВ ЗАКАЗОВ 2\Наружное освещение между 15 и 16 кластерами\Заказ_Наружное освещение между 15 и 16 кластерами.xlsm</t>
  </si>
  <si>
    <t>\\Nas\Shared Docs\АРХИВ ЗАКАЗОВ 2\Наружное освещение между 15 и 16 кластерами</t>
  </si>
  <si>
    <t>Наружное освещение между 16 и 17 кластерами</t>
  </si>
  <si>
    <t>\\Nas\Shared Docs\АРХИВ ЗАКАЗОВ 2\Наружное освещение между 16 и 17 кластерами\Заказ_Наружное освещение между 16 и 17 кластерами.xlsm</t>
  </si>
  <si>
    <t>\\Nas\Shared Docs\АРХИВ ЗАКАЗОВ 2\Наружное освещение между 16 и 17 кластерами</t>
  </si>
  <si>
    <t>Наружное освещение за 15 кластером</t>
  </si>
  <si>
    <t>\\Nas\Shared Docs\АРХИВ ЗАКАЗОВ 2\Наружное освещение за 15 кластером\Заказ_Наружное освещение за 15 кластером.xlsm</t>
  </si>
  <si>
    <t>\\Nas\Shared Docs\АРХИВ ЗАКАЗОВ 2\Наружное освещение за 15 кластером</t>
  </si>
  <si>
    <t>Наружное освещение за 11 кластером</t>
  </si>
  <si>
    <t>\\Nas\Shared Docs\АРХИВ ЗАКАЗОВ 2\Наружное освещение за 11 кластером\Заказ_Наружное освещение за 11 кластером.xlsm</t>
  </si>
  <si>
    <t>\\Nas\Shared Docs\АРХИВ ЗАКАЗОВ 2\Наружное освещение за 11 кластером</t>
  </si>
  <si>
    <t>ОВД на Комсомольском</t>
  </si>
  <si>
    <t>\\Nas\Shared Docs\АРХИВ ЗАКАЗОВ 2\ОВД на Комсомольском\Заказ_ОВД на Комсомольском.xlsm</t>
  </si>
  <si>
    <t>\\Nas\Shared Docs\АРХИВ ЗАКАЗОВ 2\ОВД на Комсомольском</t>
  </si>
  <si>
    <t>ОВД на Комсомольском остатки</t>
  </si>
  <si>
    <t>\\Nas\Shared Docs\АРХИВ ЗАКАЗОВ 2\ОВД на Комсомольском остатки\Заказ_ОВД на Комсомольском остатки.xlsm</t>
  </si>
  <si>
    <t>\\Nas\Shared Docs\АРХИВ ЗАКАЗОВ 2\ОВД на Комсомольском остатки</t>
  </si>
  <si>
    <t>Реконструкция РБТ Комсомольский 112</t>
  </si>
  <si>
    <t>\\Nas\Shared Docs\АРХИВ ЗАКАЗОВ 2\Реконструкция РБТ Комсомольский 112\Заказ_Реконструкция РБТ Комсомольский 112.xlsm</t>
  </si>
  <si>
    <t>\\Nas\Shared Docs\АРХИВ ЗАКАЗОВ 2\Реконструкция РБТ Комсомольский 112</t>
  </si>
  <si>
    <t>Наружное освещение 5 комплекса</t>
  </si>
  <si>
    <t>\\Nas\Shared Docs\АРХИВ ЗАКАЗОВ 2\Наружное освещение 5 комплекса\Заказ_Наружное освещение 5 комплекса.xlsm</t>
  </si>
  <si>
    <t>\\Nas\Shared Docs\АРХИВ ЗАКАЗОВ 2\Наружное освещение 5 комплекса</t>
  </si>
  <si>
    <t>Наружное освещение 17 комплекса</t>
  </si>
  <si>
    <t>\\Nas\Shared Docs\АРХИВ ЗАКАЗОВ 2\Наружное освещение 17 комплекса\Заказ_Наружное освещение 17 комплекса.xlsm</t>
  </si>
  <si>
    <t>\\Nas\Shared Docs\АРХИВ ЗАКАЗОВ 2\Наружное освещение 17 комплекса</t>
  </si>
  <si>
    <t>ЭОМ ТРК Фиеста Челябинск LERAN</t>
  </si>
  <si>
    <t>\\Nas\Shared Docs\АРХИВ ЗАКАЗОВ 2\ЭОМ ТРК Фиеста Челябинск LERAN\Заказ_ЭОМ ТРК Фиеста Челябинск LERAN.xlsm</t>
  </si>
  <si>
    <t>\\Nas\Shared Docs\АРХИВ ЗАКАЗОВ 2\ЭОМ ТРК Фиеста Челябинск LERAN</t>
  </si>
  <si>
    <t>17.3 Привлегия</t>
  </si>
  <si>
    <t>\\Nas\Shared Docs\АРХИВ ЗАКАЗОВ 2\17.3 Привлегия\Заказ_17.3 Привлегия.xlsm</t>
  </si>
  <si>
    <t>\\Nas\Shared Docs\АРХИВ ЗАКАЗОВ 2\17.3 Привлегия</t>
  </si>
  <si>
    <t>Школа Копейск</t>
  </si>
  <si>
    <t>\\Nas\Shared Docs\АРХИВ ЗАКАЗОВ 2\Школа Копейск\Заказ_Школа Копейск.xlsm</t>
  </si>
  <si>
    <t>\\Nas\Shared Docs\АРХИВ ЗАКАЗОВ 2\Школа Копейск</t>
  </si>
  <si>
    <t>Комсомольский 112 Замена светильников</t>
  </si>
  <si>
    <t>\\Nas\Shared Docs\АРХИВ ЗАКАЗОВ 2\Комсомольский 112 Замена светильников\Заказ_Комсомольский 112 Замена светильников.xlsm</t>
  </si>
  <si>
    <t>\\Nas\Shared Docs\АРХИВ ЗАКАЗОВ 2\Комсомольский 112 Замена светильников</t>
  </si>
  <si>
    <t>Комсомольский 112 Замена светильников вариант1</t>
  </si>
  <si>
    <t>\\Nas\Shared Docs\АРХИВ ЗАКАЗОВ 2\Комсомольский 112 Замена светильников вариант1\Заказ_Комсомольский 112 Замена светильников вариант1.xlsm</t>
  </si>
  <si>
    <t>\\Nas\Shared Docs\АРХИВ ЗАКАЗОВ 2\Комсомольский 112 Замена светильников вариант1</t>
  </si>
  <si>
    <t>Слаботочная сеть ТРК Фиеста Челябинск LERAN</t>
  </si>
  <si>
    <t>\\Nas\Shared Docs\АРХИВ ЗАКАЗОВ 2\Слаботочная сеть ТРК Фиеста Челябинск LERAN\Заказ_Слаботочная сеть ТРК Фиеста Челябинск LERAN.xlsm</t>
  </si>
  <si>
    <t>\\Nas\Shared Docs\АРХИВ ЗАКАЗОВ 2\Слаботочная сеть ТРК Фиеста Челябинск LERAN</t>
  </si>
  <si>
    <t>Жилой дом№ 17.5</t>
  </si>
  <si>
    <t>\\Nas\Shared Docs\АРХИВ ЗАКАЗОВ 2\Жилой дом№ 17.5\Заказ_Жилой дом№ 17.5.xlsm</t>
  </si>
  <si>
    <t>\\Nas\Shared Docs\АРХИВ ЗАКАЗОВ 2\Жилой дом№ 17.5</t>
  </si>
  <si>
    <t>Жилой дом№ 17.5_Без НДС</t>
  </si>
  <si>
    <t>\\Nas\Shared Docs\АРХИВ ЗАКАЗОВ 2\Жилой дом№ 17.5_Без НДС\Заказ_Жилой дом№ 17.5_Без НДС.xlsm</t>
  </si>
  <si>
    <t>\\Nas\Shared Docs\АРХИВ ЗАКАЗОВ 2\Жилой дом№ 17.5_Без НДС</t>
  </si>
  <si>
    <t>ЭОМ ТРЦ СЛОН Миасс LERAN</t>
  </si>
  <si>
    <t>\\Nas\Shared Docs\АРХИВ ЗАКАЗОВ 2\ЭОМ ТРЦ СЛОН Миасс LERAN\Заказ_ЭОМ ТРЦ СЛОН Миасс LERAN.xlsm</t>
  </si>
  <si>
    <t>\\Nas\Shared Docs\АРХИВ ЗАКАЗОВ 2\ЭОМ ТРЦ СЛОН Миасс LERAN</t>
  </si>
  <si>
    <t>Общежитие ЮУрГУ 11 этажей</t>
  </si>
  <si>
    <t>\\Nas\Shared Docs\АРХИВ ЗАКАЗОВ 2\Общежитие ЮУрГУ 11 этажей\Заказ_Общежитие ЮУрГУ 11 этажей.xlsm</t>
  </si>
  <si>
    <t>\\Nas\Shared Docs\АРХИВ ЗАКАЗОВ 2\Общежитие ЮУрГУ 11 этажей</t>
  </si>
  <si>
    <t>ЭОМ ТРЦ СЛОН Миасс LERAN Дополнительные работы</t>
  </si>
  <si>
    <t>\\Nas\Shared Docs\АРХИВ ЗАКАЗОВ 2\ЭОМ ТРЦ СЛОН Миасс LERAN Дополнительные работы\Заказ_ЭОМ ТРЦ СЛОН Миасс LERAN Дополнительные работы.xlsm</t>
  </si>
  <si>
    <t>\\Nas\Shared Docs\АРХИВ ЗАКАЗОВ 2\ЭОМ ТРЦ СЛОН Миасс LERAN Дополнительные работы</t>
  </si>
  <si>
    <t>ЭОМ РБТ ТРК Эль РИО Самара LERAN</t>
  </si>
  <si>
    <t>\\Nas\Shared Docs\АРХИВ ЗАКАЗОВ 2\ЭОМ РБТ ТРК Эль РИО Самара LERAN\Заказ_ЭОМ РБТ ТРК Эль РИО Самара LERAN.xlsm</t>
  </si>
  <si>
    <t>\\Nas\Shared Docs\АРХИВ ЗАКАЗОВ 2\ЭОМ РБТ ТРК Эль РИО Самара LERAN</t>
  </si>
  <si>
    <t>ЭОМ РБТ ТРЦ Европа-Сити Нижневартоск LERAN</t>
  </si>
  <si>
    <t>\\Nas\Shared Docs\АРХИВ ЗАКАЗОВ 2\ЭОМ РБТ ТРЦ Европа-Сити Нижневартоск LERAN\Заказ_ЭОМ РБТ ТРЦ Европа-Сити Нижневартоск LERAN.xlsm</t>
  </si>
  <si>
    <t>\\Nas\Shared Docs\АРХИВ ЗАКАЗОВ 2\ЭОМ РБТ ТРЦ Европа-Сити Нижневартоск LERAN</t>
  </si>
  <si>
    <t>Реконструкция С29</t>
  </si>
  <si>
    <t>\\Nas\Shared Docs\АРХИВ ЗАКАЗОВ 2\Реконструкция С29\Заказ_Реконструкция С29.xlsm</t>
  </si>
  <si>
    <t>\\Nas\Shared Docs\АРХИВ ЗАКАЗОВ 2\Реконструкция С29</t>
  </si>
  <si>
    <t>ЭОМ РБТ ТРЦ Оазис Плаза LERAN</t>
  </si>
  <si>
    <t>\\Nas\Shared Docs\АРХИВ ЗАКАЗОВ 2\ЭОМ РБТ ТРЦ Оазис Плаза LERAN\Заказ_ЭОМ РБТ ТРЦ Оазис Плаза LERAN.xlsm</t>
  </si>
  <si>
    <t>\\Nas\Shared Docs\АРХИВ ЗАКАЗОВ 2\ЭОМ РБТ ТРЦ Оазис Плаза LERAN</t>
  </si>
  <si>
    <t>1 дом Привилегия</t>
  </si>
  <si>
    <t>\\Nas\Shared Docs\АРХИВ ЗАКАЗОВ 2\1 дом Привилегия\Заказ_1 дом Привилегия.xlsm</t>
  </si>
  <si>
    <t>\\Nas\Shared Docs\АРХИВ ЗАКАЗОВ 2\1 дом Привилегия</t>
  </si>
  <si>
    <t>Жилой дом № 1.1 без НДС</t>
  </si>
  <si>
    <t>\\Nas\Shared Docs\АРХИВ ЗАКАЗОВ 2\Жилой дом № 1.1 без НДС\Заказ_Жилой дом № 1.1 без НДС.xlsm</t>
  </si>
  <si>
    <t>\\Nas\Shared Docs\АРХИВ ЗАКАЗОВ 2\Жилой дом № 1.1 без НДС</t>
  </si>
  <si>
    <t>Жилой дом № 1.1 Закуп материал</t>
  </si>
  <si>
    <t>\\Nas\Shared Docs\АРХИВ ЗАКАЗОВ 2\Жилой дом № 1.1 Закуп материал\Заказ_Жилой дом № 1.1 Закуп материал.xlsm</t>
  </si>
  <si>
    <t>\\Nas\Shared Docs\АРХИВ ЗАКАЗОВ 2\Жилой дом № 1.1 Закуп материал</t>
  </si>
  <si>
    <t>Ж.Д. №102</t>
  </si>
  <si>
    <t>\\Nas\Shared Docs\АРХИВ ЗАКАЗОВ 2\Ж.Д. №102\Заказ_Ж.Д. №102.xlsm</t>
  </si>
  <si>
    <t>\\Nas\Shared Docs\АРХИВ ЗАКАЗОВ 2\Ж.Д. №102</t>
  </si>
  <si>
    <t>Ж.Д. №59.2</t>
  </si>
  <si>
    <t>\\Nas\Shared Docs\АРХИВ ЗАКАЗОВ 2\Ж.Д. №59.2\Заказ_Ж.Д. №59.2.xlsm</t>
  </si>
  <si>
    <t>\\Nas\Shared Docs\АРХИВ ЗАКАЗОВ 2\Ж.Д. №59.2</t>
  </si>
  <si>
    <t>Реконструкция РБТ ТРК Слава</t>
  </si>
  <si>
    <t>\\Nas\Shared Docs\АРХИВ ЗАКАЗОВ 2\Реконструкция РБТ ТРК Слава\Заказ_Реконструкция РБТ ТРК Слава.xlsm</t>
  </si>
  <si>
    <t>\\Nas\Shared Docs\АРХИВ ЗАКАЗОВ 2\Реконструкция РБТ ТРК Слава</t>
  </si>
  <si>
    <t>Жилой дом № 21.1 без НДС</t>
  </si>
  <si>
    <t>\\Nas\Shared Docs\АРХИВ ЗАКАЗОВ 2\Жилой дом № 21.1 без НДС\Заказ_Жилой дом № 21.1 без НДС.xlsm</t>
  </si>
  <si>
    <t>\\Nas\Shared Docs\АРХИВ ЗАКАЗОВ 2\Жилой дом № 21.1 без НДС</t>
  </si>
  <si>
    <t>ЭОМ РБТ ТРК МЕГАМАРТ</t>
  </si>
  <si>
    <t>\\Nas\Shared Docs\АРХИВ ЗАКАЗОВ 2\ЭОМ РБТ ТРК МЕГАМАРТ\Заказ_ЭОМ РБТ ТРК МЕГАМАРТ.xlsm</t>
  </si>
  <si>
    <t>\\Nas\Shared Docs\АРХИВ ЗАКАЗОВ 2\ЭОМ РБТ ТРК МЕГАМАРТ</t>
  </si>
  <si>
    <t>Юургу Автоматы</t>
  </si>
  <si>
    <t>\\Nas\Shared Docs\АРХИВ ЗАКАЗОВ 2\Юургу Автоматы\Заказ_Юургу Автоматы.xlsm</t>
  </si>
  <si>
    <t>\\Nas\Shared Docs\АРХИВ ЗАКАЗОВ 2\Юургу Автоматы</t>
  </si>
  <si>
    <t>Детский сад смета №02-09</t>
  </si>
  <si>
    <t>\\Nas\Shared Docs\АРХИВ ЗАКАЗОВ 2\Детский сад смета №02-09\Заказ_Детский сад смета №02-09.xlsm</t>
  </si>
  <si>
    <t>\\Nas\Shared Docs\АРХИВ ЗАКАЗОВ 2\Детский сад смета №02-09</t>
  </si>
  <si>
    <t>Доп Работы ЭОМ РБТ ТРК МЕГАМАРТ</t>
  </si>
  <si>
    <t>\\Nas\Shared Docs\АРХИВ ЗАКАЗОВ 2\Доп Работы ЭОМ РБТ ТРК МЕГАМАРТ\Заказ_Доп Работы ЭОМ РБТ ТРК МЕГАМАРТ.xlsm</t>
  </si>
  <si>
    <t>\\Nas\Shared Docs\АРХИВ ЗАКАЗОВ 2\Доп Работы ЭОМ РБТ ТРК МЕГАМАРТ</t>
  </si>
  <si>
    <t>доп работы по 13 дому</t>
  </si>
  <si>
    <t>\\Nas\Shared Docs\АРХИВ ЗАКАЗОВ 2\доп работы по 13 дому\Заказ_доп работы по 13 дому.xlsm</t>
  </si>
  <si>
    <t>\\Nas\Shared Docs\АРХИВ ЗАКАЗОВ 2\доп работы по 13 дому</t>
  </si>
  <si>
    <t>Детский сад на Монакова</t>
  </si>
  <si>
    <t>\\Nas\Shared Docs\АРХИВ ЗАКАЗОВ 2\Детский сад на Монакова\Заказ_Детский сад на Монакова.xlsm</t>
  </si>
  <si>
    <t>\\Nas\Shared Docs\АРХИВ ЗАКАЗОВ 2\Детский сад на Монакова</t>
  </si>
  <si>
    <t>Жилой дом 21.2 без НДС</t>
  </si>
  <si>
    <t>\\Nas\Shared Docs\АРХИВ ЗАКАЗОВ 2\Жилой дом 21.2 без НДС\Заказ_Жилой дом 21.2 без НДС.xlsm</t>
  </si>
  <si>
    <t>\\Nas\Shared Docs\АРХИВ ЗАКАЗОВ 2\Жилой дом 21.2 без НДС</t>
  </si>
  <si>
    <t>Жилой дом № 22.1</t>
  </si>
  <si>
    <t>\\Nas\Shared Docs\АРХИВ ЗАКАЗОВ 2\Жилой дом № 22.1\Заказ_Жилой дом № 22.1.xlsm</t>
  </si>
  <si>
    <t>\\Nas\Shared Docs\АРХИВ ЗАКАЗОВ 2\Жилой дом № 22.1</t>
  </si>
  <si>
    <t>Монтаж ремонт светодиодной ленты, Пушкина,65</t>
  </si>
  <si>
    <t>\\Nas\Shared Docs\АРХИВ ЗАКАЗОВ 2\Монтаж ремонт светодиодной ленты, Пушкина,65\Заказ_Монтаж ремонт светодиодной ленты, Пушкина,65.xlsm</t>
  </si>
  <si>
    <t>\\Nas\Shared Docs\АРХИВ ЗАКАЗОВ 2\Монтаж ремонт светодиодной ленты, Пушкина,65</t>
  </si>
  <si>
    <t>ЭОМ РБТ горки</t>
  </si>
  <si>
    <t>\\Nas\Shared Docs\АРХИВ ЗАКАЗОВ 2\ЭОМ РБТ горки\Заказ_ЭОМ РБТ горки.xlsm</t>
  </si>
  <si>
    <t>\\Nas\Shared Docs\АРХИВ ЗАКАЗОВ 2\ЭОМ РБТ горки</t>
  </si>
  <si>
    <t>РБТ Копейск освещение</t>
  </si>
  <si>
    <t>\\Nas\Shared Docs\АРХИВ ЗАКАЗОВ 2\РБТ Копейск освещение\Заказ_РБТ Копейск освещение.xlsm</t>
  </si>
  <si>
    <t>\\Nas\Shared Docs\АРХИВ ЗАКАЗОВ 2\РБТ Копейск освещение</t>
  </si>
  <si>
    <t>Детский сад смета №02-09 без светильников и ламп</t>
  </si>
  <si>
    <t>\\Nas\Shared Docs\АРХИВ ЗАКАЗОВ 2\Детский сад смета №02-09 без светильников и ламп\Заказ_Детский сад смета №02-09 без светильников и ламп.xlsm</t>
  </si>
  <si>
    <t>\\Nas\Shared Docs\АРХИВ ЗАКАЗОВ 2\Детский сад смета №02-09 без светильников и ламп</t>
  </si>
  <si>
    <t>ЭОМ РБТ ТЦ Север Оренбург LERAN</t>
  </si>
  <si>
    <t>\\Nas\Shared Docs\АРХИВ ЗАКАЗОВ 2\ЭОМ РБТ ТЦ Север Оренбург LERAN\Заказ_ЭОМ РБТ ТЦ Север Оренбург LERAN.xlsm</t>
  </si>
  <si>
    <t>\\Nas\Shared Docs\АРХИВ ЗАКАЗОВ 2\ЭОМ РБТ ТЦ Север Оренбург LERAN</t>
  </si>
  <si>
    <t>Копейс ЩО-2</t>
  </si>
  <si>
    <t>\\Nas\Shared Docs\АРХИВ ЗАКАЗОВ 2\Копейс ЩО-2\Заказ_Копейс ЩО-2.xlsm</t>
  </si>
  <si>
    <t>\\Nas\Shared Docs\АРХИВ ЗАКАЗОВ 2\Копейс ЩО-2</t>
  </si>
  <si>
    <t>Учет офис</t>
  </si>
  <si>
    <t>\\Nas\Shared Docs\АРХИВ ЗАКАЗОВ 2\Учет офис\Заказ_Учет офис.xlsm</t>
  </si>
  <si>
    <t>\\Nas\Shared Docs\АРХИВ ЗАКАЗОВ 2\Учет офис</t>
  </si>
  <si>
    <t>Жилой дом № 22.2</t>
  </si>
  <si>
    <t>\\Nas\Shared Docs\АРХИВ ЗАКАЗОВ 2\Жилой дом № 22.2\Заказ_Жилой дом № 22.2.xlsm</t>
  </si>
  <si>
    <t>\\Nas\Shared Docs\АРХИВ ЗАКАЗОВ 2\Жилой дом № 22.2</t>
  </si>
  <si>
    <t>Жилой дом 1.2</t>
  </si>
  <si>
    <t>\\Nas\Shared Docs\АРХИВ ЗАКАЗОВ 2\Жилой дом 1.2\Заказ_Жилой дом 1.2.xlsm</t>
  </si>
  <si>
    <t>\\Nas\Shared Docs\АРХИВ ЗАКАЗОВ 2\Жилой дом 1.2</t>
  </si>
  <si>
    <t>Жилой дом 1.3</t>
  </si>
  <si>
    <t>\\Nas\Shared Docs\АРХИВ ЗАКАЗОВ 2\Жилой дом 1.3\Заказ_Жилой дом 1.3.xlsm</t>
  </si>
  <si>
    <t>\\Nas\Shared Docs\АРХИВ ЗАКАЗОВ 2\Жилой дом 1.3</t>
  </si>
  <si>
    <t>Жилой дом 21.3</t>
  </si>
  <si>
    <t>\\Nas\Shared Docs\АРХИВ ЗАКАЗОВ 2\Жилой дом 21.3\Заказ_Жилой дом 21.3.xlsm</t>
  </si>
  <si>
    <t>\\Nas\Shared Docs\АРХИВ ЗАКАЗОВ 2\Жилой дом 21.3</t>
  </si>
  <si>
    <t>Жилой дом 21.4</t>
  </si>
  <si>
    <t>\\Nas\Shared Docs\АРХИВ ЗАКАЗОВ 2\Жилой дом 21.4\Заказ_Жилой дом 21.4.xlsm</t>
  </si>
  <si>
    <t>\\Nas\Shared Docs\АРХИВ ЗАКАЗОВ 2\Жилой дом 21.4</t>
  </si>
  <si>
    <t>Жилой дом 22.3</t>
  </si>
  <si>
    <t>\\Nas\Shared Docs\АРХИВ ЗАКАЗОВ 2\Жилой дом 22.3\Заказ_Жилой дом 22.3.xlsm</t>
  </si>
  <si>
    <t>\\Nas\Shared Docs\АРХИВ ЗАКАЗОВ 2\Жилой дом 22.3</t>
  </si>
  <si>
    <t>Жилой дом 22.4</t>
  </si>
  <si>
    <t>\\Nas\Shared Docs\АРХИВ ЗАКАЗОВ 2\Жилой дом 22.4\Заказ_Жилой дом 22.4.xlsm</t>
  </si>
  <si>
    <t>\\Nas\Shared Docs\АРХИВ ЗАКАЗОВ 2\Жилой дом 22.4</t>
  </si>
  <si>
    <t>Жилой дом 22.5</t>
  </si>
  <si>
    <t>\\Nas\Shared Docs\АРХИВ ЗАКАЗОВ 2\Жилой дом 22.5\Заказ_Жилой дом 22.5.xlsm</t>
  </si>
  <si>
    <t>\\Nas\Shared Docs\АРХИВ ЗАКАЗОВ 2\Жилой дом 22.5</t>
  </si>
  <si>
    <t>Жилой дом 22.6</t>
  </si>
  <si>
    <t>\\Nas\Shared Docs\АРХИВ ЗАКАЗОВ 2\Жилой дом 22.6\Заказ_Жилой дом 22.6.xlsm</t>
  </si>
  <si>
    <t>\\Nas\Shared Docs\АРХИВ ЗАКАЗОВ 2\Жилой дом 22.6</t>
  </si>
  <si>
    <t>Жилой дом 20.1</t>
  </si>
  <si>
    <t>\\Nas\Shared Docs\АРХИВ ЗАКАЗОВ 2\Жилой дом 20.1\Заказ_Жилой дом 20.1.xlsm</t>
  </si>
  <si>
    <t>\\Nas\Shared Docs\АРХИВ ЗАКАЗОВ 2\Жилой дом 20.1</t>
  </si>
  <si>
    <t>Жилой дом 20.2</t>
  </si>
  <si>
    <t>Жилой дом 20.3</t>
  </si>
  <si>
    <t>\\Nas\Shared Docs\АРХИВ ЗАКАЗОВ 2\Жилой дом 20.3\Заказ_Жилой дом 20.3.xlsm</t>
  </si>
  <si>
    <t>\\Nas\Shared Docs\АРХИВ ЗАКАЗОВ 2\Жилой дом 20.3</t>
  </si>
  <si>
    <t>Жилой дом 20.4</t>
  </si>
  <si>
    <t>\\Nas\Shared Docs\АРХИВ ЗАКАЗОВ 2\Жилой дом 20.4\Заказ_Жилой дом 20.4.xlsm</t>
  </si>
  <si>
    <t>\\Nas\Shared Docs\АРХИВ ЗАКАЗОВ 2\Жилой дом 20.4</t>
  </si>
  <si>
    <t>Замена светильников Леран Кольцо</t>
  </si>
  <si>
    <t>\\Nas\Shared Docs\АРХИВ ЗАКАЗОВ 2\Замена светильников Леран Кольцо\Заказ_Замена светильников Леран Кольцо.xlsm</t>
  </si>
  <si>
    <t>\\Nas\Shared Docs\АРХИВ ЗАКАЗОВ 2\Замена светильников Леран Кольцо</t>
  </si>
  <si>
    <t>Реконструкция РБТ Копейск факт</t>
  </si>
  <si>
    <t>\\Nas\Shared Docs\АРХИВ ЗАКАЗОВ 2\Реконструкция РБТ Копейск факт\Заказ_Реконструкция РБТ Копейск факт.xlsm</t>
  </si>
  <si>
    <t>\\Nas\Shared Docs\АРХИВ ЗАКАЗОВ 2\Реконструкция РБТ Копейск факт</t>
  </si>
  <si>
    <t>Монтаж лотков в отделе Галамарт</t>
  </si>
  <si>
    <t>\\Nas\Shared Docs\АРХИВ ЗАКАЗОВ 2\Монтаж лотков в отделе Галамарт\Заказ_Монтаж лотков в отделе Галамарт.xlsm</t>
  </si>
  <si>
    <t>\\Nas\Shared Docs\АРХИВ ЗАКАЗОВ 2\Монтаж лотков в отделе Галамарт</t>
  </si>
  <si>
    <t>\\Nas\Shared Docs\АРХИВ ЗАКАЗОВ 2\Жилой дом 20.2\Заказ_Жилой дом 20.2.xlsm</t>
  </si>
  <si>
    <t>\\Nas\Shared Docs\АРХИВ ЗАКАЗОВ 2\Жилой дом 20.2</t>
  </si>
  <si>
    <t>Жилой дом 1.4</t>
  </si>
  <si>
    <t>\\Nas\Shared Docs\АРХИВ ЗАКАЗОВ 2\Жилой дом 1.4\Заказ_Жилой дом 1.4.xlsm</t>
  </si>
  <si>
    <t>\\Nas\Shared Docs\АРХИВ ЗАКАЗОВ 2\Жилой дом 1.4</t>
  </si>
  <si>
    <t>Жилой дом 6.1</t>
  </si>
  <si>
    <t>\\Nas\Shared Docs\АРХИВ ЗАКАЗОВ 2\Жилой дом 6.1\Заказ_Жилой дом 6.1.xlsm</t>
  </si>
  <si>
    <t>\\Nas\Shared Docs\АРХИВ ЗАКАЗОВ 2\Жилой дом 6.1</t>
  </si>
  <si>
    <t>Жилой дом 6.3</t>
  </si>
  <si>
    <t>\\Nas\Shared Docs\АРХИВ ЗАКАЗОВ 2\Жилой дом 6.3\Заказ_Жилой дом 6.3.xlsm</t>
  </si>
  <si>
    <t>\\Nas\Shared Docs\АРХИВ ЗАКАЗОВ 2\Жилой дом 6.3</t>
  </si>
  <si>
    <t>Жилой дом 6.2</t>
  </si>
  <si>
    <t>\\Nas\Shared Docs\АРХИВ ЗАКАЗОВ 2\Жилой дом 6.2\Заказ_Жилой дом 6.2.xlsm</t>
  </si>
  <si>
    <t>\\Nas\Shared Docs\АРХИВ ЗАКАЗОВ 2\Жилой дом 6.2</t>
  </si>
  <si>
    <t>Жилой дом №2.1</t>
  </si>
  <si>
    <t>\\Nas\Shared Docs\АРХИВ ЗАКАЗОВ 2\Жилой дом №2.1\Заказ_Жилой дом №2.1.xlsm</t>
  </si>
  <si>
    <t>\\Nas\Shared Docs\АРХИВ ЗАКАЗОВ 2\Жилой дом №2.1</t>
  </si>
  <si>
    <t>Жилой дом №2.2</t>
  </si>
  <si>
    <t>\\Nas\Shared Docs\АРХИВ ЗАКАЗОВ 2\Жилой дом №2.2\Заказ_Жилой дом №2.2.xlsm</t>
  </si>
  <si>
    <t>\\Nas\Shared Docs\АРХИВ ЗАКАЗОВ 2\Жилой дом №2.2</t>
  </si>
  <si>
    <t>Жилой дом №2.3</t>
  </si>
  <si>
    <t>\\Nas\Shared Docs\АРХИВ ЗАКАЗОВ 2\Жилой дом №2.3\Заказ_Жилой дом №2.3.xlsm</t>
  </si>
  <si>
    <t>\\Nas\Shared Docs\АРХИВ ЗАКАЗОВ 2\Жилой дом №2.3</t>
  </si>
  <si>
    <t>Жилой дом №2.4</t>
  </si>
  <si>
    <t>\\Nas\Shared Docs\АРХИВ ЗАКАЗОВ 2\Жилой дом №2.4\Заказ_Жилой дом №2.4.xlsm</t>
  </si>
  <si>
    <t>\\Nas\Shared Docs\АРХИВ ЗАКАЗОВ 2\Жилой дом №2.4</t>
  </si>
  <si>
    <t>Спортивное сооружение Привиллегия</t>
  </si>
  <si>
    <t>\\Nas\Shared Docs\АРХИВ ЗАКАЗОВ 2\Спортивное сооружение Привиллегия\Заказ_Спортивное сооружение Привиллегия.xlsm</t>
  </si>
  <si>
    <t>\\Nas\Shared Docs\АРХИВ ЗАКАЗОВ 2\Спортивное сооружение Привиллегия</t>
  </si>
  <si>
    <t>Спортивное сооружение Привиллегия с заменой светильников</t>
  </si>
  <si>
    <t>\\Nas\Shared Docs\АРХИВ ЗАКАЗОВ 2\Спортивное сооружение Привиллегия с заменой светильников\Заказ_Спортивное сооружение Привиллегия с заменой светильников.xlsm</t>
  </si>
  <si>
    <t>\\Nas\Shared Docs\АРХИВ ЗАКАЗОВ 2\Спортивное сооружение Привиллегия с заменой светильников</t>
  </si>
  <si>
    <t>Жилой дом № 18.4</t>
  </si>
  <si>
    <t>\\Nas\Shared Docs\АРХИВ ЗАКАЗОВ 2\Жилой дом № 18.4\Заказ_Жилой дом № 18.4.xlsm</t>
  </si>
  <si>
    <t>\\Nas\Shared Docs\АРХИВ ЗАКАЗОВ 2\Жилой дом № 18.4</t>
  </si>
  <si>
    <t>18 дом ЭОМ Трест</t>
  </si>
  <si>
    <t>\\Nas\Shared Docs\АРХИВ ЗАКАЗОВ 2\18 дом ЭОМ Трест\Заказ_18 дом ЭОМ Трест.xlsm</t>
  </si>
  <si>
    <t>\\Nas\Shared Docs\АРХИВ ЗАКАЗОВ 2\18 дом ЭОМ Трест</t>
  </si>
  <si>
    <t>Нежилые помещения № 2 и4 (Легион)</t>
  </si>
  <si>
    <t>\\Nas\Shared Docs\АРХИВ ЗАКАЗОВ 2\Нежилые помещения № 2 и4 (Легион)\Заказ_Нежилые помещения № 2 и4 (Легион).xlsm</t>
  </si>
  <si>
    <t>\\Nas\Shared Docs\АРХИВ ЗАКАЗОВ 2\Нежилые помещения № 2 и4 (Легион)</t>
  </si>
  <si>
    <t>Нежилые помещения № 2 и 4 (Легион)</t>
  </si>
  <si>
    <t>\\Nas\Shared Docs\АРХИВ ЗАКАЗОВ 2\Нежилые помещения № 2 и 4 (Легион)\Заказ_Нежилые помещения № 2 и 4 (Легион).xlsm</t>
  </si>
  <si>
    <t>\\Nas\Shared Docs\АРХИВ ЗАКАЗОВ 2\Нежилые помещения № 2 и 4 (Легион)</t>
  </si>
  <si>
    <t>Нежилые помещения № 2 и4 (Легион) открытая прокладка</t>
  </si>
  <si>
    <t>\\Nas\Shared Docs\АРХИВ ЗАКАЗОВ 2\Нежилые помещения № 2 и4 (Легион) открытая прокладка\Заказ_Нежилые помещения № 2 и4 (Легион) открытая прокладка.xlsm</t>
  </si>
  <si>
    <t>\\Nas\Shared Docs\АРХИВ ЗАКАЗОВ 2\Нежилые помещения № 2 и4 (Легион) открытая прокладка</t>
  </si>
  <si>
    <t>Жилой дом № 18.1</t>
  </si>
  <si>
    <t>\\Nas\Shared Docs\АРХИВ ЗАКАЗОВ 2\Жилой дом № 18.1\Заказ_Жилой дом № 18.1.xlsm</t>
  </si>
  <si>
    <t>\\Nas\Shared Docs\АРХИВ ЗАКАЗОВ 2\Жилой дом № 18.1</t>
  </si>
  <si>
    <t>Жилой дом № 18.2</t>
  </si>
  <si>
    <t>\\Nas\Shared Docs\АРХИВ ЗАКАЗОВ 2\Жилой дом № 18.2\Заказ_Жилой дом № 18.2.xlsm</t>
  </si>
  <si>
    <t>\\Nas\Shared Docs\АРХИВ ЗАКАЗОВ 2\Жилой дом № 18.2</t>
  </si>
  <si>
    <t>Жилой дом № 18.3</t>
  </si>
  <si>
    <t>\\Nas\Shared Docs\АРХИВ ЗАКАЗОВ 2\Жилой дом № 18.3\Заказ_Жилой дом № 18.3.xlsm</t>
  </si>
  <si>
    <t>\\Nas\Shared Docs\АРХИВ ЗАКАЗОВ 2\Жилой дом № 18.3</t>
  </si>
  <si>
    <t>Жилой дом № 18.5</t>
  </si>
  <si>
    <t>\\Nas\Shared Docs\АРХИВ ЗАКАЗОВ 2\Жилой дом № 18.5\Заказ_Жилой дом № 18.5.xlsm</t>
  </si>
  <si>
    <t>\\Nas\Shared Docs\АРХИВ ЗАКАЗОВ 2\Жилой дом № 18.5</t>
  </si>
  <si>
    <t>ЭОМ РБТ г. Челябинск ул. Новороссийская, 118</t>
  </si>
  <si>
    <t>\\Nas\Shared Docs\АРХИВ ЗАКАЗОВ 2\ЭОМ РБТ г. Челябинск ул. Новороссийская, 118\Заказ_ЭОМ РБТ г. Челябинск ул. Новороссийская, 118.xlsm</t>
  </si>
  <si>
    <t>\\Nas\Shared Docs\АРХИВ ЗАКАЗОВ 2\ЭОМ РБТ г. Челябинск ул. Новороссийская, 118</t>
  </si>
  <si>
    <t>ЭОМ 18 дом 04.06</t>
  </si>
  <si>
    <t>\\Nas\Shared Docs\АРХИВ ЗАКАЗОВ 2\ЭОМ 18 дом 04.06\Заказ_ЭОМ 18 дом 04.06.xlsm</t>
  </si>
  <si>
    <t>\\Nas\Shared Docs\АРХИВ ЗАКАЗОВ 2\ЭОМ 18 дом 04.06</t>
  </si>
  <si>
    <t>Наружное освещение 5 комплекс</t>
  </si>
  <si>
    <t>\\Nas\Shared Docs\АРХИВ ЗАКАЗОВ 2\Наружное освещение 5 комплекс\Заказ_Наружное освещение 5 комплекс.xlsm</t>
  </si>
  <si>
    <t>\\Nas\Shared Docs\АРХИВ ЗАКАЗОВ 2\Наружное освещение 5 комплекс</t>
  </si>
  <si>
    <t>Замена светильников Леран Кольцо 2 часть</t>
  </si>
  <si>
    <t>\\Nas\Shared Docs\АРХИВ ЗАКАЗОВ 2\Замена светильников Леран Кольцо 2 часть\Заказ_Замена светильников Леран Кольцо 2 часть.xlsm</t>
  </si>
  <si>
    <t>\\Nas\Shared Docs\АРХИВ ЗАКАЗОВ 2\Замена светильников Леран Кольцо 2 часть</t>
  </si>
  <si>
    <t>Наружное освещение 20 комплекс</t>
  </si>
  <si>
    <t>\\Nas\Shared Docs\АРХИВ ЗАКАЗОВ 2\Наружное освещение 20 комплекс\Заказ_Наружное освещение 20 комплекс.xlsm</t>
  </si>
  <si>
    <t>\\Nas\Shared Docs\АРХИВ ЗАКАЗОВ 2\Наружное освещение 20 комплекс</t>
  </si>
  <si>
    <t>Наружное освещение 21 кластера</t>
  </si>
  <si>
    <t>\\Nas\Shared Docs\АРХИВ ЗАКАЗОВ 2\Наружное освещение 21 кластера\Заказ_Наружное освещение 21 кластера.xlsm</t>
  </si>
  <si>
    <t>\\Nas\Shared Docs\АРХИВ ЗАКАЗОВ 2\Наружное освещение 21 кластера</t>
  </si>
  <si>
    <t>Наружное освещение 22 кластера</t>
  </si>
  <si>
    <t>\\Nas\Shared Docs\АРХИВ ЗАКАЗОВ 2\Наружное освещение 22 кластера\Заказ_Наружное освещение 22 кластера.xlsm</t>
  </si>
  <si>
    <t>\\Nas\Shared Docs\АРХИВ ЗАКАЗОВ 2\Наружное освещение 22 кластера</t>
  </si>
  <si>
    <t>Замена светильников ЭОМ РБТ Кашириных,133</t>
  </si>
  <si>
    <t>\\Nas\Shared Docs\АРХИВ ЗАКАЗОВ 2\Замена светильников ЭОМ РБТ Кашириных,133\Заказ_Замена светильников ЭОМ РБТ Кашириных,133.xlsm</t>
  </si>
  <si>
    <t>\\Nas\Shared Docs\АРХИВ ЗАКАЗОВ 2\Замена светильников ЭОМ РБТ Кашириных,133</t>
  </si>
  <si>
    <t>Школа доп. Работы</t>
  </si>
  <si>
    <t>\\Nas\Shared Docs\АРХИВ ЗАКАЗОВ 2\Школа доп. Работы\Заказ_Школа доп. Работы.xlsm</t>
  </si>
  <si>
    <t>\\Nas\Shared Docs\АРХИВ ЗАКАЗОВ 2\Школа доп. Работы</t>
  </si>
  <si>
    <t>Школа доп. Работы без стоимости давальческих материалов</t>
  </si>
  <si>
    <t>\\Nas\Shared Docs\АРХИВ ЗАКАЗОВ 2\Школа доп. Работы без стоимости давальческих материалов\Заказ_Школа доп. Работы без стоимости давальческих материалов.xlsm</t>
  </si>
  <si>
    <t>\\Nas\Shared Docs\АРХИВ ЗАКАЗОВ 2\Школа доп. Работы без стоимости давальческих материалов</t>
  </si>
  <si>
    <t>Жилой дом № 3.1</t>
  </si>
  <si>
    <t>\\Nas\Shared Docs\АРХИВ ЗАКАЗОВ 2\Жилой дом № 3.1\Заказ_Жилой дом № 3.1.xlsm</t>
  </si>
  <si>
    <t>\\Nas\Shared Docs\АРХИВ ЗАКАЗОВ 2\Жилой дом № 3.1</t>
  </si>
  <si>
    <t>Жилой дом № 3.2</t>
  </si>
  <si>
    <t>\\Nas\Shared Docs\АРХИВ ЗАКАЗОВ 2\Жилой дом № 3.2\Заказ_Жилой дом № 3.2.xlsm</t>
  </si>
  <si>
    <t>\\Nas\Shared Docs\АРХИВ ЗАКАЗОВ 2\Жилой дом № 3.2</t>
  </si>
  <si>
    <t>Жилой дом № 3.3</t>
  </si>
  <si>
    <t>\\Nas\Shared Docs\АРХИВ ЗАКАЗОВ 2\Жилой дом № 3.3\Заказ_Жилой дом № 3.3.xlsm</t>
  </si>
  <si>
    <t>\\Nas\Shared Docs\АРХИВ ЗАКАЗОВ 2\Жилой дом № 3.3</t>
  </si>
  <si>
    <t>Жилой дом № 3.4</t>
  </si>
  <si>
    <t>\\Nas\Shared Docs\АРХИВ ЗАКАЗОВ 2\Жилой дом № 3.4\Заказ_Жилой дом № 3.4.xlsm</t>
  </si>
  <si>
    <t>\\Nas\Shared Docs\АРХИВ ЗАКАЗОВ 2\Жилой дом № 3.4</t>
  </si>
  <si>
    <t>Жилой дом № 7.1</t>
  </si>
  <si>
    <t>\\Nas\Shared Docs\АРХИВ ЗАКАЗОВ 2\Жилой дом № 7.1\Заказ_Жилой дом № 7.1.xlsm</t>
  </si>
  <si>
    <t>\\Nas\Shared Docs\АРХИВ ЗАКАЗОВ 2\Жилой дом № 7.1</t>
  </si>
  <si>
    <t>Жилой дом № 7.3</t>
  </si>
  <si>
    <t>\\Nas\Shared Docs\АРХИВ ЗАКАЗОВ 2\Жилой дом № 7.3\Заказ_Жилой дом № 7.3.xlsm</t>
  </si>
  <si>
    <t>\\Nas\Shared Docs\АРХИВ ЗАКАЗОВ 2\Жилой дом № 7.3</t>
  </si>
  <si>
    <t>Жилой дом № 7.2</t>
  </si>
  <si>
    <t>\\Nas\Shared Docs\АРХИВ ЗАКАЗОВ 2\Жилой дом № 7.2\Заказ_Жилой дом № 7.2.xlsm</t>
  </si>
  <si>
    <t>\\Nas\Shared Docs\АРХИВ ЗАКАЗОВ 2\Жилой дом № 7.2</t>
  </si>
  <si>
    <t>Квартиры 18 дом</t>
  </si>
  <si>
    <t>\\Nas\Shared Docs\АРХИВ ЗАКАЗОВ 2\Квартиры 18 дом\Заказ_Квартиры 18 дом.xlsm</t>
  </si>
  <si>
    <t>\\Nas\Shared Docs\АРХИВ ЗАКАЗОВ 2\Квартиры 18 дом</t>
  </si>
  <si>
    <t>Жилой дом 3.35</t>
  </si>
  <si>
    <t>\\Nas\Shared Docs\АРХИВ ЗАКАЗОВ 2\Жилой дом 3.35\Заказ_Жилой дом 3.35.xlsm</t>
  </si>
  <si>
    <t>\\Nas\Shared Docs\АРХИВ ЗАКАЗОВ 2\Жилой дом 3.35</t>
  </si>
  <si>
    <t>Жилой дом № 19.1</t>
  </si>
  <si>
    <t>\\Nas\Shared Docs\АРХИВ ЗАКАЗОВ 2\Жилой дом № 19.1\Заказ_Жилой дом № 19.1.xlsm</t>
  </si>
  <si>
    <t>\\Nas\Shared Docs\АРХИВ ЗАКАЗОВ 2\Жилой дом № 19.1</t>
  </si>
  <si>
    <t>Жилой дом №  19.1</t>
  </si>
  <si>
    <t>\\Nas\Shared Docs\АРХИВ ЗАКАЗОВ 2\Жилой дом №  19.1\Заказ_Жилой дом №  19.1.xlsm</t>
  </si>
  <si>
    <t>\\Nas\Shared Docs\АРХИВ ЗАКАЗОВ 2\Жилой дом №  19.1</t>
  </si>
  <si>
    <t>Квартиры Привилегия</t>
  </si>
  <si>
    <t>\\Nas\Shared Docs\АРХИВ ЗАКАЗОВ 2\Квартиры Привилегия\Заказ_Квартиры Привилегия.xlsm</t>
  </si>
  <si>
    <t>\\Nas\Shared Docs\АРХИВ ЗАКАЗОВ 2\Квартиры Привилегия</t>
  </si>
  <si>
    <t>Квартиры Привилегия материал</t>
  </si>
  <si>
    <t>\\Nas\Shared Docs\АРХИВ ЗАКАЗОВ 2\Квартиры Привилегия материал\Заказ_Квартиры Привилегия материал.xlsm</t>
  </si>
  <si>
    <t>\\Nas\Shared Docs\АРХИВ ЗАКАЗОВ 2\Квартиры Привилегия материал</t>
  </si>
  <si>
    <t>Жилой дом № 18.1 с квартирами</t>
  </si>
  <si>
    <t>\\Nas\Shared Docs\АРХИВ ЗАКАЗОВ 2\Жилой дом № 18.1 с квартирами\Заказ_Жилой дом № 18.1 с квартирами.xlsm</t>
  </si>
  <si>
    <t>\\Nas\Shared Docs\АРХИВ ЗАКАЗОВ 2\Жилой дом № 18.1 с квартирами</t>
  </si>
  <si>
    <t>ЭОМ РБТ LERAN Миасс Автозаводцев 8</t>
  </si>
  <si>
    <t>\\Nas\Shared Docs\АРХИВ ЗАКАЗОВ 2\ЭОМ РБТ LERAN Миасс Автозаводцев 8\Заказ_ЭОМ РБТ LERAN Миасс Автозаводцев 8.xlsm</t>
  </si>
  <si>
    <t>\\Nas\Shared Docs\АРХИВ ЗАКАЗОВ 2\ЭОМ РБТ LERAN Миасс Автозаводцев 8</t>
  </si>
  <si>
    <t>Жилой дом № 18.1 электромонтаж внутри квартир</t>
  </si>
  <si>
    <t>\\Nas\Shared Docs\АРХИВ ЗАКАЗОВ 2\Жилой дом № 18.1 электромонтаж внутри квартир\Заказ_Жилой дом № 18.1 электромонтаж внутри квартир.xlsm</t>
  </si>
  <si>
    <t>\\Nas\Shared Docs\АРХИВ ЗАКАЗОВ 2\Жилой дом № 18.1 электромонтаж внутри квартир</t>
  </si>
  <si>
    <t>Жилой дом № 18.5 электромонтаж внутри квартир</t>
  </si>
  <si>
    <t>\\Nas\Shared Docs\АРХИВ ЗАКАЗОВ 2\Жилой дом № 18.5 электромонтаж внутри квартир\Заказ_Жилой дом № 18.5 электромонтаж внутри квартир.xlsm</t>
  </si>
  <si>
    <t>\\Nas\Shared Docs\АРХИВ ЗАКАЗОВ 2\Жилой дом № 18.5 электромонтаж внутри квартир</t>
  </si>
  <si>
    <t>Жилой дом №  19.1 Версия 15.10</t>
  </si>
  <si>
    <t>\\Nas\Shared Docs\АРХИВ ЗАКАЗОВ 2\Жилой дом №  19.1 Версия 15.10\Заказ_Жилой дом №  19.1 Версия 15.10.xlsm</t>
  </si>
  <si>
    <t>\\Nas\Shared Docs\АРХИВ ЗАКАЗОВ 2\Жилой дом №  19.1 Версия 15.10</t>
  </si>
  <si>
    <t>Наружное освещение № 1 комплекса</t>
  </si>
  <si>
    <t>\\Nas\Shared Docs\АРХИВ ЗАКАЗОВ 2\Наружное освещение № 1 комплекса\Заказ_Наружное освещение № 1 комплекса.xlsm</t>
  </si>
  <si>
    <t>\\Nas\Shared Docs\АРХИВ ЗАКАЗОВ 2\Наружное освещение № 1 комплекса</t>
  </si>
  <si>
    <t>Наружное освещение № 2 комплекса</t>
  </si>
  <si>
    <t>\\Nas\Shared Docs\АРХИВ ЗАКАЗОВ 2\Наружное освещение № 2 комплекса\Заказ_Наружное освещение № 2 комплекса.xlsm</t>
  </si>
  <si>
    <t>\\Nas\Shared Docs\АРХИВ ЗАКАЗОВ 2\Наружное освещение № 2 комплекса</t>
  </si>
  <si>
    <t>Наружное освещение № 3 комплекса</t>
  </si>
  <si>
    <t>\\Nas\Shared Docs\АРХИВ ЗАКАЗОВ 2\Наружное освещение № 3 комплекса\Заказ_Наружное освещение № 3 комплекса.xlsm</t>
  </si>
  <si>
    <t>\\Nas\Shared Docs\АРХИВ ЗАКАЗОВ 2\Наружное освещение № 3 комплекса</t>
  </si>
  <si>
    <t>Наружное освещение № 6 комплекса</t>
  </si>
  <si>
    <t>\\Nas\Shared Docs\АРХИВ ЗАКАЗОВ 2\Наружное освещение № 6 комплекса\Заказ_Наружное освещение № 6 комплекса.xlsm</t>
  </si>
  <si>
    <t>\\Nas\Shared Docs\АРХИВ ЗАКАЗОВ 2\Наружное освещение № 6 комплекса</t>
  </si>
  <si>
    <t>Наружное освещение № 7 комплекса</t>
  </si>
  <si>
    <t>\\Nas\Shared Docs\АРХИВ ЗАКАЗОВ 2\Наружное освещение № 7 комплекса\Заказ_Наружное освещение № 7 комплекса.xlsm</t>
  </si>
  <si>
    <t>\\Nas\Shared Docs\АРХИВ ЗАКАЗОВ 2\Наружное освещение № 7 комплекса</t>
  </si>
  <si>
    <t>Жилой дом №  19.1 Версия 19.10</t>
  </si>
  <si>
    <t>\\Nas\Shared Docs\АРХИВ ЗАКАЗОВ 2\Жилой дом №  19.1 Версия 19.10\Заказ_Жилой дом №  19.1 Версия 19.10.xlsm</t>
  </si>
  <si>
    <t>\\Nas\Shared Docs\АРХИВ ЗАКАЗОВ 2\Жилой дом №  19.1 Версия 19.10</t>
  </si>
  <si>
    <t>Жилой дом №  19.1 Версия 27.10 1 часть</t>
  </si>
  <si>
    <t>\\Nas\Shared Docs\АРХИВ ЗАКАЗОВ 2\Жилой дом №  19.1 Версия 27.10 1 часть\Заказ_Жилой дом №  19.1 Версия 27.10 1 часть.xlsm</t>
  </si>
  <si>
    <t>\\Nas\Shared Docs\АРХИВ ЗАКАЗОВ 2\Жилой дом №  19.1 Версия 27.10 1 часть</t>
  </si>
  <si>
    <t>Жилой дом №  19.1 Версия 27.10 2 часть</t>
  </si>
  <si>
    <t>\\Nas\Shared Docs\АРХИВ ЗАКАЗОВ 2\Жилой дом №  19.1 Версия 27.10 2 часть\Заказ_Жилой дом №  19.1 Версия 27.10 2 часть.xlsm</t>
  </si>
  <si>
    <t>\\Nas\Shared Docs\АРХИВ ЗАКАЗОВ 2\Жилой дом №  19.1 Версия 27.10 2 часть</t>
  </si>
  <si>
    <t>Восстановление сети электроосвещение ГКБ №2</t>
  </si>
  <si>
    <t>\\Nas\Shared Docs\АРХИВ ЗАКАЗОВ 2\Восстановление сети электроосвещение ГКБ №2\Заказ_Восстановление сети электроосвещение ГКБ №2.xlsm</t>
  </si>
  <si>
    <t>\\Nas\Shared Docs\АРХИВ ЗАКАЗОВ 2\Восстановление сети электроосвещение ГКБ №2</t>
  </si>
  <si>
    <t>Жилой дом №  19.1 Версия 09.11 2 часть</t>
  </si>
  <si>
    <t>\\Nas\Shared Docs\АРХИВ ЗАКАЗОВ 2\Жилой дом №  19.1 Версия 09.11 2 часть\Заказ_Жилой дом №  19.1 Версия 09.11 2 часть.xlsm</t>
  </si>
  <si>
    <t>\\Nas\Shared Docs\АРХИВ ЗАКАЗОВ 2\Жилой дом №  19.1 Версия 09.11 2 часть</t>
  </si>
  <si>
    <t>ЭОМ НОРД Первоуральск</t>
  </si>
  <si>
    <t>\\Nas\Shared Docs\АРХИВ ЗАКАЗОВ 2\ЭОМ НОРД Первоуральск\Заказ_ЭОМ НОРД Первоуральск.xlsm</t>
  </si>
  <si>
    <t>\\Nas\Shared Docs\АРХИВ ЗАКАЗОВ 2\ЭОМ НОРД Первоуральск</t>
  </si>
  <si>
    <t>Школа Верхнеуральск</t>
  </si>
  <si>
    <t>\\Nas\Shared Docs\АРХИВ ЗАКАЗОВ 2\Школа Верхнеуральск\Заказ_Школа Верхнеуральск.xlsm</t>
  </si>
  <si>
    <t>\\Nas\Shared Docs\АРХИВ ЗАКАЗОВ 2\Школа Верхнеуральск</t>
  </si>
  <si>
    <t>31 дом</t>
  </si>
  <si>
    <t>\\Nas\Shared Docs\АРХИВ ЗАКАЗОВ 2\31 дом\Заказ_31 дом.xlsm</t>
  </si>
  <si>
    <t>\\Nas\Shared Docs\АРХИВ ЗАКАЗОВ 2\31 дом</t>
  </si>
  <si>
    <t>Ледовый дворец Шайба</t>
  </si>
  <si>
    <t>\\Nas\Shared Docs\АРХИВ ЗАКАЗОВ 2\Ледовый дворец Шайба\Заказ_Ледовый дворец Шайба.xlsm</t>
  </si>
  <si>
    <t>\\Nas\Shared Docs\АРХИВ ЗАКАЗОВ 2\Ледовый дворец Шайба</t>
  </si>
  <si>
    <t>Ледовый дворец Шайба-</t>
  </si>
  <si>
    <t>\\Nas\Shared Docs\АРХИВ ЗАКАЗОВ 2\Ледовый дворец Шайба-\Заказ_Ледовый дворец Шайба-.xlsm</t>
  </si>
  <si>
    <t>\\Nas\Shared Docs\АРХИВ ЗАКАЗОВ 2\Ледовый дворец Шайба-</t>
  </si>
  <si>
    <t>Жилой дом № 18.1 -</t>
  </si>
  <si>
    <t>\\Nas\Shared Docs\АРХИВ ЗАКАЗОВ 2\Жилой дом № 18.1 -\Заказ_Жилой дом № 18.1 -.xlsm</t>
  </si>
  <si>
    <t>\\Nas\Shared Docs\АРХИВ ЗАКАЗОВ 2\Жилой дом № 18.1 -</t>
  </si>
  <si>
    <t>Школа доп работы столовая</t>
  </si>
  <si>
    <t>\\Nas\Shared Docs\АРХИВ ЗАКАЗОВ 2\Школа доп работы столовая\Заказ_Школа доп работы столовая.xlsm</t>
  </si>
  <si>
    <t>\\Nas\Shared Docs\АРХИВ ЗАКАЗОВ 2\Школа доп работы столовая</t>
  </si>
  <si>
    <t>Электромонтаж кв 73</t>
  </si>
  <si>
    <t>\\Nas\Shared Docs\АРХИВ ЗАКАЗОВ 2\Электромонтаж кв 73\Заказ_Электромонтаж кв 73.xlsm</t>
  </si>
  <si>
    <t>\\Nas\Shared Docs\АРХИВ ЗАКАЗОВ 2\Электромонтаж кв 73</t>
  </si>
  <si>
    <t>Жилой дом № 4.1</t>
  </si>
  <si>
    <t>\\Nas\Shared Docs\АРХИВ ЗАКАЗОВ 2\Жилой дом № 4.1\Заказ_Жилой дом № 4.1.xlsm</t>
  </si>
  <si>
    <t>\\Nas\Shared Docs\АРХИВ ЗАКАЗОВ 2\Жилой дом № 4.1</t>
  </si>
  <si>
    <t>Жилой дом Доватора 46</t>
  </si>
  <si>
    <t>\\Nas\Shared Docs\АРХИВ ЗАКАЗОВ 2\Жилой дом Доватора 46\Заказ_Жилой дом Доватора 46.xlsm</t>
  </si>
  <si>
    <t>\\Nas\Shared Docs\АРХИВ ЗАКАЗОВ 2\Жилой дом Доватора 46</t>
  </si>
  <si>
    <t>Жилой дом № 4.2</t>
  </si>
  <si>
    <t>\\Nas\Shared Docs\АРХИВ ЗАКАЗОВ 2\Жилой дом № 4.2\Заказ_Жилой дом № 4.2.xlsm</t>
  </si>
  <si>
    <t>\\Nas\Shared Docs\АРХИВ ЗАКАЗОВ 2\Жилой дом № 4.2</t>
  </si>
  <si>
    <t>Жилой дом № 4.3</t>
  </si>
  <si>
    <t>\\Nas\Shared Docs\АРХИВ ЗАКАЗОВ 2\Жилой дом № 4.3\Заказ_Жилой дом № 4.3.xlsm</t>
  </si>
  <si>
    <t>\\Nas\Shared Docs\АРХИВ ЗАКАЗОВ 2\Жилой дом № 4.3</t>
  </si>
  <si>
    <t>Жилой дом № 4.4</t>
  </si>
  <si>
    <t>\\Nas\Shared Docs\АРХИВ ЗАКАЗОВ 2\Жилой дом № 4.4\Заказ_Жилой дом № 4.4.xlsm</t>
  </si>
  <si>
    <t>\\Nas\Shared Docs\АРХИВ ЗАКАЗОВ 2\Жилой дом № 4.4</t>
  </si>
  <si>
    <t>Замена светильников ЭОМ РБТ Энергетиков,21</t>
  </si>
  <si>
    <t>\\Nas\Shared Docs\АРХИВ ЗАКАЗОВ 2\Замена светильников ЭОМ РБТ Энергетиков,21\Заказ_Замена светильников ЭОМ РБТ Энергетиков,21.xlsm</t>
  </si>
  <si>
    <t>\\Nas\Shared Docs\АРХИВ ЗАКАЗОВ 2\Замена светильников ЭОМ РБТ Энергетиков,21</t>
  </si>
  <si>
    <t>СПАР ЭОМ Первоуральск</t>
  </si>
  <si>
    <t>\\Nas\Shared Docs\АРХИВ ЗАКАЗОВ 2\СПАР ЭОМ Первоуральск\Заказ_СПАР ЭОМ Первоуральск.xlsm</t>
  </si>
  <si>
    <t>\\Nas\Shared Docs\АРХИВ ЗАКАЗОВ 2\СПАР ЭОМ Первоуральск</t>
  </si>
  <si>
    <t>Спортивное сооружение Привиллегия 14.01.2021</t>
  </si>
  <si>
    <t>\\Nas\Shared Docs\АРХИВ ЗАКАЗОВ 2\Спортивное сооружение Привиллегия 14.01.2021\Заказ_Спортивное сооружение Привиллегия 14.01.2021.xlsm</t>
  </si>
  <si>
    <t>\\Nas\Shared Docs\АРХИВ ЗАКАЗОВ 2\Спортивное сооружение Привиллегия 14.01.2021</t>
  </si>
  <si>
    <t>Reception центр</t>
  </si>
  <si>
    <t>\\Nas\Shared Docs\АРХИВ ЗАКАЗОВ 2\Reception центр\Заказ_Reception центр.xlsm</t>
  </si>
  <si>
    <t>\\Nas\Shared Docs\АРХИВ ЗАКАЗОВ 2\Reception центр</t>
  </si>
  <si>
    <t>Жилой дом № 18.2 электромонтаж внутри квартир</t>
  </si>
  <si>
    <t>\\Nas\Shared Docs\АРХИВ ЗАКАЗОВ 2\Жилой дом № 18.2 электромонтаж внутри квартир\Заказ_Жилой дом № 18.2 электромонтаж внутри квартир.xlsm</t>
  </si>
  <si>
    <t>\\Nas\Shared Docs\АРХИВ ЗАКАЗОВ 2\Жилой дом № 18.2 электромонтаж внутри квартир</t>
  </si>
  <si>
    <t>Жилой дом № 18.3 электромонтаж внутри квартир</t>
  </si>
  <si>
    <t>\\Nas\Shared Docs\АРХИВ ЗАКАЗОВ 2\Жилой дом № 18.3 электромонтаж внутри квартир\Заказ_Жилой дом № 18.3 электромонтаж внутри квартир.xlsm</t>
  </si>
  <si>
    <t>\\Nas\Shared Docs\АРХИВ ЗАКАЗОВ 2\Жилой дом № 18.3 электромонтаж внутри квартир</t>
  </si>
  <si>
    <t>Жилой дом № 18.4 электромонтаж внутри квартир</t>
  </si>
  <si>
    <t>\\Nas\Shared Docs\АРХИВ ЗАКАЗОВ 2\Жилой дом № 18.4 электромонтаж внутри квартир\Заказ_Жилой дом № 18.4 электромонтаж внутри квартир.xlsm</t>
  </si>
  <si>
    <t>\\Nas\Shared Docs\АРХИВ ЗАКАЗОВ 2\Жилой дом № 18.4 электромонтаж внутри квартир</t>
  </si>
  <si>
    <t>Электроснабжение сцены. Школа</t>
  </si>
  <si>
    <t>\\Nas\Shared Docs\АРХИВ ЗАКАЗОВ 2\Электроснабжение сцены. Школа\Заказ_Электроснабжение сцены. Школа.xlsm</t>
  </si>
  <si>
    <t>\\Nas\Shared Docs\АРХИВ ЗАКАЗОВ 2\Электроснабжение сцены. Школа</t>
  </si>
  <si>
    <t>Жилой дом № 8.1</t>
  </si>
  <si>
    <t>\\Nas\Shared Docs\АРХИВ ЗАКАЗОВ 2\Жилой дом № 8.1\Заказ_Жилой дом № 8.1.xlsm</t>
  </si>
  <si>
    <t>\\Nas\Shared Docs\АРХИВ ЗАКАЗОВ 2\Жилой дом № 8.1</t>
  </si>
  <si>
    <t>Жилой дом № 8.2</t>
  </si>
  <si>
    <t>\\Nas\Shared Docs\АРХИВ ЗАКАЗОВ 2\Жилой дом № 8.2\Заказ_Жилой дом № 8.2.xlsm</t>
  </si>
  <si>
    <t>\\Nas\Shared Docs\АРХИВ ЗАКАЗОВ 2\Жилой дом № 8.2</t>
  </si>
  <si>
    <t>Жилой дом № 8.3</t>
  </si>
  <si>
    <t>\\Nas\Shared Docs\АРХИВ ЗАКАЗОВ 2\Жилой дом № 8.3\Заказ_Жилой дом № 8.3.xlsm</t>
  </si>
  <si>
    <t>\\Nas\Shared Docs\АРХИВ ЗАКАЗОВ 2\Жилой дом № 8.3</t>
  </si>
  <si>
    <t>Жилой дом № 8.4</t>
  </si>
  <si>
    <t>\\Nas\Shared Docs\АРХИВ ЗАКАЗОВ 2\Жилой дом № 8.4\Заказ_Жилой дом № 8.4.xlsm</t>
  </si>
  <si>
    <t>\\Nas\Shared Docs\АРХИВ ЗАКАЗОВ 2\Жилой дом № 8.4</t>
  </si>
  <si>
    <t>Рифей</t>
  </si>
  <si>
    <t>\\Nas\Shared Docs\АРХИВ ЗАКАЗОВ 2\Рифей\Заказ_Рифей.xlsm</t>
  </si>
  <si>
    <t>\\Nas\Shared Docs\АРХИВ ЗАКАЗОВ 2\Рифей</t>
  </si>
  <si>
    <t>Подключение тепловой завесы Поликлиника</t>
  </si>
  <si>
    <t>\\Nas\Shared Docs\АРХИВ ЗАКАЗОВ 2\Подключение тепловой завесы Поликлиника\Заказ_Подключение тепловой завесы Поликлиника.xlsm</t>
  </si>
  <si>
    <t>\\Nas\Shared Docs\АРХИВ ЗАКАЗОВ 2\Подключение тепловой завесы Поликлиника</t>
  </si>
  <si>
    <t>Жилой дом № 18.4 электромонтаж внутри квартир 3,4 подъезд</t>
  </si>
  <si>
    <t>\\Nas\Shared Docs\АРХИВ ЗАКАЗОВ 2\Жилой дом № 18.4 электромонтаж внутри квартир 3,4 подъезд\Заказ_Жилой дом № 18.4 электромонтаж внутри квартир 3,4 подъезд.xlsm</t>
  </si>
  <si>
    <t>\\Nas\Shared Docs\АРХИВ ЗАКАЗОВ 2\Жилой дом № 18.4 электромонтаж внутри квартир 3,4 подъезд</t>
  </si>
  <si>
    <t>31 дом 29.01</t>
  </si>
  <si>
    <t>\\Nas\Shared Docs\АРХИВ ЗАКАЗОВ 2\31 дом 29.01\Заказ_31 дом 29.01.xlsm</t>
  </si>
  <si>
    <t>\\Nas\Shared Docs\АРХИВ ЗАКАЗОВ 2\31 дом 29.01</t>
  </si>
  <si>
    <t>31 дом 29.01.21</t>
  </si>
  <si>
    <t>\\Nas\Shared Docs\АРХИВ ЗАКАЗОВ 2\31 дом 29.01.21\Заказ_31 дом 29.01.21.xlsm</t>
  </si>
  <si>
    <t>\\Nas\Shared Docs\АРХИВ ЗАКАЗОВ 2\31 дом 29.01.21</t>
  </si>
  <si>
    <t>59.2 дом ось 5-6 выше 0</t>
  </si>
  <si>
    <t>\\Nas\Shared Docs\АРХИВ ЗАКАЗОВ 2\59.2 дом ось 5-6 выше 0\Заказ_59.2 дом ось 5-6 выше 0.xlsm</t>
  </si>
  <si>
    <t>\\Nas\Shared Docs\АРХИВ ЗАКАЗОВ 2\59.2 дом ось 5-6 выше 0</t>
  </si>
  <si>
    <t>Спортивное сооружение Привиллегия 09.02.2021</t>
  </si>
  <si>
    <t>\\Nas\Shared Docs\АРХИВ ЗАКАЗОВ 2\Спортивное сооружение Привиллегия 09.02.2021\Заказ_Спортивное сооружение Привиллегия 09.02.2021.xlsm</t>
  </si>
  <si>
    <t>\\Nas\Shared Docs\АРХИВ ЗАКАЗОВ 2\Спортивное сооружение Привиллегия 09.02.2021</t>
  </si>
  <si>
    <t>Reception центр 09.02.2021</t>
  </si>
  <si>
    <t>\\Nas\Shared Docs\АРХИВ ЗАКАЗОВ 2\Reception центр 09.02.2021\Заказ_Reception центр 09.02.2021.xlsm</t>
  </si>
  <si>
    <t>\\Nas\Shared Docs\АРХИВ ЗАКАЗОВ 2\Reception центр 09.02.2021</t>
  </si>
  <si>
    <t>19.1 Нежилые помещения 2 этаж</t>
  </si>
  <si>
    <t>\\Nas\Shared Docs\АРХИВ ЗАКАЗОВ 2\19.1 Нежилые помещения 2 этаж\Заказ_19.1 Нежилые помещения 2 этаж.xlsm</t>
  </si>
  <si>
    <t>\\Nas\Shared Docs\АРХИВ ЗАКАЗОВ 2\19.1 Нежилые помещения 2 этаж</t>
  </si>
  <si>
    <t>Жилой дом № 18.4 изм. 01.03.2021</t>
  </si>
  <si>
    <t>\\Nas\Shared Docs\АРХИВ ЗАКАЗОВ 2\Жилой дом № 18.4 изм. 01.03.2021\Заказ_Жилой дом № 18.4 изм. 01.03.2021.xlsm</t>
  </si>
  <si>
    <t>\\Nas\Shared Docs\АРХИВ ЗАКАЗОВ 2\Жилой дом № 18.4 изм. 01.03.2021</t>
  </si>
  <si>
    <t>Жилой дом № 18.1 изм. 01.03.2021</t>
  </si>
  <si>
    <t>\\Nas\Shared Docs\АРХИВ ЗАКАЗОВ 2\Жилой дом № 18.1 изм. 01.03.2021\Заказ_Жилой дом № 18.1 изм. 01.03.2021.xlsm</t>
  </si>
  <si>
    <t>\\Nas\Shared Docs\АРХИВ ЗАКАЗОВ 2\Жилой дом № 18.1 изм. 01.03.2021</t>
  </si>
  <si>
    <t>Жилой дом № 18.2 изм. 01.03.2021</t>
  </si>
  <si>
    <t>\\Nas\Shared Docs\АРХИВ ЗАКАЗОВ 2\Жилой дом № 18.2 изм. 01.03.2021\Заказ_Жилой дом № 18.2 изм. 01.03.2021.xlsm</t>
  </si>
  <si>
    <t>\\Nas\Shared Docs\АРХИВ ЗАКАЗОВ 2\Жилой дом № 18.2 изм. 01.03.2021</t>
  </si>
  <si>
    <t>Жилой дом № 18.3 изм. 01.03.2021</t>
  </si>
  <si>
    <t>\\Nas\Shared Docs\АРХИВ ЗАКАЗОВ 2\Жилой дом № 18.3 изм. 01.03.2021\Заказ_Жилой дом № 18.3 изм. 01.03.2021.xlsm</t>
  </si>
  <si>
    <t>\\Nas\Shared Docs\АРХИВ ЗАКАЗОВ 2\Жилой дом № 18.3 изм. 01.03.2021</t>
  </si>
  <si>
    <t>Жилой дом № 18.5 изм. 01.03.2021</t>
  </si>
  <si>
    <t>\\Nas\Shared Docs\АРХИВ ЗАКАЗОВ 2\Жилой дом № 18.5 изм. 01.03.2021\Заказ_Жилой дом № 18.5 изм. 01.03.2021.xlsm</t>
  </si>
  <si>
    <t>\\Nas\Shared Docs\АРХИВ ЗАКАЗОВ 2\Жилой дом № 18.5 изм. 01.03.2021</t>
  </si>
  <si>
    <t>Замена светильников Школа</t>
  </si>
  <si>
    <t>\\Nas\Shared Docs\АРХИВ ЗАКАЗОВ 2\Замена светильников Школа\Заказ_Замена светильников Школа.xlsm</t>
  </si>
  <si>
    <t>\\Nas\Shared Docs\АРХИВ ЗАКАЗОВ 2\Замена светильников Школа</t>
  </si>
  <si>
    <t>Жилой дом № 9.1</t>
  </si>
  <si>
    <t>\\Nas\Shared Docs\АРХИВ ЗАКАЗОВ 2\Жилой дом № 9.1\Заказ_Жилой дом № 9.1.xlsm</t>
  </si>
  <si>
    <t>\\Nas\Shared Docs\АРХИВ ЗАКАЗОВ 2\Жилой дом № 9.1</t>
  </si>
  <si>
    <t>Жилой дом № 9.2</t>
  </si>
  <si>
    <t>\\Nas\Shared Docs\АРХИВ ЗАКАЗОВ 2\Жилой дом № 9.2\Заказ_Жилой дом № 9.2.xlsm</t>
  </si>
  <si>
    <t>\\Nas\Shared Docs\АРХИВ ЗАКАЗОВ 2\Жилой дом № 9.2</t>
  </si>
  <si>
    <t>Жилой дом№ 9.3</t>
  </si>
  <si>
    <t>\\Nas\Shared Docs\АРХИВ ЗАКАЗОВ 2\Жилой дом№ 9.3\Заказ_Жилой дом№ 9.3.xlsm</t>
  </si>
  <si>
    <t>\\Nas\Shared Docs\АРХИВ ЗАКАЗОВ 2\Жилой дом№ 9.3</t>
  </si>
  <si>
    <t>Жилой дом № 9.4</t>
  </si>
  <si>
    <t>\\Nas\Shared Docs\АРХИВ ЗАКАЗОВ 2\Жилой дом № 9.4\Заказ_Жилой дом № 9.4.xlsm</t>
  </si>
  <si>
    <t>\\Nas\Shared Docs\АРХИВ ЗАКАЗОВ 2\Жилой дом № 9.4</t>
  </si>
  <si>
    <t>Жилой дом № 9.5</t>
  </si>
  <si>
    <t>\\Nas\Shared Docs\АРХИВ ЗАКАЗОВ 2\Жилой дом № 9.5\Заказ_Жилой дом № 9.5.xlsm</t>
  </si>
  <si>
    <t>\\Nas\Shared Docs\АРХИВ ЗАКАЗОВ 2\Жилой дом № 9.5</t>
  </si>
  <si>
    <t>Жилой дом № 18.5 электромонтаж внутри квартир 25.03</t>
  </si>
  <si>
    <t>\\Nas\Shared Docs\АРХИВ ЗАКАЗОВ 2\Жилой дом № 18.5 электромонтаж внутри квартир 25.03\Заказ_Жилой дом № 18.5 электромонтаж внутри квартир 25.03.xlsm</t>
  </si>
  <si>
    <t>\\Nas\Shared Docs\АРХИВ ЗАКАЗОВ 2\Жилой дом № 18.5 электромонтаж внутри квартир 25.03</t>
  </si>
  <si>
    <t>Жилой дом № 18.4 электромонтаж внутри квартир 25.03</t>
  </si>
  <si>
    <t>\\Nas\Shared Docs\АРХИВ ЗАКАЗОВ 2\Жилой дом № 18.4 электромонтаж внутри квартир 25.03\Заказ_Жилой дом № 18.4 электромонтаж внутри квартир 25.03.xlsm</t>
  </si>
  <si>
    <t>\\Nas\Shared Docs\АРХИВ ЗАКАЗОВ 2\Жилой дом № 18.4 электромонтаж внутри квартир 25.03</t>
  </si>
  <si>
    <t>Жилой дом № 18.1 электромонтаж внутри квартир 05.04</t>
  </si>
  <si>
    <t>\\Nas\Shared Docs\АРХИВ ЗАКАЗОВ 2\Жилой дом № 18.1 электромонтаж внутри квартир 05.04\Заказ_Жилой дом № 18.1 электромонтаж внутри квартир 05.04.xlsm</t>
  </si>
  <si>
    <t>\\Nas\Shared Docs\АРХИВ ЗАКАЗОВ 2\Жилой дом № 18.1 электромонтаж внутри квартир 05.04</t>
  </si>
  <si>
    <t>Жилой дом № 18.2 электромонтаж внутри квартир 05.04</t>
  </si>
  <si>
    <t>\\Nas\Shared Docs\АРХИВ ЗАКАЗОВ 2\Жилой дом № 18.2 электромонтаж внутри квартир 05.04\Заказ_Жилой дом № 18.2 электромонтаж внутри квартир 05.04.xlsm</t>
  </si>
  <si>
    <t>\\Nas\Shared Docs\АРХИВ ЗАКАЗОВ 2\Жилой дом № 18.2 электромонтаж внутри квартир 05.04</t>
  </si>
  <si>
    <t>Временное освещение 31 дом</t>
  </si>
  <si>
    <t>\\Nas\Shared Docs\АРХИВ ЗАКАЗОВ 2\Временное освещение 31 дом\Заказ_Временное освещение 31 дом.xlsm</t>
  </si>
  <si>
    <t>\\Nas\Shared Docs\АРХИВ ЗАКАЗОВ 2\Временное освещение 31 дом</t>
  </si>
  <si>
    <t>Временное освещение 31 дом оси 5-6</t>
  </si>
  <si>
    <t>\\Nas\Shared Docs\АРХИВ ЗАКАЗОВ 2\Временное освещение 31 дом оси 5-6\Заказ_Временное освещение 31 дом оси 5-6.xlsm</t>
  </si>
  <si>
    <t>\\Nas\Shared Docs\АРХИВ ЗАКАЗОВ 2\Временное освещение 31 дом оси 5-6</t>
  </si>
  <si>
    <t>31 дом чистовая отделка ЭОМ</t>
  </si>
  <si>
    <t>\\Nas\Shared Docs\АРХИВ ЗАКАЗОВ 2\31 дом чистовая отделка ЭОМ\Заказ_31 дом чистовая отделка ЭОМ.xlsm</t>
  </si>
  <si>
    <t>\\Nas\Shared Docs\АРХИВ ЗАКАЗОВ 2\31 дом чистовая отделка ЭОМ</t>
  </si>
  <si>
    <t>Спортивное сооружение Привиллегия 15.04.2021</t>
  </si>
  <si>
    <t>\\Nas\Shared Docs\АРХИВ ЗАКАЗОВ 2\Спортивное сооружение Привиллегия 15.04.2021\Заказ_Спортивное сооружение Привиллегия 15.04.2021.xlsm</t>
  </si>
  <si>
    <t>\\Nas\Shared Docs\АРХИВ ЗАКАЗОВ 2\Спортивное сооружение Привиллегия 15.04.2021</t>
  </si>
  <si>
    <t>12 дом</t>
  </si>
  <si>
    <t>\\Nas\Shared Docs\АРХИВ ЗАКАЗОВ 2\12 дом\Заказ_12 дом.xlsm</t>
  </si>
  <si>
    <t>\\Nas\Shared Docs\АРХИВ ЗАКАЗОВ 2\12 дом</t>
  </si>
  <si>
    <t>18 дом заград. Огни</t>
  </si>
  <si>
    <t>\\Nas\Shared Docs\АРХИВ ЗАКАЗОВ 2\18 дом заград. Огни\Заказ_18 дом заград. Огни.xlsm</t>
  </si>
  <si>
    <t>\\Nas\Shared Docs\АРХИВ ЗАКАЗОВ 2\18 дом заград. Огни</t>
  </si>
  <si>
    <t xml:space="preserve"> 52 дом Парковый 3</t>
  </si>
  <si>
    <t>\\Nas\Shared Docs\АРХИВ ЗАКАЗОВ 2\ 52 дом Парковый 3\Заказ_ 52 дом Парковый 3.xlsm</t>
  </si>
  <si>
    <t>\\Nas\Shared Docs\АРХИВ ЗАКАЗОВ 2\ 52 дом Парковый 3</t>
  </si>
  <si>
    <t>ЮУрГУ Реконструкция ТП</t>
  </si>
  <si>
    <t>\\Nas\Shared Docs\АРХИВ ЗАКАЗОВ 2\ЮУрГУ Реконструкция ТП\Заказ_ЮУрГУ Реконструкция ТП.xlsm</t>
  </si>
  <si>
    <t>\\Nas\Shared Docs\АРХИВ ЗАКАЗОВ 2\ЮУрГУ Реконструкция ТП</t>
  </si>
  <si>
    <t>ЮУрГУ Ремонт связи</t>
  </si>
  <si>
    <t>\\Nas\Shared Docs\АРХИВ ЗАКАЗОВ 2\ЮУрГУ Ремонт связи\Заказ_ЮУрГУ Ремонт связи.xlsm</t>
  </si>
  <si>
    <t>\\Nas\Shared Docs\АРХИВ ЗАКАЗОВ 2\ЮУрГУ Ремонт связи</t>
  </si>
  <si>
    <t xml:space="preserve"> 53 дом Парковый 3</t>
  </si>
  <si>
    <t>\\Nas\Shared Docs\АРХИВ ЗАКАЗОВ 2\ 53 дом Парковый 3\Заказ_ 53 дом Парковый 3.xlsm</t>
  </si>
  <si>
    <t>\\Nas\Shared Docs\АРХИВ ЗАКАЗОВ 2\ 53 дом Парковый 3</t>
  </si>
  <si>
    <t>Наружное освещение 20 комплекс 11.05</t>
  </si>
  <si>
    <t>\\Nas\Shared Docs\АРХИВ ЗАКАЗОВ 2\Наружное освещение 20 комплекс 11.05\Заказ_Наружное освещение 20 комплекс 11.05.xlsm</t>
  </si>
  <si>
    <t>\\Nas\Shared Docs\АРХИВ ЗАКАЗОВ 2\Наружное освещение 20 комплекс 11.05</t>
  </si>
  <si>
    <t>Наружное освещение 22 кластера 11.05</t>
  </si>
  <si>
    <t>\\Nas\Shared Docs\АРХИВ ЗАКАЗОВ 2\Наружное освещение 22 кластера 11.05\Заказ_Наружное освещение 22 кластера 11.05.xlsm</t>
  </si>
  <si>
    <t>\\Nas\Shared Docs\АРХИВ ЗАКАЗОВ 2\Наружное освещение 22 кластера 11.05</t>
  </si>
  <si>
    <t xml:space="preserve"> 53 дом Парковый 3. 11.03</t>
  </si>
  <si>
    <t>\\Nas\Shared Docs\АРХИВ ЗАКАЗОВ 2\ 53 дом Парковый 3. 11.03\Заказ_ 53 дом Парковый 3. 11.03.xlsm</t>
  </si>
  <si>
    <t>\\Nas\Shared Docs\АРХИВ ЗАКАЗОВ 2\ 53 дом Парковый 3. 11.03</t>
  </si>
  <si>
    <t xml:space="preserve"> 53 дом Парковый 3 от 11.03</t>
  </si>
  <si>
    <t>\\Nas\Shared Docs\АРХИВ ЗАКАЗОВ 2\ 53 дом Парковый 3 от 11.03\Заказ_ 53 дом Парковый 3 от 11.03.xlsm</t>
  </si>
  <si>
    <t>\\Nas\Shared Docs\АРХИВ ЗАКАЗОВ 2\ 53 дом Парковый 3 от 11.03</t>
  </si>
  <si>
    <t>Спортивное сооружение Привиллегия 18.05.2021</t>
  </si>
  <si>
    <t>\\Nas\Shared Docs\АРХИВ ЗАКАЗОВ 2\Спортивное сооружение Привиллегия 18.05.2021\Заказ_Спортивное сооружение Привиллегия 18.05.2021.xlsm</t>
  </si>
  <si>
    <t>\\Nas\Shared Docs\АРХИВ ЗАКАЗОВ 2\Спортивное сооружение Привиллегия 18.05.2021</t>
  </si>
  <si>
    <t>Замена светильников Школа 18. 05</t>
  </si>
  <si>
    <t>\\Nas\Shared Docs\АРХИВ ЗАКАЗОВ 2\Замена светильников Школа 18. 05\Заказ_Замена светильников Школа 18. 05.xlsm</t>
  </si>
  <si>
    <t>\\Nas\Shared Docs\АРХИВ ЗАКАЗОВ 2\Замена светильников Школа 18. 05</t>
  </si>
  <si>
    <t xml:space="preserve"> 52 дом Парковый 3. 11.03</t>
  </si>
  <si>
    <t>\\Nas\Shared Docs\АРХИВ ЗАКАЗОВ 2\ 52 дом Парковый 3. 11.03\Заказ_ 52 дом Парковый 3. 11.03.xlsm</t>
  </si>
  <si>
    <t>\\Nas\Shared Docs\АРХИВ ЗАКАЗОВ 2\ 52 дом Парковый 3. 11.03</t>
  </si>
  <si>
    <t xml:space="preserve"> 52 дом Парковый 3 от 11.03</t>
  </si>
  <si>
    <t>\\Nas\Shared Docs\АРХИВ ЗАКАЗОВ 2\ 52 дом Парковый 3 от 11.03\Заказ_ 52 дом Парковый 3 от 11.03.xlsm</t>
  </si>
  <si>
    <t>\\Nas\Shared Docs\АРХИВ ЗАКАЗОВ 2\ 52 дом Парковый 3 от 11.03</t>
  </si>
  <si>
    <t xml:space="preserve"> 56 дом Парковый 3</t>
  </si>
  <si>
    <t>\\Nas\Shared Docs\АРХИВ ЗАКАЗОВ 2\ 56 дом Парковый 3\Заказ_ 56 дом Парковый 3.xlsm</t>
  </si>
  <si>
    <t>\\Nas\Shared Docs\АРХИВ ЗАКАЗОВ 2\ 56 дом Парковый 3</t>
  </si>
  <si>
    <t>18 дом квартиры 3 этап</t>
  </si>
  <si>
    <t>\\Nas\Shared Docs\АРХИВ ЗАКАЗОВ 2\18 дом квартиры 3 этап\Заказ_18 дом квартиры 3 этап.xlsm</t>
  </si>
  <si>
    <t>\\Nas\Shared Docs\АРХИВ ЗАКАЗОВ 2\18 дом квартиры 3 этап</t>
  </si>
  <si>
    <t xml:space="preserve"> 57 дом Парковый 3</t>
  </si>
  <si>
    <t>\\Nas\Shared Docs\АРХИВ ЗАКАЗОВ 2\ 57 дом Парковый 3\Заказ_ 57 дом Парковый 3.xlsm</t>
  </si>
  <si>
    <t>\\Nas\Shared Docs\АРХИВ ЗАКАЗОВ 2\ 57 дом Парковый 3</t>
  </si>
  <si>
    <t xml:space="preserve"> 56 дом Парковый 3 версия 07.06</t>
  </si>
  <si>
    <t>\\Nas\Shared Docs\АРХИВ ЗАКАЗОВ 2\ 56 дом Парковый 3 версия 07.06\Заказ_ 56 дом Парковый 3 версия 07.06.xlsm</t>
  </si>
  <si>
    <t>\\Nas\Shared Docs\АРХИВ ЗАКАЗОВ 2\ 56 дом Парковый 3 версия 07.06</t>
  </si>
  <si>
    <t xml:space="preserve"> 57 дом Парковый 3 версия 07.06</t>
  </si>
  <si>
    <t>\\Nas\Shared Docs\АРХИВ ЗАКАЗОВ 2\ 57 дом Парковый 3 версия 07.06\Заказ_ 57 дом Парковый 3 версия 07.06.xlsm</t>
  </si>
  <si>
    <t>\\Nas\Shared Docs\АРХИВ ЗАКАЗОВ 2\ 57 дом Парковый 3 версия 07.06</t>
  </si>
  <si>
    <t>Медцентр</t>
  </si>
  <si>
    <t>\\Nas\Shared Docs\АРХИВ ЗАКАЗОВ 2\Медцентр\Заказ_Медцентр.xlsm</t>
  </si>
  <si>
    <t>\\Nas\Shared Docs\АРХИВ ЗАКАЗОВ 2\Медцентр</t>
  </si>
  <si>
    <t>Жилой дом № 18.2 электромонтаж внутри квартир 09.06</t>
  </si>
  <si>
    <t>\\Nas\Shared Docs\АРХИВ ЗАКАЗОВ 2\Жилой дом № 18.2 электромонтаж внутри квартир 09.06\Заказ_Жилой дом № 18.2 электромонтаж внутри квартир 09.06.xlsm</t>
  </si>
  <si>
    <t>\\Nas\Shared Docs\АРХИВ ЗАКАЗОВ 2\Жилой дом № 18.2 электромонтаж внутри квартир 09.06</t>
  </si>
  <si>
    <t>31 дом чистовые квартиры 2 этап (23 квартиры)</t>
  </si>
  <si>
    <t>\\Nas\Shared Docs\АРХИВ ЗАКАЗОВ 2\31 дом чистовые квартиры 2 этап (23 квартиры)\Заказ_31 дом чистовые квартиры 2 этап (23 квартиры).xlsm</t>
  </si>
  <si>
    <t>\\Nas\Shared Docs\АРХИВ ЗАКАЗОВ 2\31 дом чистовые квартиры 2 этап (23 квартиры)</t>
  </si>
  <si>
    <t>Жилой дом № 18.3 электромонтаж внутри квартир 28.06</t>
  </si>
  <si>
    <t>\\Nas\Shared Docs\АРХИВ ЗАКАЗОВ 2\Жилой дом № 18.3 электромонтаж внутри квартир 28.06\Заказ_Жилой дом № 18.3 электромонтаж внутри квартир 28.06.xlsm</t>
  </si>
  <si>
    <t>\\Nas\Shared Docs\АРХИВ ЗАКАЗОВ 2\Жилой дом № 18.3 электромонтаж внутри квартир 28.06</t>
  </si>
  <si>
    <t>19.1 Подключение противопожарных ворот</t>
  </si>
  <si>
    <t>\\Nas\Shared Docs\АРХИВ ЗАКАЗОВ 2\19.1 Подключение противопожарных ворот\Заказ_19.1 Подключение противопожарных ворот.xlsm</t>
  </si>
  <si>
    <t>\\Nas\Shared Docs\АРХИВ ЗАКАЗОВ 2\19.1 Подключение противопожарных ворот</t>
  </si>
  <si>
    <t>18.3 Восстановление электрических сетей</t>
  </si>
  <si>
    <t>\\Nas\Shared Docs\АРХИВ ЗАКАЗОВ 2\18.3 Восстановление электрических сетей\Заказ_18.3 Восстановление электрических сетей.xlsm</t>
  </si>
  <si>
    <t>\\Nas\Shared Docs\АРХИВ ЗАКАЗОВ 2\18.3 Восстановление электрических сетей</t>
  </si>
  <si>
    <t>18.3 Восстановление сетей электроснабжение</t>
  </si>
  <si>
    <t>\\Nas\Shared Docs\АРХИВ ЗАКАЗОВ 2\18.3 Восстановление сетей электроснабжение\Заказ_18.3 Восстановление сетей электроснабжение.xlsm</t>
  </si>
  <si>
    <t>\\Nas\Shared Docs\АРХИВ ЗАКАЗОВ 2\18.3 Восстановление сетей электроснабжение</t>
  </si>
  <si>
    <t>Максим кв Привилегия</t>
  </si>
  <si>
    <t>\\Nas\Shared Docs\АРХИВ ЗАКАЗОВ 2\Максим кв Привилегия\Заказ_Максим кв Привилегия.xlsm</t>
  </si>
  <si>
    <t>\\Nas\Shared Docs\АРХИВ ЗАКАЗОВ 2\Максим кв Привилегия</t>
  </si>
  <si>
    <t xml:space="preserve"> 56 дом Парковый 3 от 19.07</t>
  </si>
  <si>
    <t>\\Nas\Shared Docs\АРХИВ ЗАКАЗОВ 2\ 56 дом Парковый 3 от 19.07\Заказ_ 56 дом Парковый 3 от 19.07.xlsm</t>
  </si>
  <si>
    <t>\\Nas\Shared Docs\АРХИВ ЗАКАЗОВ 2\ 56 дом Парковый 3 от 19.07</t>
  </si>
  <si>
    <t xml:space="preserve"> 57 дом Парковый 3 версия 19.07</t>
  </si>
  <si>
    <t>\\Nas\Shared Docs\АРХИВ ЗАКАЗОВ 2\ 57 дом Парковый 3 версия 19.07\Заказ_ 57 дом Парковый 3 версия 19.07.xlsm</t>
  </si>
  <si>
    <t>\\Nas\Shared Docs\АРХИВ ЗАКАЗОВ 2\ 57 дом Парковый 3 версия 19.07</t>
  </si>
  <si>
    <t>Игорь</t>
  </si>
  <si>
    <t>\\Nas\Shared Docs\АРХИВ ЗАКАЗОВ 2\Игорь\Заказ_Игорь.xlsm</t>
  </si>
  <si>
    <t>\\Nas\Shared Docs\АРХИВ ЗАКАЗОВ 2\Игорь</t>
  </si>
  <si>
    <t xml:space="preserve"> 56 дом Парковый 3 от 26.07</t>
  </si>
  <si>
    <t>\\Nas\Shared Docs\АРХИВ ЗАКАЗОВ 2\ 56 дом Парковый 3 от 26.07\Заказ_ 56 дом Парковый 3 от 26.07.xlsm</t>
  </si>
  <si>
    <t>\\Nas\Shared Docs\АРХИВ ЗАКАЗОВ 2\ 56 дом Парковый 3 от 26.07</t>
  </si>
  <si>
    <t xml:space="preserve"> 57 дом Парковый 3 версия 26.07</t>
  </si>
  <si>
    <t>\\Nas\Shared Docs\АРХИВ ЗАКАЗОВ 2\ 57 дом Парковый 3 версия 26.07\Заказ_ 57 дом Парковый 3 версия 26.07.xlsm</t>
  </si>
  <si>
    <t>\\Nas\Shared Docs\АРХИВ ЗАКАЗОВ 2\ 57 дом Парковый 3 версия 26.07</t>
  </si>
  <si>
    <t>31 дом чистовые квартиры 2 этап (23 квартиры) от 27.07</t>
  </si>
  <si>
    <t>\\Nas\Shared Docs\АРХИВ ЗАКАЗОВ 2\31 дом чистовые квартиры 2 этап (23 квартиры) от 27.07\Заказ_31 дом чистовые квартиры 2 этап (23 квартиры) от 27.07.xlsm</t>
  </si>
  <si>
    <t>\\Nas\Shared Docs\АРХИВ ЗАКАЗОВ 2\31 дом чистовые квартиры 2 этап (23 квартиры) от 27.07</t>
  </si>
  <si>
    <t>Уютная 36-18</t>
  </si>
  <si>
    <t>\\Nas\Shared Docs\АРХИВ ЗАКАЗОВ 2\Уютная 36-18\Заказ_Уютная 36-18.xlsm</t>
  </si>
  <si>
    <t>\\Nas\Shared Docs\АРХИВ ЗАКАЗОВ 2\Уютная 36-18</t>
  </si>
  <si>
    <t>Медицинский центр. Привилегия</t>
  </si>
  <si>
    <t>\\Nas\Shared Docs\АРХИВ ЗАКАЗОВ 2\Медицинский центр. Привилегия\Заказ_Медицинский центр. Привилегия.xlsm</t>
  </si>
  <si>
    <t>\\Nas\Shared Docs\АРХИВ ЗАКАЗОВ 2\Медицинский центр. Привилегия</t>
  </si>
  <si>
    <t>46 дом Академ</t>
  </si>
  <si>
    <t>\\Nas\Shared Docs\АРХИВ ЗАКАЗОВ 2\46 дом Академ\Заказ_46 дом Академ.xlsm</t>
  </si>
  <si>
    <t>\\Nas\Shared Docs\АРХИВ ЗАКАЗОВ 2\46 дом Академ</t>
  </si>
  <si>
    <t>Алое поле Торговый центр с жилыми помещениями</t>
  </si>
  <si>
    <t>\\Nas\Shared Docs\АРХИВ ЗАКАЗОВ 2\Алое поле Торговый центр с жилыми помещениями\Заказ_Алое поле Торговый центр с жилыми помещениями.xlsm</t>
  </si>
  <si>
    <t>\\Nas\Shared Docs\АРХИВ ЗАКАЗОВ 2\Алое поле Торговый центр с жилыми помещениями</t>
  </si>
  <si>
    <t>Электроснабжение РИП на 4,10,16,22 эт.</t>
  </si>
  <si>
    <t>\\Nas\Shared Docs\АРХИВ ЗАКАЗОВ 2\Электроснабжение РИП на 4,10,16,22 эт.\Заказ_Электроснабжение РИП на 4,10,16,22 эт..xlsm</t>
  </si>
  <si>
    <t>\\Nas\Shared Docs\АРХИВ ЗАКАЗОВ 2\Электроснабжение РИП на 4,10,16,22 эт.</t>
  </si>
  <si>
    <t>46 дом Академ 27.08</t>
  </si>
  <si>
    <t>\\Nas\Shared Docs\АРХИВ ЗАКАЗОВ 2\46 дом Академ 27.08\Заказ_46 дом Академ 27.08.xlsm</t>
  </si>
  <si>
    <t>\\Nas\Shared Docs\АРХИВ ЗАКАЗОВ 2\46 дом Академ 27.08</t>
  </si>
  <si>
    <t>Элетроснабжение офисных помещений ж.д.59.2 оси 4-6</t>
  </si>
  <si>
    <t>\\Nas\Shared Docs\АРХИВ ЗАКАЗОВ 2\Элетроснабжение офисных помещений ж.д.59.2 оси 4-6\Заказ_Элетроснабжение офисных помещений ж.д.59.2 оси 4-6.xlsm</t>
  </si>
  <si>
    <t>\\Nas\Shared Docs\АРХИВ ЗАКАЗОВ 2\Элетроснабжение офисных помещений ж.д.59.2 оси 4-6</t>
  </si>
  <si>
    <t>Жилой дом №  19.2</t>
  </si>
  <si>
    <t>\\Nas\Shared Docs\АРХИВ ЗАКАЗОВ 2\Жилой дом №  19.2\Заказ_Жилой дом №  19.2.xlsm</t>
  </si>
  <si>
    <t>\\Nas\Shared Docs\АРХИВ ЗАКАЗОВ 2\Жилой дом №  19.2</t>
  </si>
  <si>
    <t>31дом  молниезащита крепление проводника по фасаду</t>
  </si>
  <si>
    <t>\\Nas\Shared Docs\АРХИВ ЗАКАЗОВ 2\31дом  молниезащита крепление проводника по фасаду\Заказ_31дом  молниезащита крепление проводника по фасаду.xlsm</t>
  </si>
  <si>
    <t>\\Nas\Shared Docs\АРХИВ ЗАКАЗОВ 2\31дом  молниезащита крепление проводника по фасаду</t>
  </si>
  <si>
    <t>12 дом угловая секция</t>
  </si>
  <si>
    <t>\\Nas\Shared Docs\АРХИВ ЗАКАЗОВ 2\12 дом угловая секция\Заказ_12 дом угловая секция.xlsm</t>
  </si>
  <si>
    <t>\\Nas\Shared Docs\АРХИВ ЗАКАЗОВ 2\12 дом угловая секция</t>
  </si>
  <si>
    <t>Торгово досуговый центр</t>
  </si>
  <si>
    <t>\\Nas\Shared Docs\АРХИВ ЗАКАЗОВ 2\Торгово досуговый центр\Заказ_Торгово досуговый центр.xlsm</t>
  </si>
  <si>
    <t>\\Nas\Shared Docs\АРХИВ ЗАКАЗОВ 2\Торгово досуговый центр</t>
  </si>
  <si>
    <t>Поставка распределительных щитов в сборе</t>
  </si>
  <si>
    <t>\\Nas\Shared Docs\АРХИВ ЗАКАЗОВ 2\Поставка распределительных щитов в сборе\Заказ_Поставка распределительных щитов в сборе.xlsm</t>
  </si>
  <si>
    <t>\\Nas\Shared Docs\АРХИВ ЗАКАЗОВ 2\Поставка распределительных щитов в сборе</t>
  </si>
  <si>
    <t>Щит АВР с БАО</t>
  </si>
  <si>
    <t>\\Nas\Shared Docs\АРХИВ ЗАКАЗОВ 2\Щит АВР с БАО\Заказ_Щит АВР с БАО.xlsm</t>
  </si>
  <si>
    <t>\\Nas\Shared Docs\АРХИВ ЗАКАЗОВ 2\Щит АВР с БАО</t>
  </si>
  <si>
    <t>Школа Привилегия</t>
  </si>
  <si>
    <t>\\Nas\Shared Docs\АРХИВ ЗАКАЗОВ 2\Школа Привилегия\Заказ_Школа Привилегия.xlsm</t>
  </si>
  <si>
    <t>\\Nas\Shared Docs\АРХИВ ЗАКАЗОВ 2\Школа Привилегия</t>
  </si>
  <si>
    <t>Дополнительные работы 31 дом оси 5-6</t>
  </si>
  <si>
    <t>\\Nas\Shared Docs\АРХИВ ЗАКАЗОВ 2\Дополнительные работы 31 дом оси 5-6\Заказ_Дополнительные работы 31 дом оси 5-6.xlsm</t>
  </si>
  <si>
    <t>\\Nas\Shared Docs\АРХИВ ЗАКАЗОВ 2\Дополнительные работы 31 дом оси 5-6</t>
  </si>
  <si>
    <t xml:space="preserve"> 54 дом Парковый 3 от 01.11</t>
  </si>
  <si>
    <t>\\Nas\Shared Docs\АРХИВ ЗАКАЗОВ 2\ 54 дом Парковый 3 от 01.11\Заказ_ 54 дом Парковый 3 от 01.11.xlsm</t>
  </si>
  <si>
    <t>\\Nas\Shared Docs\АРХИВ ЗАКАЗОВ 2\ 54 дом Парковый 3 от 01.11</t>
  </si>
  <si>
    <t xml:space="preserve"> 55 дом Парковый 3 от 01.11</t>
  </si>
  <si>
    <t>\\Nas\Shared Docs\АРХИВ ЗАКАЗОВ 2\ 55 дом Парковый 3 от 01.11\Заказ_ 55 дом Парковый 3 от 01.11.xlsm</t>
  </si>
  <si>
    <t>\\Nas\Shared Docs\АРХИВ ЗАКАЗОВ 2\ 55 дом Парковый 3 от 01.11</t>
  </si>
  <si>
    <t>Отдел продаж Парковый 3</t>
  </si>
  <si>
    <t>\\Nas\Shared Docs\АРХИВ ЗАКАЗОВ 2\Отдел продаж Парковый 3\Заказ_Отдел продаж Парковый 3.xlsm</t>
  </si>
  <si>
    <t>\\Nas\Shared Docs\АРХИВ ЗАКАЗОВ 2\Отдел продаж Парковый 3</t>
  </si>
  <si>
    <t>59.2 дом. Чистовые квартиры оси 5-6</t>
  </si>
  <si>
    <t>\\Nas\Shared Docs\АРХИВ ЗАКАЗОВ 2\59.2 дом. Чистовые квартиры оси 5-6\Заказ_59.2 дом. Чистовые квартиры оси 5-6.xlsm</t>
  </si>
  <si>
    <t>\\Nas\Shared Docs\АРХИВ ЗАКАЗОВ 2\59.2 дом. Чистовые квартиры оси 5-6</t>
  </si>
  <si>
    <t>п. Привилегия дополнительные работы</t>
  </si>
  <si>
    <t>\\Nas\Shared Docs\АРХИВ ЗАКАЗОВ 2\п. Привилегия дополнительные работы\Заказ_п. Привилегия дополнительные работы.xlsm</t>
  </si>
  <si>
    <t>\\Nas\Shared Docs\АРХИВ ЗАКАЗОВ 2\п. Привилегия дополнительные работы</t>
  </si>
  <si>
    <t>Юургу слаботочка</t>
  </si>
  <si>
    <t>\\Nas\Shared Docs\АРХИВ ЗАКАЗОВ 2\Юургу слаботочка\Заказ_Юургу слаботочка.xlsm</t>
  </si>
  <si>
    <t>\\Nas\Shared Docs\АРХИВ ЗАКАЗОВ 2\Юургу слаботочка</t>
  </si>
  <si>
    <t>31 дом 9 квартир</t>
  </si>
  <si>
    <t>\\Nas\Shared Docs\АРХИВ ЗАКАЗОВ 2\31 дом 9 квартир\Заказ_31 дом 9 квартир.xlsm</t>
  </si>
  <si>
    <t>Многоквартирный жилой дом 55</t>
  </si>
  <si>
    <t>\\Nas\Shared Docs\АРХИВ ЗАКАЗОВ 2\Многоквартирный жилой дом 55\Заказ_Многоквартирный жилой дом 55.xlsm</t>
  </si>
  <si>
    <t>8.1 Перепланировка квартир из 4кв в 3кв</t>
  </si>
  <si>
    <t>\\Nas\Shared Docs\АРХИВ ЗАКАЗОВ 2\8.1 Перепланировка квартир из 4кв в 3кв\Заказ_8.1 Перепланировка квартир из 4кв в 3кв.xlsm</t>
  </si>
  <si>
    <t>18.4 Перенос выключателей в техподполье 1;2;3;4 секции</t>
  </si>
  <si>
    <t>\\Nas\Shared Docs\АРХИВ ЗАКАЗОВ 2\18.4 Перенос выключателей в техподполье 1;2;3;4 секции\Заказ_18.4 Перенос выключателей в техподполье 1;2;3;4 секции.xlsm</t>
  </si>
  <si>
    <t>18.1 Перенос выкл_в техп_ 2;3;4 секции Восстан_электросетей в техп_ 3;4 секция</t>
  </si>
  <si>
    <t>\\Nas\Shared Docs\АРХИВ ЗАКАЗОВ 2\18.1 Перенос выкл_в техп_ 2;3;4 секции Восстан_электросетей в техп_ 3;4 секция\Заказ_18.1 Перенос выкл_в техп_ 2;3;4 секции Восстан_электросетей в техп_ 3;4 секция.xlsm</t>
  </si>
  <si>
    <t>3.1 Восстановление электросетей в техподполье 3 секция</t>
  </si>
  <si>
    <t>\\Nas\Shared Docs\АРХИВ ЗАКАЗОВ 2\3.1 Восстановление электросетей в техподполье 3 секция\Заказ_3.1 Восстановление электросетей в техподполье 3 секция.xlsm</t>
  </si>
  <si>
    <t>3.2 Восстановление электросетей в техподполье 1;2 секция</t>
  </si>
  <si>
    <t>\\Nas\Shared Docs\АРХИВ ЗАКАЗОВ 2\3.2 Восстановление электросетей в техподполье 1;2 секция\Заказ_3.2 Восстановление электросетей в техподполье 1;2 секция.xlsm</t>
  </si>
  <si>
    <t>7.1 Восстановление электросетей в техподполье 3;4 секция</t>
  </si>
  <si>
    <t>\\Nas\Shared Docs\АРХИВ ЗАКАЗОВ 2\7.1 Восстановление электросетей в техподполье 3;4 секция\Заказ_7.1 Восстановление электросетей в техподполье 3;4 секция.xlsm</t>
  </si>
  <si>
    <t>7.2 Восстановление электросетей в техподполье 1;2;3 секция</t>
  </si>
  <si>
    <t>\\Nas\Shared Docs\АРХИВ ЗАКАЗОВ 2\7.2 Восстановление электросетей в техподполье 1;2;3 секция\Заказ_7.2 Восстановление электросетей в техподполье 1;2;3 секция.xlsm</t>
  </si>
  <si>
    <t>7.3 Восстановление электросетей в техподполье 1;2;3;4 секция</t>
  </si>
  <si>
    <t>\\Nas\Shared Docs\АРХИВ ЗАКАЗОВ 2\7.3 Восстановление электросетей в техподполье 1;2;3;4 секция\Заказ_7.3 Восстановление электросетей в техподполье 1;2;3;4 секция.xlsm</t>
  </si>
  <si>
    <t>9.1 Восстановление электросетей в техподполье</t>
  </si>
  <si>
    <t>\\Nas\Shared Docs\АРХИВ ЗАКАЗОВ 2\9.1 Восстановление электросетей в техподполье\Заказ_9.1 Восстановление электросетей в техподполье.xlsm</t>
  </si>
  <si>
    <t>9.2 Восстановление электросетей в техподполье</t>
  </si>
  <si>
    <t>\\Nas\Shared Docs\АРХИВ ЗАКАЗОВ 2\9.2 Восстановление электросетей в техподполье\Заказ_9.2 Восстановление электросетей в техподполье.xlsm</t>
  </si>
  <si>
    <t>9.4 Восстановление электросетей в техподполье</t>
  </si>
  <si>
    <t>\\Nas\Shared Docs\АРХИВ ЗАКАЗОВ 2\9.4 Восстановление электросетей в техподполье\Заказ_9.4 Восстановление электросетей в техподполье.xlsm</t>
  </si>
  <si>
    <t>9.5 Восстановление электросетей в техподполье</t>
  </si>
  <si>
    <t>\\Nas\Shared Docs\АРХИВ ЗАКАЗОВ 2\9.5 Восстановление электросетей в техподполье\Заказ_9.5 Восстановление электросетей в техподполье.xlsm</t>
  </si>
  <si>
    <t>22.1 Восстановление электросетей в техподполье 1 секция</t>
  </si>
  <si>
    <t>\\Nas\Shared Docs\АРХИВ ЗАКАЗОВ 2\22.1 Восстановление электросетей в техподполье 1 секция\Заказ_22.1 Восстановление электросетей в техподполье 1 секция.xlsm</t>
  </si>
  <si>
    <t>4.4 Ревизия ВРУ (после подтопления)</t>
  </si>
  <si>
    <t>\\Nas\Shared Docs\АРХИВ ЗАКАЗОВ 2\4.4 Ревизия ВРУ (после подтопления)\Заказ_4.4 Ревизия ВРУ (после подтопления).xlsm</t>
  </si>
  <si>
    <t>56 дом Парковый 3_нов_шаблон</t>
  </si>
  <si>
    <t>\\Nas\Shared Docs\АРХИВ ЗАКАЗОВ 2\56 дом Парковый 3_нов_шаблон\Заказ_56 дом Парковый 3_нов_шаблон.xlsm</t>
  </si>
  <si>
    <t>57 дом Парковый 3_нов_шаблон</t>
  </si>
  <si>
    <t>\\Nas\Shared Docs\АРХИВ ЗАКАЗОВ 2\57 дом Парковый 3_нов_шаблон\Заказ_57 дом Парковый 3_нов_шаблон.xlsm</t>
  </si>
  <si>
    <t>55 дом Парковый 3_нов_шаблон</t>
  </si>
  <si>
    <t>\\Nas\Shared Docs\АРХИВ ЗАКАЗОВ 2\55 дом Парковый 3_нов_шаблон\Заказ_55 дом Парковый 3_нов_шаблон.xlsm</t>
  </si>
  <si>
    <t>Школа Привилегия Раздел ЭО</t>
  </si>
  <si>
    <t>\\Nas\Shared Docs\АРХИВ ЗАКАЗОВ 2\Школа Привилегия Раздел ЭО\Заказ_Школа Привилегия Раздел ЭО.xlsm</t>
  </si>
  <si>
    <t>31 дом чистовые квартиры  оси 3-4 (25кв)</t>
  </si>
  <si>
    <t>\\Nas\Shared Docs\АРХИВ ЗАКАЗОВ 2\31 дом чистовые квартиры  оси 3-4 (25кв)\Заказ_31 дом чистовые квартиры  оси 3-4 (25кв).xlsm</t>
  </si>
  <si>
    <t>31 дом чистовые квартиры  оси 3-4 (24кв)</t>
  </si>
  <si>
    <t>\\Nas\Shared Docs\АРХИВ ЗАКАЗОВ 2\31 дом чистовые квартиры  оси 3-4 (24кв)\Заказ_31 дом чистовые квартиры  оси 3-4 (24кв).xlsm</t>
  </si>
  <si>
    <t>57 дом дополнительные работы</t>
  </si>
  <si>
    <t>\\Nas\Shared Docs\АРХИВ ЗАКАЗОВ 2\57 дом дополнительные работы\Заказ_57 дом дополнительные работы.xlsm</t>
  </si>
  <si>
    <t>56 дом дополнительные работы</t>
  </si>
  <si>
    <t>\\Nas\Shared Docs\АРХИВ ЗАКАЗОВ 2\56 дом дополнительные работы\Заказ_56 дом дополнительные работы.xlsm</t>
  </si>
  <si>
    <t>Ресепшн 17_01_2022</t>
  </si>
  <si>
    <t>\\Nas\Shared Docs\АРХИВ ЗАКАЗОВ 2\Ресепшн 17_01_2022\Заказ_Ресепшн 17_01_2022.xlsm</t>
  </si>
  <si>
    <t>жд 19_2</t>
  </si>
  <si>
    <t>\\Nas\Shared Docs\АРХИВ ЗАКАЗОВ 2\жд 19_2\Заказ_жд 19_2.xlsm</t>
  </si>
  <si>
    <t>50 дом Парковый 3</t>
  </si>
  <si>
    <t>\\Nas\Shared Docs\АРХИВ ЗАКАЗОВ 2\50 дом Парковый 3\Заказ_50 дом Парковый 3.xlsm</t>
  </si>
  <si>
    <t>51 дом Парковый 3</t>
  </si>
  <si>
    <t>\\Nas\Shared Docs\АРХИВ ЗАКАЗОВ 2\51 дом Парковый 3\Заказ_51 дом Парковый 3.xlsm</t>
  </si>
  <si>
    <t>Школа п. Привилегия 02.02.2022</t>
  </si>
  <si>
    <t>\\Nas\Shared Docs\АРХИВ ЗАКАЗОВ 2\Школа п. Привилегия 02.02.2022\Заказ_Школа п. Привилегия 02.02.2022.xlsm</t>
  </si>
  <si>
    <t>Школа п. Привилегия (накладные светильники)</t>
  </si>
  <si>
    <t>\\Nas\Shared Docs\АРХИВ ЗАКАЗОВ 2\Школа п. Привилегия (накладные светильники)\Заказ_Школа п. Привилегия (накладные светильники).xlsm</t>
  </si>
  <si>
    <t>Жилой дом 7.1</t>
  </si>
  <si>
    <t>\\Nas\Shared Docs\АРХИВ ЗАКАЗОВ 2\Жилой дом 7.1\Заказ_Жилой дом 7.1.xlsm</t>
  </si>
  <si>
    <t>Жилой дом 8.1</t>
  </si>
  <si>
    <t>\\Nas\Shared Docs\АРХИВ ЗАКАЗОВ 2\Жилой дом 8.1\Заказ_Жилой дом 8.1.xlsm</t>
  </si>
  <si>
    <t>54 дом Парковый 3_новый_шаблон</t>
  </si>
  <si>
    <t>\\Nas\Shared Docs\АРХИВ ЗАКАЗОВ 2\54 дом Парковый 3_новый_шаблон\Заказ_54 дом Парковый 3_новый_шаблон.xlsm</t>
  </si>
  <si>
    <t>46 дом Парковый 3</t>
  </si>
  <si>
    <t>\\Nas\Shared Docs\АРХИВ ЗАКАЗОВ 2\46 дом Парковый 3\Заказ_46 дом Парковый 3.xlsm</t>
  </si>
  <si>
    <t>Ресепшн без светильников</t>
  </si>
  <si>
    <t>\\Nas\Shared Docs\АРХИВ ЗАКАЗОВ 2\Ресепшн без светильников\Заказ_Ресепшн без светильников.xlsm</t>
  </si>
  <si>
    <t>Ресепшн без светильников выключатели Этюд</t>
  </si>
  <si>
    <t>\\Nas\Shared Docs\АРХИВ ЗАКАЗОВ 2\Ресепшн без светильников выключатели Этюд\Заказ_Ресепшн без светильников выключатели Этюд.xlsm</t>
  </si>
  <si>
    <t>Светильники спортивное сооружение</t>
  </si>
  <si>
    <t>\\Nas\Shared Docs\АРХИВ ЗАКАЗОВ 2\Светильники спортивное сооружение\Заказ_Светильники спортивное сооружение.xlsm</t>
  </si>
  <si>
    <t>Ресепшн без светильников 28.02</t>
  </si>
  <si>
    <t>\\Nas\Shared Docs\АРХИВ ЗАКАЗОВ 2\Ресепшн без светильников 28.02\Заказ_Ресепшн без светильников 28.02.xlsm</t>
  </si>
  <si>
    <t>Школа п. Привилегия (накладные светильники) 01.03</t>
  </si>
  <si>
    <t>\\Nas\Shared Docs\АРХИВ ЗАКАЗОВ 2\Школа п. Привилегия (накладные светильники) 01.03\Заказ_Школа п. Привилегия (накладные светильники) 01.03.xlsm</t>
  </si>
  <si>
    <t>Школа п. Привилегия (общий) 02.03</t>
  </si>
  <si>
    <t>\\Nas\Shared Docs\АРХИВ ЗАКАЗОВ 2\Школа п. Привилегия (общий) 02.03\Заказ_Школа п. Привилегия (общий) 02.03.xlsm</t>
  </si>
  <si>
    <t>ВРУ СПАР</t>
  </si>
  <si>
    <t>\\Nas\Shared Docs\АРХИВ ЗАКАЗОВ 2\ВРУ СПАР\Заказ_ВРУ СПАР.xlsm</t>
  </si>
  <si>
    <t>54 дом дополнительные работы</t>
  </si>
  <si>
    <t>\\Nas\Shared Docs\АРХИВ ЗАКАЗОВ 2\54 дом дополнительные работы\Заказ_54 дом дополнительные работы.xlsm</t>
  </si>
  <si>
    <t>55 дом дополнительные работы</t>
  </si>
  <si>
    <t>\\Nas\Shared Docs\АРХИВ ЗАКАЗОВ 2\55 дом дополнительные работы\Заказ_55 дом дополнительные работы.xlsm</t>
  </si>
  <si>
    <t>56 дом дополнительные работы по вентиляции в квартирах</t>
  </si>
  <si>
    <t>\\Nas\Shared Docs\АРХИВ ЗАКАЗОВ 2\56 дом дополнительные работы по вентиляции в квартирах\Заказ_56 дом дополнительные работы по вентиляции в квартирах.xlsm</t>
  </si>
  <si>
    <t>57 дом дополнительные работы по вентиляции в квартирах</t>
  </si>
  <si>
    <t>\\Nas\Shared Docs\АРХИВ ЗАКАЗОВ 2\57 дом дополнительные работы по вентиляции в квартирах\Заказ_57 дом дополнительные работы по вентиляции в квартирах.xlsm</t>
  </si>
  <si>
    <t>51 дом Парковый 3 от 15.03.2022</t>
  </si>
  <si>
    <t>\\Nas\Shared Docs\АРХИВ ЗАКАЗОВ 2\51 дом Парковый 3 от 15.03.2022\Заказ_51 дом Парковый 3 от 15.03.2022.xlsm</t>
  </si>
  <si>
    <t>Временное освещение Ж.Д. Алое поле</t>
  </si>
  <si>
    <t>\\Nas\Shared Docs\АРХИВ ЗАКАЗОВ 2\Временное освещение Ж.Д. Алое поле\Заказ_Временное освещение Ж.Д. Алое поле.xlsm</t>
  </si>
  <si>
    <t>51 дом Парковый 3 от 24.03.2022</t>
  </si>
  <si>
    <t>\\Nas\Shared Docs\АРХИВ ЗАКАЗОВ 2\51 дом Парковый 3 от 24.03.2022\Заказ_51 дом Парковый 3 от 24.03.2022.xlsm</t>
  </si>
  <si>
    <t>Жилой дом №23.1</t>
  </si>
  <si>
    <t>\\Nas\Shared Docs\АРХИВ ЗАКАЗОВ 2\Жилой дом №23.1\Заказ_Жилой дом №23.1.xlsm</t>
  </si>
  <si>
    <t>Восстановление сети электроснабжения лифтов 56 дом</t>
  </si>
  <si>
    <t>\\Nas\Shared Docs\АРХИВ ЗАКАЗОВ 2\Восстановление сети электроснабжения лифтов 56 дом\Заказ_Восстановление сети электроснабжения лифтов 56 дом.xlsm</t>
  </si>
  <si>
    <t>Жилой дом №23.2</t>
  </si>
  <si>
    <t>\\Nas\Shared Docs\АРХИВ ЗАКАЗОВ 2\Жилой дом №23.2\Заказ_Жилой дом №23.2.xlsm</t>
  </si>
  <si>
    <t>Жилой дом №24.1</t>
  </si>
  <si>
    <t>\\Nas\Shared Docs\АРХИВ ЗАКАЗОВ 2\Жилой дом №24.1\Заказ_Жилой дом №24.1.xlsm</t>
  </si>
  <si>
    <t>Жилой дом №24.2</t>
  </si>
  <si>
    <t>\\Nas\Shared Docs\АРХИВ ЗАКАЗОВ 2\Жилой дом №24.2\Заказ_Жилой дом №24.2.xlsm</t>
  </si>
  <si>
    <t>Жилой дом №23.1 Алюминевый провод ВРУ-ЩЭ</t>
  </si>
  <si>
    <t>\\Nas\Shared Docs\АРХИВ ЗАКАЗОВ 2\Жилой дом №23.1 Алюминевый провод ВРУ-ЩЭ\Заказ_Жилой дом №23.1 Алюминевый провод ВРУ-ЩЭ.xlsm</t>
  </si>
  <si>
    <t>Жилой дом №23.2 Алюминевый провод ВРУ-ЩЭ</t>
  </si>
  <si>
    <t>\\Nas\Shared Docs\АРХИВ ЗАКАЗОВ 2\Жилой дом №23.2 Алюминевый провод ВРУ-ЩЭ\Заказ_Жилой дом №23.2 Алюминевый провод ВРУ-ЩЭ.xlsm</t>
  </si>
  <si>
    <t>Жилой дом №24.1 Алюминевый провод ВРУ-ЩЭ</t>
  </si>
  <si>
    <t>\\Nas\Shared Docs\АРХИВ ЗАКАЗОВ 2\Жилой дом №24.1 Алюминевый провод ВРУ-ЩЭ\Заказ_Жилой дом №24.1 Алюминевый провод ВРУ-ЩЭ.xlsm</t>
  </si>
  <si>
    <t>Жилой дом №24.2 Алюминевый провод ВРУ-ЩЭ</t>
  </si>
  <si>
    <t>\\Nas\Shared Docs\АРХИВ ЗАКАЗОВ 2\Жилой дом №24.2 Алюминевый провод ВРУ-ЩЭ\Заказ_Жилой дом №24.2 Алюминевый провод ВРУ-ЩЭ.xlsm</t>
  </si>
  <si>
    <t>46 дом Парковый 3 от 04.04.2022</t>
  </si>
  <si>
    <t>\\Nas\Shared Docs\АРХИВ ЗАКАЗОВ 2\46 дом Парковый 3 от 04.04.2022\Заказ_46 дом Парковый 3 от 04.04.2022.xlsm</t>
  </si>
  <si>
    <t>51 дом Парковый 3 от 07.04.2022</t>
  </si>
  <si>
    <t>\\Nas\Shared Docs\АРХИВ ЗАКАЗОВ 2\51 дом Парковый 3 от 07.04.2022\Заказ_51 дом Парковый 3 от 07.04.2022.xlsm</t>
  </si>
  <si>
    <t>47 дом Парковый 3 от 08.04.2022</t>
  </si>
  <si>
    <t>\\Nas\Shared Docs\АРХИВ ЗАКАЗОВ 2\47 дом Парковый 3 от 08.04.2022\Заказ_47 дом Парковый 3 от 08.04.2022.xlsm</t>
  </si>
  <si>
    <t>Отдел продаж реконструкция ВРУ</t>
  </si>
  <si>
    <t>\\Nas\Shared Docs\АРХИВ ЗАКАЗОВ 2\Отдел продаж реконструкция ВРУ\Заказ_Отдел продаж реконструкция ВРУ.xlsm</t>
  </si>
  <si>
    <t>Жилой дом №25.1</t>
  </si>
  <si>
    <t>\\Nas\Shared Docs\АРХИВ ЗАКАЗОВ 2\Жилой дом №25.1\Заказ_Жилой дом №25.1.xlsm</t>
  </si>
  <si>
    <t>Щит вентиляции Ресепшн</t>
  </si>
  <si>
    <t>\\Nas\Shared Docs\АРХИВ ЗАКАЗОВ 2\Щит вентиляции Ресепшн\Заказ_Щит вентиляции Ресепшн.xlsm</t>
  </si>
  <si>
    <t>Версия программы</t>
  </si>
  <si>
    <t>V 1</t>
  </si>
  <si>
    <t>Ресепшн изготовление гильз</t>
  </si>
  <si>
    <t>\\Nas\Shared Docs\АРХИВ ЗАКАЗОВ 2\Ресепшн изготовление гильз\Заказ_Ресепшн изготовление гильз.xlsm</t>
  </si>
  <si>
    <t>Закрытие на Сумму</t>
  </si>
  <si>
    <t>56 дом средства защитыв электрощитовой</t>
  </si>
  <si>
    <t>\\Nas\Shared Docs\АРХИВ ЗАКАЗОВ 2\56 дом средства защитыв электрощитовой\Заказ_56 дом средства защитыв электрощитовой.xlsm</t>
  </si>
  <si>
    <t>57 дом средства защитыв электрощитовой</t>
  </si>
  <si>
    <t>\\Nas\Shared Docs\АРХИВ ЗАКАЗОВ 2\57 дом средства защитыв электрощитовой\Заказ_57 дом средства защитыв электрощитовой.xlsm</t>
  </si>
  <si>
    <t>V 0</t>
  </si>
  <si>
    <t>Светильники РЕСЕПШН</t>
  </si>
  <si>
    <t>\\Nas\Shared Docs\АРХИВ ЗАКАЗОВ 2\Светильники РЕСЕПШН\Заказ_Светильники РЕСЕПШН.xlsm</t>
  </si>
  <si>
    <t>Жилой дом №23.1 Алюминевый провод ВРУ-ЩЭ 25_04_22</t>
  </si>
  <si>
    <t>\\Nas\Shared Docs\АРХИВ ЗАКАЗОВ 2\Жилой дом №23.1 Алюминевый провод ВРУ-ЩЭ 25_04_22\Заказ_Жилой дом №23.1 Алюминевый провод ВРУ-ЩЭ 25_04_22.xlsm</t>
  </si>
  <si>
    <t>Жилой дом №23.2 Алюминевый провод ВРУ-ЩЭ 25_04_22</t>
  </si>
  <si>
    <t>\\Nas\Shared Docs\АРХИВ ЗАКАЗОВ 2\Жилой дом №23.2 Алюминевый провод ВРУ-ЩЭ 25_04_22\Заказ_Жилой дом №23.2 Алюминевый провод ВРУ-ЩЭ 25_04_22.xlsm</t>
  </si>
  <si>
    <t>Жилой дом №24.2 Алюминевый провод ВРУ-ЩЭ 25_04_22</t>
  </si>
  <si>
    <t>\\Nas\Shared Docs\АРХИВ ЗАКАЗОВ 2\Жилой дом №24.2 Алюминевый провод ВРУ-ЩЭ 25_04_22\Заказ_Жилой дом №24.2 Алюминевый провод ВРУ-ЩЭ 25_04_22.xlsm</t>
  </si>
  <si>
    <t>Жилой дом №24.1 Алюминевый провод ВРУ-ЩЭ 25_04_22</t>
  </si>
  <si>
    <t>\\Nas\Shared Docs\АРХИВ ЗАКАЗОВ 2\Жилой дом №24.1 Алюминевый провод ВРУ-ЩЭ 25_04_22\Заказ_Жилой дом №24.1 Алюминевый провод ВРУ-ЩЭ 25_04_22.xlsm</t>
  </si>
  <si>
    <t>Светильники РЕСЕПШН Центрстройсвет</t>
  </si>
  <si>
    <t>\\Nas\Shared Docs\АРХИВ ЗАКАЗОВ 2\Светильники РЕСЕПШН Центрстройсвет\Заказ_Светильники РЕСЕПШН Центрстройсвет.xlsm</t>
  </si>
  <si>
    <t>ЮУрГУ материалы 04.05</t>
  </si>
  <si>
    <t>\\Nas\Shared Docs\АРХИВ ЗАКАЗОВ 2\ЮУрГУ материалы 04.05\Заказ_ЮУрГУ материалы 04.05.xlsm</t>
  </si>
  <si>
    <t>Распределительные щиты Алое поле</t>
  </si>
  <si>
    <t>\\Nas\Shared Docs\АРХИВ ЗАКАЗОВ 2\Распределительные щиты Алое поле\Заказ_Распределительные щиты Алое поле.xlsm</t>
  </si>
  <si>
    <t>Дополнительные работы ФОК</t>
  </si>
  <si>
    <t>\\Nas\Shared Docs\АРХИВ ЗАКАЗОВ 2\Дополнительные работы ФОК\Заказ_Дополнительные работы ФОК.xlsm</t>
  </si>
  <si>
    <t>Временное электроснабжение Алое поле 2этап</t>
  </si>
  <si>
    <t>\\Nas\Shared Docs\АРХИВ ЗАКАЗОВ 2\Временное электроснабжение Алое поле 2этап\Заказ_Временное электроснабжение Алое поле 2этап.xlsm</t>
  </si>
  <si>
    <t>51 дом Восстановление электропроводки</t>
  </si>
  <si>
    <t>\\Nas\Shared Docs\АРХИВ ЗАКАЗОВ 2\51 дом Восстановление электропроводки\Заказ_51 дом Восстановление электропроводки.xlsm</t>
  </si>
  <si>
    <t>ФОК 03.06</t>
  </si>
  <si>
    <t>\\Nas\Shared Docs\АРХИВ ЗАКАЗОВ 2\ФОК 03.06\Заказ_ФОК 03.06.xlsm</t>
  </si>
  <si>
    <t>44 дом Парковый 3</t>
  </si>
  <si>
    <t>\\Nas\Shared Docs\АРХИВ ЗАКАЗОВ 2\44 дом Парковый 3\Заказ_44 дом Парковый 3.xlsm</t>
  </si>
  <si>
    <t>Подключение тренажеров ФОК</t>
  </si>
  <si>
    <t>\\Nas\Shared Docs\АРХИВ ЗАКАЗОВ 2\Подключение тренажеров ФОК\Заказ_Подключение тренажеров ФОК.xlsm</t>
  </si>
  <si>
    <t>Жилой дом №25.2</t>
  </si>
  <si>
    <t>\\Nas\Shared Docs\АРХИВ ЗАКАЗОВ 2\Жилой дом №25.2\Заказ_Жилой дом №25.2.xlsm</t>
  </si>
  <si>
    <t>Временное электроснабжение Алое поле 3этап</t>
  </si>
  <si>
    <t>\\Nas\Shared Docs\АРХИВ ЗАКАЗОВ 2\Временное электроснабжение Алое поле 3этап\Заказ_Временное электроснабжение Алое поле 3этап.xlsm</t>
  </si>
  <si>
    <t>Временное электроснабжение Алое поле 3этап на прожекторах</t>
  </si>
  <si>
    <t>\\Nas\Shared Docs\АРХИВ ЗАКАЗОВ 2\Временное электроснабжение Алое поле 3этап на прожекторах\Заказ_Временное электроснабжение Алое поле 3этап на прожекторах.xlsm</t>
  </si>
  <si>
    <t>V 2</t>
  </si>
  <si>
    <t>Ресепшн без светильников ФАКТ</t>
  </si>
  <si>
    <t>\\Nas\Shared Docs\АРХИВ ЗАКАЗОВ 2\Ресепшн без светильников ФАКТ\Заказ_Ресепшн без светильников ФАКТ.xlsm</t>
  </si>
  <si>
    <t>Школа лотки</t>
  </si>
  <si>
    <t>\\Nas\Shared Docs\АРХИВ ЗАКАЗОВ 2\Школа лотки\Заказ_Школа лотки.xlsm</t>
  </si>
  <si>
    <t>12 дом угловая питание электроприводов</t>
  </si>
  <si>
    <t>\\Nas\Shared Docs\АРХИВ ЗАКАЗОВ 2\12 дом угловая питание электроприводов\Заказ_12 дом угловая питание электроприводов.xlsm</t>
  </si>
  <si>
    <t>Школа факт</t>
  </si>
  <si>
    <t>\\Nas\Shared Docs\АРХИВ ЗАКАЗОВ 2\Школа факт\Заказ_Школа факт.xlsm</t>
  </si>
  <si>
    <t>ФОК_18_07_2022</t>
  </si>
  <si>
    <t>\\Nas\Shared Docs\АРХИВ ЗАКАЗОВ 2\ФОК_18_07_2022\Заказ_ФОК_18_07_2022.xlsm</t>
  </si>
  <si>
    <t>Электроснабжение КПП Школа 1100 мест</t>
  </si>
  <si>
    <t>\\Nas\Shared Docs\АРХИВ ЗАКАЗОВ 2\Электроснабжение КПП Школа 1100 мест\Заказ_Электроснабжение КПП Школа 1100 мест.xlsm</t>
  </si>
  <si>
    <t>Устройство противопожарных кабельных проходок Школа на 1100 мест</t>
  </si>
  <si>
    <t>\\Nas\Shared Docs\АРХИВ ЗАКАЗОВ 2\Устройство противопожарных кабельных проходок Школа на 1100 мест\Заказ_Устройство противопожарных кабельных проходок Школа на 1100 мест.xlsm</t>
  </si>
  <si>
    <t>25.1 с изменениями</t>
  </si>
  <si>
    <t>\\Nas\Shared Docs\АРХИВ ЗАКАЗОВ 2\25.1 с изменениями\Заказ_25.1 с изменениями.xlsm</t>
  </si>
  <si>
    <t>Временное электроснабжение Алое поле 4 этап</t>
  </si>
  <si>
    <t>\\Nas\Shared Docs\АРХИВ ЗАКАЗОВ 2\Временное электроснабжение Алое поле 4 этап\Заказ_Временное электроснабжение Алое поле 4 этап.xlsm</t>
  </si>
  <si>
    <t>Бассейн</t>
  </si>
  <si>
    <t>\\Nas\Shared Docs\АРХИВ ЗАКАЗОВ 2\Бассейн\Заказ_Бассейн.xlsm</t>
  </si>
  <si>
    <t>51 дом восстановление сетей электроснабжения квартир</t>
  </si>
  <si>
    <t>\\Nas\Shared Docs\АРХИВ ЗАКАЗОВ 2\51 дом восстановление сетей электроснабжения квартир\Заказ_51 дом восстановление сетей электроснабжения квартир.xlsm</t>
  </si>
  <si>
    <t>12 дом угловая допы</t>
  </si>
  <si>
    <t>\\Nas\Shared Docs\АРХИВ ЗАКАЗОВ 2\12 дом угловая допы\Заказ_12 дом угловая допы.xlsm</t>
  </si>
  <si>
    <t>54 дом дизайнерский свет</t>
  </si>
  <si>
    <t>\\Nas\Shared Docs\АРХИВ ЗАКАЗОВ 2\54 дом дизайнерский свет\Заказ_54 дом дизайнерский свет.xlsm</t>
  </si>
  <si>
    <t>55 дом дизайнерский свет</t>
  </si>
  <si>
    <t>\\Nas\Shared Docs\АРХИВ ЗАКАЗОВ 2\55 дом дизайнерский свет\Заказ_55 дом дизайнерский свет.xlsm</t>
  </si>
  <si>
    <t>51 дом дизайнерский свет</t>
  </si>
  <si>
    <t>\\Nas\Shared Docs\АРХИВ ЗАКАЗОВ 2\51 дом дизайнерский свет\Заказ_51 дом дизайнерский свет.xlsm</t>
  </si>
  <si>
    <t>\\Nas\Shared Docs\АРХИВ ЗАКАЗОВ 2\23.02.2022\Заказ_23.02.2022.xlsm</t>
  </si>
  <si>
    <t>Жилой дом 23.2</t>
  </si>
  <si>
    <t>\\Nas\Shared Docs\АРХИВ ЗАКАЗОВ 2\Жилой дом 23.2\Заказ_Жилой дом 23.2.xlsm</t>
  </si>
  <si>
    <t>25.2 с изменениями</t>
  </si>
  <si>
    <t>\\Nas\Shared Docs\АРХИВ ЗАКАЗОВ 2\25.2 с изменениями\Заказ_25.2 с изменениями.xlsm</t>
  </si>
  <si>
    <t>54 дом средства защитыв электрощитовой</t>
  </si>
  <si>
    <t>\\Nas\Shared Docs\АРХИВ ЗАКАЗОВ 2\54 дом средства защитыв электрощитовой\Заказ_54 дом средства защитыв электрощитовой.xlsm</t>
  </si>
  <si>
    <t>55 дом средства защитыв электрощитовой</t>
  </si>
  <si>
    <t>\\Nas\Shared Docs\АРХИВ ЗАКАЗОВ 2\55 дом средства защитыв электрощитовой\Заказ_55 дом средства защитыв электрощитовой.xlsm</t>
  </si>
  <si>
    <t>51 дом средства защитыв электрощитовой</t>
  </si>
  <si>
    <t>\\Nas\Shared Docs\АРХИВ ЗАКАЗОВ 2\51 дом средства защитыв электрощитовой\Заказ_51 дом средства защитыв электрощитовой.xlsm</t>
  </si>
  <si>
    <t>Временное электроснабжение Алое поле 5 этап</t>
  </si>
  <si>
    <t>\\Nas\Shared Docs\АРХИВ ЗАКАЗОВ 2\Временное электроснабжение Алое поле 5 этап\Заказ_Временное электроснабжение Алое поле 5 этап.xlsm</t>
  </si>
  <si>
    <t>Электроснабжение здания для размещения спортивного инветаря</t>
  </si>
  <si>
    <t>\\Nas\Shared Docs\АРХИВ ЗАКАЗОВ 2\Электроснабжение здания для размещения спортивного инветаря\Заказ_Электроснабжение здания для размещения спортивного инветаря.xlsm</t>
  </si>
  <si>
    <t>Алое поле Торговый центр с жилыми помещениями 06.09.2022</t>
  </si>
  <si>
    <t>\\Nas\Shared Docs\АРХИВ ЗАКАЗОВ 2\Алое поле Торговый центр с жилыми помещениями 06.09.2022\Заказ_Алое поле Торговый центр с жилыми помещениями 06.09.2022.xlsm</t>
  </si>
  <si>
    <t>44 дом Парковый 3 07.09.2022</t>
  </si>
  <si>
    <t>\\Nas\Shared Docs\АРХИВ ЗАКАЗОВ 2\44 дом Парковый 3 07.09.2022\Заказ_44 дом Парковый 3 07.09.2022.xlsm</t>
  </si>
  <si>
    <t>Энергостандарт дом 5.1</t>
  </si>
  <si>
    <t>\\Nas\Shared Docs\АРХИВ ЗАКАЗОВ 2\Энергостандарт дом 5.1\Заказ_Энергостандарт дом 5.1.xlsm</t>
  </si>
  <si>
    <t>Электроснабжение КПП-2 Школа 1100 мест</t>
  </si>
  <si>
    <t>\\Nas\Shared Docs\АРХИВ ЗАКАЗОВ 2\Электроснабжение КПП-2 Школа 1100 мест\Заказ_Электроснабжение КПП-2 Школа 1100 мест.xlsm</t>
  </si>
  <si>
    <t>Светильники РЕСЕПШН 15.09</t>
  </si>
  <si>
    <t>\\Nas\Shared Docs\АРХИВ ЗАКАЗОВ 2\Светильники РЕСЕПШН 15.09\Заказ_Светильники РЕСЕПШН 15.09.xlsm</t>
  </si>
  <si>
    <t>Энергостандарт дом 5.4</t>
  </si>
  <si>
    <t>\\Nas\Shared Docs\АРХИВ ЗАКАЗОВ 2\Энергостандарт дом 5.4\Заказ_Энергостандарт дом 5.4.xlsm</t>
  </si>
  <si>
    <t>Офисные помещения Метчелстрой</t>
  </si>
  <si>
    <t>\\Nas\Shared Docs\АРХИВ ЗАКАЗОВ 2\Офисные помещения Метчелстрой\Заказ_Офисные помещения Метчелстрой.xlsm</t>
  </si>
  <si>
    <t>Фундамент общежития №1</t>
  </si>
  <si>
    <t>\\Nas\Shared Docs\АРХИВ ЗАКАЗОВ 2\Фундамент общежития №1\Заказ_Фундамент общежития №1.xlsm</t>
  </si>
  <si>
    <t>Дом 25 Копейск</t>
  </si>
  <si>
    <t>\\Nas\Shared Docs\АРХИВ ЗАКАЗОВ 2\Дом 25 Копейск\Заказ_Дом 25 Копейск.xlsm</t>
  </si>
  <si>
    <t>Эльтаун</t>
  </si>
  <si>
    <t>V 2.1</t>
  </si>
  <si>
    <t>\\Nas\Shared Docs\АРХИВ ЗАКАЗОВ 2\Эльтаун\Заказ_Эльтаун.xlsm</t>
  </si>
  <si>
    <t>Общешкольный блок №1</t>
  </si>
  <si>
    <t>\\Nas\Shared Docs\АРХИВ ЗАКАЗОВ 2\Общешкольный блок №1\Заказ_Общешкольный блок №1.xlsm</t>
  </si>
  <si>
    <t>Общешкольный блок №2</t>
  </si>
  <si>
    <t>\\Nas\Shared Docs\АРХИВ ЗАКАЗОВ 2\Общешкольный блок №2\Заказ_Общешкольный блок №2.xlsm</t>
  </si>
  <si>
    <t>48 дом Парковый 3</t>
  </si>
  <si>
    <t>\\Nas\Shared Docs\АРХИВ ЗАКАЗОВ 2\48 дом Парковый 3\Заказ_48 дом Парковый 3.xlsm</t>
  </si>
  <si>
    <t>Школа факт 27.10</t>
  </si>
  <si>
    <t>\\Nas\Shared Docs\АРХИВ ЗАКАЗОВ 2\Школа факт 27.10\Заказ_Школа факт 27.10.xlsm</t>
  </si>
  <si>
    <t>Встроенные помещения 5.1</t>
  </si>
  <si>
    <t>\\Nas\Shared Docs\АРХИВ ЗАКАЗОВ 2\Встроенные помещения 5.1\Заказ_Встроенные помещения 5.1.xlsm</t>
  </si>
  <si>
    <t>Поставка кабеля на ЮУрГУ</t>
  </si>
  <si>
    <t>\\Nas\Shared Docs\АРХИВ ЗАКАЗОВ 2\Поставка кабеля на ЮУрГУ\Заказ_Поставка кабеля на ЮУрГУ.xlsm</t>
  </si>
  <si>
    <t>Светильники спортзал</t>
  </si>
  <si>
    <t>\\Nas\Shared Docs\АРХИВ ЗАКАЗОВ 2\Светильники спортзал\Заказ_Светильники спортзал.xlsm</t>
  </si>
  <si>
    <t>Устройства защты от дугового пробоя</t>
  </si>
  <si>
    <t>\\Nas\Shared Docs\АРХИВ ЗАКАЗОВ 2\Устройства защты от дугового пробоя\Заказ_Устройства защты от дугового пробоя.xlsm</t>
  </si>
  <si>
    <t>ИП Беляев 47 дом 31 октября</t>
  </si>
  <si>
    <t>\\Nas\Shared Docs\АРХИВ ЗАКАЗОВ 2\ИП Беляев 47 дом 31 октября\Заказ_ИП Беляев 47 дом 31 октября.xlsm</t>
  </si>
  <si>
    <t>ЮУрГУ кабель 2 поставка</t>
  </si>
  <si>
    <t>\\Nas\Shared Docs\АРХИВ ЗАКАЗОВ 2\ЮУрГУ кабель 2 поставка\Заказ_ЮУрГУ кабель 2 поставка.xlsm</t>
  </si>
  <si>
    <t>Школа факт с Ресепшн 28_11_22</t>
  </si>
  <si>
    <t>\\Nas\Shared Docs\АРХИВ ЗАКАЗОВ 2\Школа факт с Ресепшн 28_11_22\Заказ_Школа факт с Ресепшн 28_11_22.xlsm</t>
  </si>
  <si>
    <t>Дополнительные работы школы</t>
  </si>
  <si>
    <t>\\Nas\Shared Docs\АРХИВ ЗАКАЗОВ 2\Дополнительные работы школы\Заказ_Дополнительные работы школы.xlsm</t>
  </si>
  <si>
    <t>Школа факт с Ресепшн 19_12_22</t>
  </si>
  <si>
    <t>\\Nas\Shared Docs\АРХИВ ЗАКАЗОВ 2\Школа факт с Ресепшн 19_12_22\Заказ_Школа факт с Ресепшн 19_12_22.xlsm</t>
  </si>
  <si>
    <t>Школа факт 21_12_22</t>
  </si>
  <si>
    <t>\\Nas\Shared Docs\АРХИВ ЗАКАЗОВ 2\Школа факт 21_12_22\Заказ_Школа факт 21_12_22.xlsm</t>
  </si>
  <si>
    <t>ИП Беляев 47 дом 30 ноября</t>
  </si>
  <si>
    <t>\\Nas\Shared Docs\АРХИВ ЗАКАЗОВ 2\ИП Беляев 47 дом 30 ноября\Заказ_ИП Беляев 47 дом 30 ноября.xlsm</t>
  </si>
  <si>
    <t>ИП Исаев 51 дом 30 декабря</t>
  </si>
  <si>
    <t>\\Nas\Shared Docs\АРХИВ ЗАКАЗОВ 2\ИП Исаев 51 дом 30 декабря\Заказ_ИП Исаев 51 дом 30 декабря.xlsm</t>
  </si>
  <si>
    <t>Школа дополнительные работа 11.01</t>
  </si>
  <si>
    <t>\\Nas\Shared Docs\АРХИВ ЗАКАЗОВ 2\Школа дополнительные работа 11.01\Заказ_Школа дополнительные работа 11.01.xlsm</t>
  </si>
  <si>
    <t>ИП Исаев 51 дом 30 сентяября</t>
  </si>
  <si>
    <t>\\Nas\Shared Docs\АРХИВ ЗАКАЗОВ 2\ИП Исаев 51 дом 30 сентяября\Заказ_ИП Исаев 51 дом 30 сентяября.xlsm</t>
  </si>
  <si>
    <t>ИП Чухарев 47 дом 30 декабря</t>
  </si>
  <si>
    <t>\\Nas\Shared Docs\АРХИВ ЗАКАЗОВ 2\ИП Чухарев 47 дом 30 декабря\Заказ_ИП Чухарев 47 дом 30 декабря.xlsm</t>
  </si>
  <si>
    <t>Детский сад 1 этаж ж.д. 48</t>
  </si>
  <si>
    <t>\\Nas\Shared Docs\АРХИВ ЗАКАЗОВ 2\Детский сад 1 этаж ж.д. 48\Заказ_Детский сад 1 этаж ж.д. 48.xlsm</t>
  </si>
  <si>
    <t>Жилой дом №4 Блюхера,97</t>
  </si>
  <si>
    <t>\\Nas\Shared Docs\АРХИВ ЗАКАЗОВ 2\Жилой дом №4 Блюхера,97\Заказ_Жилой дом №4 Блюхера,97.xlsm</t>
  </si>
  <si>
    <t>Поставка кабеля ЮрГУ</t>
  </si>
  <si>
    <t>\\Nas\Shared Docs\АРХИВ ЗАКАЗОВ 2\Поставка кабеля ЮрГУ\Заказ_Поставка кабеля ЮрГУ.xlsm</t>
  </si>
  <si>
    <t>Поставка кабеля ЮУрГУ 2</t>
  </si>
  <si>
    <t>\\Nas\Shared Docs\АРХИВ ЗАКАЗОВ 2\Поставка кабеля ЮУрГУ 2\Заказ_Поставка кабеля ЮУрГУ 2.xlsm</t>
  </si>
  <si>
    <t>Поставка кабеля ЮУрГУ общая</t>
  </si>
  <si>
    <t>\\Nas\Shared Docs\АРХИВ ЗАКАЗОВ 2\Поставка кабеля ЮУрГУ общая\Заказ_Поставка кабеля ЮУрГУ общая.xlsm</t>
  </si>
  <si>
    <t>Поставка кабеля ЮрГУ отдел 1</t>
  </si>
  <si>
    <t>\\Nas\Shared Docs\АРХИВ ЗАКАЗОВ 2\Поставка кабеля ЮрГУ отдел 1\Заказ_Поставка кабеля ЮрГУ отдел 1.xlsm</t>
  </si>
  <si>
    <t>Поставка кабеля ЮрГУ отдел общий</t>
  </si>
  <si>
    <t>\\Nas\Shared Docs\АРХИВ ЗАКАЗОВ 2\Поставка кабеля ЮрГУ отдел общий\Заказ_Поставка кабеля ЮрГУ отдел общий.xlsm</t>
  </si>
  <si>
    <t>Поставка кабеля ЮрГУ центральный склад</t>
  </si>
  <si>
    <t>\\Nas\Shared Docs\АРХИВ ЗАКАЗОВ 2\Поставка кабеля ЮрГУ центральный склад\Заказ_Поставка кабеля ЮрГУ центральный склад.xlsm</t>
  </si>
  <si>
    <t>Жилой дом 12.1</t>
  </si>
  <si>
    <t>\\Nas\Shared Docs\АРХИВ ЗАКАЗОВ 2\Жилой дом 12.1\Заказ_Жилой дом 12.1.xlsm</t>
  </si>
  <si>
    <t>Бассейн 03.03.2023</t>
  </si>
  <si>
    <t>\\Nas\Shared Docs\АРХИВ ЗАКАЗОВ 2\Бассейн 03.03.2023\Заказ_Бассейн 03.03.2023.xlsm</t>
  </si>
  <si>
    <t>9.2 п. Привилегия</t>
  </si>
  <si>
    <t>\\Nas\Shared Docs\АРХИВ ЗАКАЗОВ 2\9.2 п. Привилегия\Заказ_9.2 п. Привилегия.xlsm</t>
  </si>
  <si>
    <t>10.1 п. Привилегия</t>
  </si>
  <si>
    <t>\\Nas\Shared Docs\АРХИВ ЗАКАЗОВ 2\10.1 п. Привилегия\Заказ_10.1 п. Привилегия.xlsm</t>
  </si>
  <si>
    <t>ЮУрГУ материал</t>
  </si>
  <si>
    <t>\\Nas\Shared Docs\АРХИВ ЗАКАЗОВ 2\ЮУрГУ материал\Заказ_ЮУрГУ материал.xlsm</t>
  </si>
  <si>
    <t>59 дом Парковый 3</t>
  </si>
  <si>
    <t>\\Nas\Shared Docs\АРХИВ ЗАКАЗОВ 2\59 дом Парковый 3\Заказ_59 дом Парковый 3.xlsm</t>
  </si>
  <si>
    <t>Жилой дом 1.4 Екатеринбург</t>
  </si>
  <si>
    <t>\\Nas\Shared Docs\АРХИВ ЗАКАЗОВ 2\Жилой дом 1.4 Екатеринбург\Заказ_Жилой дом 1.4 Екатеринбург.xlsm</t>
  </si>
  <si>
    <t>66 дом мкрн Притяжение</t>
  </si>
  <si>
    <t>\\Nas\Shared Docs\АРХИВ ЗАКАЗОВ 2\66 дом мкрн Притяжение\Заказ_66 дом мкрн Притяжение.xlsm</t>
  </si>
  <si>
    <t>Жилой дом 13.1</t>
  </si>
  <si>
    <t>\\Nas\Shared Docs\АРХИВ ЗАКАЗОВ 2\Жилой дом 13.1\Заказ_Жилой дом 13.1.xlsm</t>
  </si>
  <si>
    <t>66 дом мкрн Притяжение 10.04</t>
  </si>
  <si>
    <t>\\Nas\Shared Docs\АРХИВ ЗАКАЗОВ 2\66 дом мкрн Притяжение 10.04\Заказ_66 дом мкрн Притяжение 10.04.xlsm</t>
  </si>
  <si>
    <t>ВРУ СПАР-2</t>
  </si>
  <si>
    <t>\\Nas\Shared Docs\АРХИВ ЗАКАЗОВ 2\ВРУ СПАР-2\Заказ_ВРУ СПАР-2.xlsm</t>
  </si>
  <si>
    <t>Дополнительные работы Школа 13.04</t>
  </si>
  <si>
    <t>\\Nas\Shared Docs\АРХИВ ЗАКАЗОВ 2\Дополнительные работы Школа 13.04\Заказ_Дополнительные работы Школа 13.04.xlsm</t>
  </si>
  <si>
    <t>ЮУрГУ отгрузка 17.04</t>
  </si>
  <si>
    <t>\\Nas\Shared Docs\АРХИВ ЗАКАЗОВ 2\ЮУрГУ отгрузка 17.04\Заказ_ЮУрГУ отгрузка 17.04.xlsm</t>
  </si>
  <si>
    <t>Жилой дом 1.4 Екатеринбург 27.04</t>
  </si>
  <si>
    <t>\\Nas\Shared Docs\АРХИВ ЗАКАЗОВ 2\Жилой дом 1.4 Екатеринбург 27.04\Заказ_Жилой дом 1.4 Екатеринбург 27.04.xlsm</t>
  </si>
  <si>
    <t>Жилой дом 14.2</t>
  </si>
  <si>
    <t>\\Nas\Shared Docs\АРХИВ ЗАКАЗОВ 2\Жилой дом 14.2\Заказ_Жилой дом 14.2.xlsm</t>
  </si>
  <si>
    <t>Жилой дом №4 (участок №1)</t>
  </si>
  <si>
    <t>\\Nas\Shared Docs\АРХИВ ЗАКАЗОВ 2\Жилой дом №4 (участок №1)\Заказ_Жилой дом №4 (участок №1).xlsm</t>
  </si>
  <si>
    <t>Ресепшн дополнительные работы 03.05</t>
  </si>
  <si>
    <t>\\Nas\Shared Docs\АРХИВ ЗАКАЗОВ 2\Ресепшн дополнительные работы 03.05\Заказ_Ресепшн дополнительные работы 03.05.xlsm</t>
  </si>
  <si>
    <t>Жилой дом 14.2 с изменениями</t>
  </si>
  <si>
    <t>\\Nas\Shared Docs\АРХИВ ЗАКАЗОВ 2\Жилой дом 14.2 с изменениями\Заказ_Жилой дом 14.2 с изменениями.xlsm</t>
  </si>
  <si>
    <t>Поставка кабеля ЮУрГУ общая 22.05</t>
  </si>
  <si>
    <t>\\Nas\Shared Docs\АРХИВ ЗАКАЗОВ 2\Поставка кабеля ЮУрГУ общая 22.05\Заказ_Поставка кабеля ЮУрГУ общая 22.05.xlsm</t>
  </si>
  <si>
    <t>ЮУрГУ ОГЭ</t>
  </si>
  <si>
    <t>\\Nas\Shared Docs\АРХИВ ЗАКАЗОВ 2\ЮУрГУ ОГЭ\Заказ_ЮУрГУ ОГЭ.xlsm</t>
  </si>
  <si>
    <t>ЮУрГУ Центральный склад</t>
  </si>
  <si>
    <t>\\Nas\Shared Docs\АРХИВ ЗАКАЗОВ 2\ЮУрГУ Центральный склад\Заказ_ЮУрГУ Центральный склад.xlsm</t>
  </si>
  <si>
    <t>69 дом мкрн Притяжение</t>
  </si>
  <si>
    <t>\\Nas\Shared Docs\АРХИВ ЗАКАЗОВ 2\69 дом мкрн Притяжение\Заказ_69 дом мкрн Притяжение.xlsm</t>
  </si>
  <si>
    <t>ЮУрГУ кабель ОГЭ общий</t>
  </si>
  <si>
    <t>\\Nas\Shared Docs\АРХИВ ЗАКАЗОВ 2\ЮУрГУ кабель ОГЭ общий\Заказ_ЮУрГУ кабель ОГЭ общий.xlsm</t>
  </si>
  <si>
    <t>ЮУрГУ кабель ОГЭ 1 отгрузка</t>
  </si>
  <si>
    <t>\\Nas\Shared Docs\АРХИВ ЗАКАЗОВ 2\ЮУрГУ кабель ОГЭ 1 отгрузка\Заказ_ЮУрГУ кабель ОГЭ 1 отгрузка.xlsm</t>
  </si>
  <si>
    <t>ЮУрГУ кабель ОГЭ 2 отгрузка</t>
  </si>
  <si>
    <t>\\Nas\Shared Docs\АРХИВ ЗАКАЗОВ 2\ЮУрГУ кабель ОГЭ 2 отгрузка\Заказ_ЮУрГУ кабель ОГЭ 2 отгрузка.xlsm</t>
  </si>
  <si>
    <t>ЮУрГУ кабель ОГЭ Центральный склад</t>
  </si>
  <si>
    <t>\\Nas\Shared Docs\АРХИВ ЗАКАЗОВ 2\ЮУрГУ кабель ОГЭ Центральный склад\Заказ_ЮУрГУ кабель ОГЭ Центральный склад.xlsm</t>
  </si>
  <si>
    <t>7 Гномов Метчелстрой</t>
  </si>
  <si>
    <t>\\Nas\Shared Docs\АРХИВ ЗАКАЗОВ 2\7 Гномов Метчелстрой\Заказ_7 Гномов Метчелстрой.xlsm</t>
  </si>
  <si>
    <t>25.2 дополнительный работы</t>
  </si>
  <si>
    <t>\\Nas\Shared Docs\АРХИВ ЗАКАЗОВ 2\25.2 дополнительный работы\Заказ_25.2 дополнительный работы.xlsm</t>
  </si>
  <si>
    <t>Жилой дом 102В</t>
  </si>
  <si>
    <t>\\Nas\Shared Docs\АРХИВ ЗАКАЗОВ 2\Жилой дом 102В\Заказ_Жилой дом 102В.xlsm</t>
  </si>
  <si>
    <t>33 дом Копейск</t>
  </si>
  <si>
    <t>\\Nas\Shared Docs\АРХИВ ЗАКАЗОВ 2\33 дом Копейск\Заказ_33 дом Копейск.xlsm</t>
  </si>
  <si>
    <t>Детский сад 1 этаж ж.д. 48 от 29.06.2023</t>
  </si>
  <si>
    <t>\\Nas\Shared Docs\АРХИВ ЗАКАЗОВ 2\Детский сад 1 этаж ж.д. 48 от 29.06.2023\Заказ_Детский сад 1 этаж ж.д. 48 от 29.06.2023.xlsm</t>
  </si>
  <si>
    <t>Жилой дом 14.2 с изменениями 03.07</t>
  </si>
  <si>
    <t>\\Nas\Shared Docs\АРХИВ ЗАКАЗОВ 2\Жилой дом 14.2 с изменениями 03.07\Заказ_Жилой дом 14.2 с изменениями 03.07.xlsm</t>
  </si>
  <si>
    <t>Расценки 7 гномов</t>
  </si>
  <si>
    <t>\\Nas\Shared Docs\АРХИВ ЗАКАЗОВ 2\Расценки 7 гномов\Заказ_Расценки 7 гномов.xlsm</t>
  </si>
  <si>
    <t>Жилой дом 14.4 ИП Старков</t>
  </si>
  <si>
    <t>\\Nas\Shared Docs\АРХИВ ЗАКАЗОВ 2\Жилой дом 14.4 ИП Старков\Заказ_Жилой дом 14.4 ИП Старков.xlsm</t>
  </si>
  <si>
    <t>Жилой дом 14.3 ИП Старков</t>
  </si>
  <si>
    <t>\\Nas\Shared Docs\АРХИВ ЗАКАЗОВ 2\Жилой дом 14.3 ИП Старков\Заказ_Жилой дом 14.3 ИП Старков.xlsm</t>
  </si>
  <si>
    <t>Детский сад 1 этаж ж.д. 48 на светодиодных светильниках</t>
  </si>
  <si>
    <t>\\Nas\Shared Docs\АРХИВ ЗАКАЗОВ 2\Детский сад 1 этаж ж.д. 48 на светодиодных светильниках\Заказ_Детский сад 1 этаж ж.д. 48 на светодиодных светильниках.xlsm</t>
  </si>
  <si>
    <t>Жилой дом 14.1</t>
  </si>
  <si>
    <t>\\Nas\Shared Docs\АРХИВ ЗАКАЗОВ 2\Жилой дом 14.1\Заказ_Жилой дом 14.1.xlsm</t>
  </si>
  <si>
    <t>33 дом Копейск расценки для монтажников</t>
  </si>
  <si>
    <t>\\Nas\Shared Docs\АРХИВ ЗАКАЗОВ 2\33 дом Копейск расценки для монтажников\Заказ_33 дом Копейск расценки для монтажников.xlsm</t>
  </si>
  <si>
    <t>33 дом Копейск расценки для монтажников Евгений</t>
  </si>
  <si>
    <t>\\Nas\Shared Docs\АРХИВ ЗАКАЗОВ 2\33 дом Копейск расценки для монтажников Евгений\Заказ_33 дом Копейск расценки для монтажников Евгений.xlsm</t>
  </si>
  <si>
    <t>25.2 дополнительный работы 09.08</t>
  </si>
  <si>
    <t>\\Nas\Shared Docs\АРХИВ ЗАКАЗОВ 2\25.2 дополнительный работы 09.08\Заказ_25.2 дополнительный работы 09.08.xlsm</t>
  </si>
  <si>
    <t>33 дом Копейск 10.08</t>
  </si>
  <si>
    <t>\\Nas\Shared Docs\АРХИВ ЗАКАЗОВ 2\33 дом Копейск 10.08\Заказ_33 дом Копейск 10.08.xlsm</t>
  </si>
  <si>
    <t>33 дом Копейск 10.08 Расценки для монтажников</t>
  </si>
  <si>
    <t>\\Nas\Shared Docs\АРХИВ ЗАКАЗОВ 2\33 дом Копейск 10.08 Расценки для монтажников\Заказ_33 дом Копейск 10.08 Расценки для монтажников.xlsm</t>
  </si>
  <si>
    <t>Жилой дом 14.4 ИП Старков согласно спецификации</t>
  </si>
  <si>
    <t>\\Nas\Shared Docs\АРХИВ ЗАКАЗОВ 2\Жилой дом 14.4 ИП Старков согласно спецификации\Заказ_Жилой дом 14.4 ИП Старков согласно спецификации.xlsm</t>
  </si>
  <si>
    <t>Жилой дом 14.3 ИП Старков согласно спецификации</t>
  </si>
  <si>
    <t>\\Nas\Shared Docs\АРХИВ ЗАКАЗОВ 2\Жилой дом 14.3 ИП Старков согласно спецификации\Заказ_Жилой дом 14.3 ИП Старков согласно спецификации.xlsm</t>
  </si>
  <si>
    <t>Жилой дом 14.1 согласно спецификации</t>
  </si>
  <si>
    <t>\\Nas\Shared Docs\АРХИВ ЗАКАЗОВ 2\Жилой дом 14.1 согласно спецификации\Заказ_Жилой дом 14.1 согласно спецификации.xlsm</t>
  </si>
  <si>
    <t>65 дом мкрн Притяжение</t>
  </si>
  <si>
    <t>\\Nas\Shared Docs\АРХИВ ЗАКАЗОВ 2\65 дом мкрн Притяжение\Заказ_65 дом мкрн Притяжение.xlsm</t>
  </si>
  <si>
    <t>Жилой дом 14.1 согласно спецификации от 21.08</t>
  </si>
  <si>
    <t>\\Nas\Shared Docs\АРХИВ ЗАКАЗОВ 2\Жилой дом 14.1 согласно спецификации от 21.08\Заказ_Жилой дом 14.1 согласно спецификации от 21.08.xlsm</t>
  </si>
  <si>
    <t>Жилой дом 14.3 ИП Старков согласно спецификации от 21.08</t>
  </si>
  <si>
    <t>\\Nas\Shared Docs\АРХИВ ЗАКАЗОВ 2\Жилой дом 14.3 ИП Старков согласно спецификации от 21.08\Заказ_Жилой дом 14.3 ИП Старков согласно спецификации от 21.08.xlsm</t>
  </si>
  <si>
    <t>Жилой дом 7.1 согласно спецификации</t>
  </si>
  <si>
    <t>\\Nas\Shared Docs\АРХИВ ЗАКАЗОВ 2\Жилой дом 7.1 согласно спецификации\Заказ_Жилой дом 7.1 согласно спецификации.xlsm</t>
  </si>
  <si>
    <t>ЮУрГУ кабель общий 31.08</t>
  </si>
  <si>
    <t>\\Nas\Shared Docs\АРХИВ ЗАКАЗОВ 2\ЮУрГУ кабель общий 31.08\Заказ_ЮУрГУ кабель общий 31.08.xlsm</t>
  </si>
  <si>
    <t>ЮУрГУ кабель отгрузка ОГЭ 31.08</t>
  </si>
  <si>
    <t>\\Nas\Shared Docs\АРХИВ ЗАКАЗОВ 2\ЮУрГУ кабель отгрузка ОГЭ 31.08\Заказ_ЮУрГУ кабель отгрузка ОГЭ 31.08.xlsm</t>
  </si>
  <si>
    <t>ЮУрГУ кабель не отгрузка ОГЭ 31.08</t>
  </si>
  <si>
    <t>\\Nas\Shared Docs\АРХИВ ЗАКАЗОВ 2\ЮУрГУ кабель не отгрузка ОГЭ 31.08\Заказ_ЮУрГУ кабель не отгрузка ОГЭ 31.08.xlsm</t>
  </si>
  <si>
    <t>7 Гномов Метчелстрой факт</t>
  </si>
  <si>
    <t>\\Nas\Shared Docs\АРХИВ ЗАКАЗОВ 2\7 Гномов Метчелстрой факт\Заказ_7 Гномов Метчелстрой факт.xlsm</t>
  </si>
  <si>
    <t>58 дом Парковый 3</t>
  </si>
  <si>
    <t>\\Nas\Shared Docs\АРХИВ ЗАКАЗОВ 2\58 дом Парковый 3\Заказ_58 дом Парковый 3.xlsm</t>
  </si>
  <si>
    <t>59 дом Парковый 3 22.09.2023</t>
  </si>
  <si>
    <t>\\Nas\Shared Docs\АРХИВ ЗАКАЗОВ 2\59 дом Парковый 3 22.09.2023\Заказ_59 дом Парковый 3 22.09.2023.xlsm</t>
  </si>
  <si>
    <t>Жилой дом 7.1 согласно спецификации 25.09.2023</t>
  </si>
  <si>
    <t>\\Nas\Shared Docs\АРХИВ ЗАКАЗОВ 2\Жилой дом 7.1 согласно спецификации 25.09.2023\Заказ_Жилой дом 7.1 согласно спецификации 25.09.2023.xlsm</t>
  </si>
  <si>
    <t>63 дом Парковый 3</t>
  </si>
  <si>
    <t>\\Nas\Shared Docs\АРХИВ ЗАКАЗОВ 2\63 дом Парковый 3\Заказ_63 дом Парковый 3.xlsm</t>
  </si>
  <si>
    <t>Жилой дом 7.1 согласно спецификации 29.09.2023</t>
  </si>
  <si>
    <t>\\Nas\Shared Docs\АРХИВ ЗАКАЗОВ 2\Жилой дом 7.1 согласно спецификации 29.09.2023\Заказ_Жилой дом 7.1 согласно спецификации 29.09.2023.xlsm</t>
  </si>
  <si>
    <t>58 дом Парковый 3 29.09</t>
  </si>
  <si>
    <t>\\Nas\Shared Docs\АРХИВ ЗАКАЗОВ 2\58 дом Парковый 3 29.09\Заказ_58 дом Парковый 3 29.09.xlsm</t>
  </si>
  <si>
    <t>59 дом Парковый 3 22.09.2023 ИП Старков</t>
  </si>
  <si>
    <t>\\Nas\Shared Docs\АРХИВ ЗАКАЗОВ 2\59 дом Парковый 3 22.09.2023 ИП Старков\Заказ_59 дом Парковый 3 22.09.2023 ИП Старков.xlsm</t>
  </si>
  <si>
    <t>63 дом Парковый 3 ИП Старков</t>
  </si>
  <si>
    <t>\\Nas\Shared Docs\АРХИВ ЗАКАЗОВ 2\63 дом Парковый 3 ИП Старков\Заказ_63 дом Парковый 3 ИП Старков.xlsm</t>
  </si>
  <si>
    <t>Жилой дом 8.1 согласно спецификации</t>
  </si>
  <si>
    <t>\\Nas\Shared Docs\АРХИВ ЗАКАЗОВ 2\Жилой дом 8.1 согласно спецификации\Заказ_Жилой дом 8.1 согласно спецификации.xlsm</t>
  </si>
  <si>
    <t>Башенка фок</t>
  </si>
  <si>
    <t>\\Nas\Shared Docs\АРХИВ ЗАКАЗОВ 2\Башенка фок\Заказ_Башенка фок.xlsm</t>
  </si>
  <si>
    <t>ФОК дополнительные работы</t>
  </si>
  <si>
    <t>\\Nas\Shared Docs\АРХИВ ЗАКАЗОВ 2\ФОК дополнительные работы\Заказ_ФОК дополнительные работы.xlsm</t>
  </si>
  <si>
    <t>Ресепшн дополнительные работы 11.10</t>
  </si>
  <si>
    <t>\\Nas\Shared Docs\АРХИВ ЗАКАЗОВ 2\Ресепшн дополнительные работы 11.10\Заказ_Ресепшн дополнительные работы 11.10.xlsm</t>
  </si>
  <si>
    <t>Спецификация на щиты квартирные 33 дом</t>
  </si>
  <si>
    <t>\\Nas\Shared Docs\АРХИВ ЗАКАЗОВ 2\Спецификация на щиты квартирные 33 дом\Заказ_Спецификация на щиты квартирные 33 дом.xlsm</t>
  </si>
  <si>
    <t>58 дом Парковый 3 от 12_10_2023</t>
  </si>
  <si>
    <t>\\Nas\Shared Docs\АРХИВ ЗАКАЗОВ 2\58 дом Парковый 3 от 12_10_2023\Заказ_58 дом Парковый 3 от 12_10_2023.xlsm</t>
  </si>
  <si>
    <t>63 дом Парковый 3 ИП Старков от 12_10_2023</t>
  </si>
  <si>
    <t>\\Nas\Shared Docs\АРХИВ ЗАКАЗОВ 2\63 дом Парковый 3 ИП Старков от 12_10_2023\Заказ_63 дом Парковый 3 ИП Старков от 12_10_2023.xlsm</t>
  </si>
  <si>
    <t>58 дом от 16_10_2023</t>
  </si>
  <si>
    <t>\\Nas\Shared Docs\АРХИВ ЗАКАЗОВ 2\58 дом от 16_10_2023\Заказ_58 дом от 16_10_2023.xlsm</t>
  </si>
  <si>
    <t>Ресепшн дополнительные работы 20.10.2023</t>
  </si>
  <si>
    <t>\\Nas\Shared Docs\АРХИВ ЗАКАЗОВ 2\Ресепшн дополнительные работы 20.10.2023\Заказ_Ресепшн дополнительные работы 20.10.2023.xlsm</t>
  </si>
  <si>
    <t>Дополнительные работы 69 дом</t>
  </si>
  <si>
    <t>\\Nas\Shared Docs\АРХИВ ЗАКАЗОВ 2\Дополнительные работы 69 дом\Заказ_Дополнительные работы 69 дом.xlsm</t>
  </si>
  <si>
    <t>ЮУрГУ ОГЭ общий 02.11.2023</t>
  </si>
  <si>
    <t>\\Nas\Shared Docs\АРХИВ ЗАКАЗОВ 2\ЮУрГУ ОГЭ общий 02.11.2023\Заказ_ЮУрГУ ОГЭ общий 02.11.2023.xlsm</t>
  </si>
  <si>
    <t>ЮУрГУ Центральный склад 02.11.2023</t>
  </si>
  <si>
    <t>\\Nas\Shared Docs\АРХИВ ЗАКАЗОВ 2\ЮУрГУ Центральный склад 02.11.2023\Заказ_ЮУрГУ Центральный склад 02.11.2023.xlsm</t>
  </si>
  <si>
    <t>ЮУрГУ ОГЭ отгрузка 1 02.11.2023</t>
  </si>
  <si>
    <t>\\Nas\Shared Docs\АРХИВ ЗАКАЗОВ 2\ЮУрГУ ОГЭ отгрузка 1 02.11.2023\Заказ_ЮУрГУ ОГЭ отгрузка 1 02.11.2023.xlsm</t>
  </si>
  <si>
    <t>ЮУрГУ розетки</t>
  </si>
  <si>
    <t>\\Nas\Shared Docs\АРХИВ ЗАКАЗОВ 2\ЮУрГУ розетки\Заказ_ЮУрГУ розетки.xlsm</t>
  </si>
  <si>
    <t>ЮУрГУ центральный склад и ОГЭ общий 02.11.2023</t>
  </si>
  <si>
    <t>\\Nas\Shared Docs\АРХИВ ЗАКАЗОВ 2\ЮУрГУ центральный склад и ОГЭ общий 02.11.2023\Заказ_ЮУрГУ центральный склад и ОГЭ общий 02.11.2023.xlsm</t>
  </si>
  <si>
    <t>60 дом мкрн Притяжение</t>
  </si>
  <si>
    <t>\\Nas\Shared Docs\АРХИВ ЗАКАЗОВ 2\60 дом мкрн Притяжение\Заказ_60 дом мкрн Притяжение.xlsm</t>
  </si>
  <si>
    <t>ЮУрГУ ОГЭ отгрузка 2 16.11.2023</t>
  </si>
  <si>
    <t>\\Nas\Shared Docs\АРХИВ ЗАКАЗОВ 2\ЮУрГУ ОГЭ отгрузка 2 16.11.2023\Заказ_ЮУрГУ ОГЭ отгрузка 2 16.11.2023.xlsm</t>
  </si>
  <si>
    <t>Дизайнерское освещение 1этаж дополнительные работы 69 дом</t>
  </si>
  <si>
    <t>\\Nas\Shared Docs\АРХИВ ЗАКАЗОВ 2\Дизайнерское освещение 1этаж дополнительные работы 69 дом\Заказ_Дизайнерское освещение 1этаж дополнительные работы 69 дом.xlsm</t>
  </si>
  <si>
    <t>Детский сад 1 этаж ж.д. 48 на светодиодных светильниках 24.11</t>
  </si>
  <si>
    <t>\\Nas\Shared Docs\АРХИВ ЗАКАЗОВ 2\Детский сад 1 этаж ж.д. 48 на светодиодных светильниках 24.11\Заказ_Детский сад 1 этаж ж.д. 48 на светодиодных светильниках 24.11.xlsm</t>
  </si>
  <si>
    <t>Жилой дом 8.1 согласно спецификации без квартир</t>
  </si>
  <si>
    <t>\\Nas\Shared Docs\АРХИВ ЗАКАЗОВ 2\Жилой дом 8.1 согласно спецификации без квартир\Заказ_Жилой дом 8.1 согласно спецификации без квартир.xlsm</t>
  </si>
  <si>
    <t>59 дом Парковый 3 01.12.2023 ИП Старков</t>
  </si>
  <si>
    <t>\\Nas\Shared Docs\АРХИВ ЗАКАЗОВ 2\59 дом Парковый 3 01.12.2023 ИП Старков\Заказ_59 дом Парковый 3 01.12.2023 ИП Старков.xlsm</t>
  </si>
  <si>
    <t>63 дом Парковый 3 ИП Старков 01.12.2023</t>
  </si>
  <si>
    <t>\\Nas\Shared Docs\АРХИВ ЗАКАЗОВ 2\63 дом Парковый 3 ИП Старков 01.12.2023\Заказ_63 дом Парковый 3 ИП Старков 01.12.2023.xlsm</t>
  </si>
  <si>
    <t>Жилой дом 14.2 с изменениями 07.12</t>
  </si>
  <si>
    <t>\\Nas\Shared Docs\АРХИВ ЗАКАЗОВ 2\Жилой дом 14.2 с изменениями 07.12\Заказ_Жилой дом 14.2 с изменениями 07.12.xlsm</t>
  </si>
  <si>
    <t>Детский сад 1 этаж ж.д. 48 дополнительные работы 19.12</t>
  </si>
  <si>
    <t>\\Nas\Shared Docs\АРХИВ ЗАКАЗОВ 2\Детский сад 1 этаж ж.д. 48 дополнительные работы 19.12\Заказ_Детский сад 1 этаж ж.д. 48 дополнительные работы 19.12.xlsm</t>
  </si>
  <si>
    <t>60 дом мкрн Притяжение с вентиляторами и освещение 1эт</t>
  </si>
  <si>
    <t>\\Nas\Shared Docs\АРХИВ ЗАКАЗОВ 2\60 дом мкрн Притяжение с вентиляторами и освещение 1эт\Заказ_60 дом мкрн Притяжение с вентиляторами и освещение 1эт.xlsm</t>
  </si>
  <si>
    <t>Продажа светильников ФОК</t>
  </si>
  <si>
    <t>\\Nas\Shared Docs\АРХИВ ЗАКАЗОВ 2\Продажа светильников ФОК\Заказ_Продажа светильников ФОК.xlsm</t>
  </si>
  <si>
    <t>Продажа светильников</t>
  </si>
  <si>
    <t>\\Nas\Shared Docs\АРХИВ ЗАКАЗОВ 2\Продажа светильников\Заказ_Продажа светильников.xlsm</t>
  </si>
  <si>
    <t>58 дом от 17_01_2024</t>
  </si>
  <si>
    <t>\\Nas\Shared Docs\АРХИВ ЗАКАЗОВ 2\58 дом от 17_01_2024\Заказ_58 дом от 17_01_2024.xlsm</t>
  </si>
  <si>
    <t>33 дом Копейск 29.01</t>
  </si>
  <si>
    <t>\\Nas\Shared Docs\АРХИВ ЗАКАЗОВ 2\33 дом Копейск 29.01\Заказ_33 дом Копейск 29.01.xlsm</t>
  </si>
  <si>
    <t>9.2 п. Привилегия 05.02</t>
  </si>
  <si>
    <t>\\Nas\Shared Docs\АРХИВ ЗАКАЗОВ 2\9.2 п. Привилегия 05.02\Заказ_9.2 п. Привилегия 05.02.xlsm</t>
  </si>
  <si>
    <t>58 дом от 17_01_2024 (с подрядчиком)</t>
  </si>
  <si>
    <t>\\Nas\Shared Docs\АРХИВ ЗАКАЗОВ 2\58 дом от 17_01_2024 (с подрядчиком)\Заказ_58 дом от 17_01_2024 (с подрядчиком).xlsm</t>
  </si>
  <si>
    <t>Заявка ИЭК</t>
  </si>
  <si>
    <t>\\Nas\Shared Docs\АРХИВ ЗАКАЗОВ 2\Заявка ИЭК\Заказ_Заявка ИЭК.xlsm</t>
  </si>
  <si>
    <t>ЮУрГУ ОГЭ общий 12.02.2024</t>
  </si>
  <si>
    <t>\\Nas\Shared Docs\АРХИВ ЗАКАЗОВ 2\ЮУрГУ ОГЭ общий 12.02.2024\Заказ_ЮУрГУ ОГЭ общий 12.02.2024.xlsm</t>
  </si>
  <si>
    <t>ЮУрГУ ОГЭ отгрузка 12.02.2024</t>
  </si>
  <si>
    <t>\\Nas\Shared Docs\АРХИВ ЗАКАЗОВ 2\ЮУрГУ ОГЭ отгрузка 12.02.2024\Заказ_ЮУрГУ ОГЭ отгрузка 12.02.2024.xlsm</t>
  </si>
  <si>
    <t>Дизайнерское освещение 1этаж дополнительные работы 69 дом фактический</t>
  </si>
  <si>
    <t>\\Nas\Shared Docs\АРХИВ ЗАКАЗОВ 2\Дизайнерское освещение 1этаж дополнительные работы 69 дом фактический\Заказ_Дизайнерское освещение 1этаж дополнительные работы 69 дом фактический.xlsm</t>
  </si>
  <si>
    <t>Жилой дом 14.2 с изменениями 28.02.24</t>
  </si>
  <si>
    <t>\\Nas\Shared Docs\АРХИВ ЗАКАЗОВ 2\Жилой дом 14.2 с изменениями 28.02.24\Заказ_Жилой дом 14.2 с изменениями 28.02.24.xlsm</t>
  </si>
  <si>
    <t>ЮУрГУ ОГЭ 1 отгузка 12.03.2024</t>
  </si>
  <si>
    <t>\\Nas\Shared Docs\АРХИВ ЗАКАЗОВ 2\ЮУрГУ ОГЭ 1 отгузка 12.03.2024\Заказ_ЮУрГУ ОГЭ 1 отгузка 12.03.2024.xlsm</t>
  </si>
  <si>
    <t>ЮУрГУ ОГЭ 2 отгузка 12.03.2024</t>
  </si>
  <si>
    <t>\\Nas\Shared Docs\АРХИВ ЗАКАЗОВ 2\ЮУрГУ ОГЭ 2 отгузка 12.03.2024\Заказ_ЮУрГУ ОГЭ 2 отгузка 12.03.2024.xlsm</t>
  </si>
  <si>
    <t>ЮУрГУ ОГЭ центральный склад 12.03.2024</t>
  </si>
  <si>
    <t>\\Nas\Shared Docs\АРХИВ ЗАКАЗОВ 2\ЮУрГУ ОГЭ центральный склад 12.03.2024\Заказ_ЮУрГУ ОГЭ центральный склад 12.03.2024.xlsm</t>
  </si>
  <si>
    <t>Отгрузка долг ЮУрГУ</t>
  </si>
  <si>
    <t>\\Nas\Shared Docs\АРХИВ ЗАКАЗОВ 2\Отгрузка долг ЮУрГУ\Заказ_Отгрузка долг ЮУрГУ.xlsm</t>
  </si>
  <si>
    <t>Жилой дом 14.2 с изменениями 19.03.24</t>
  </si>
  <si>
    <t>\\Nas\Shared Docs\АРХИВ ЗАКАЗОВ 2\Жилой дом 14.2 с изменениями 19.03.24\Заказ_Жилой дом 14.2 с изменениями 19.03.24.xlsm</t>
  </si>
  <si>
    <t>Реконструкция ВРУ 14.2</t>
  </si>
  <si>
    <t>\\Nas\Shared Docs\АРХИВ ЗАКАЗОВ 2\Реконструкция ВРУ 14.2\Заказ_Реконструкция ВРУ 14.2.xlsm</t>
  </si>
  <si>
    <t>Жилой дом 14.2 с изменениями 19.03.24 с дорогими ЩК</t>
  </si>
  <si>
    <t>\\Nas\Shared Docs\АРХИВ ЗАКАЗОВ 2\Жилой дом 14.2 с изменениями 19.03.24 с дорогими ЩК\Заказ_Жилой дом 14.2 с изменениями 19.03.24 с дорогими ЩК.xlsm</t>
  </si>
  <si>
    <t>69 дом розетки роутер</t>
  </si>
  <si>
    <t>\\Nas\Shared Docs\АРХИВ ЗАКАЗОВ 2\69 дом розетки роутер\Заказ_69 дом розетки роутер.xlsm</t>
  </si>
  <si>
    <t>Жилой дом 14.2 с изменениями 29.03.24</t>
  </si>
  <si>
    <t>\\Nas\Shared Docs\АРХИВ ЗАКАЗОВ 2\Жилой дом 14.2 с изменениями 29.03.24\Заказ_Жилой дом 14.2 с изменениями 29.03.24.xlsm</t>
  </si>
  <si>
    <t>Дополнительные работы 69 дом 04.04</t>
  </si>
  <si>
    <t>\\Nas\Shared Docs\АРХИВ ЗАКАЗОВ 2\Дополнительные работы 69 дом 04.04\Заказ_Дополнительные работы 69 дом 04.04.xlsm</t>
  </si>
  <si>
    <t>Жилой дом 14.2 с изменениями 05.04.2024</t>
  </si>
  <si>
    <t>\\Nas\Shared Docs\АРХИВ ЗАКАЗОВ 2\Жилой дом 14.2 с изменениями 05.04.2024\Заказ_Жилой дом 14.2 с изменениями 05.04.2024.xlsm</t>
  </si>
  <si>
    <t>Жилой дом 7.1 без квартир 27.04.2024</t>
  </si>
  <si>
    <t>\\Nas\Shared Docs\АРХИВ ЗАКАЗОВ 2\Жилой дом 7.1 без квартир 27.04.2024\Заказ_Жилой дом 7.1 без квартир 27.04.2024.xlsm</t>
  </si>
  <si>
    <t>Жилой дом 8.1 без квартир 27.04.2024</t>
  </si>
  <si>
    <t>\\Nas\Shared Docs\АРХИВ ЗАКАЗОВ 2\Жилой дом 8.1 без квартир 27.04.2024\Заказ_Жилой дом 8.1 без квартир 27.04.2024.xlsm</t>
  </si>
  <si>
    <t>Жилой дом 7.1 без квартир 03.05.2024</t>
  </si>
  <si>
    <t>\\Nas\Shared Docs\АРХИВ ЗАКАЗОВ 2\Жилой дом 7.1 без квартир 03.05.2024\Заказ_Жилой дом 7.1 без квартир 03.05.2024.xlsm</t>
  </si>
  <si>
    <t>Жилой дом 8.1 без квартир 03.05.2024</t>
  </si>
  <si>
    <t>\\Nas\Shared Docs\АРХИВ ЗАКАЗОВ 2\Жилой дом 8.1 без квартир 03.05.2024\Заказ_Жилой дом 8.1 без квартир 03.05.2024.xlsm</t>
  </si>
  <si>
    <t>33 дом Копейск 06.05</t>
  </si>
  <si>
    <t>\\Nas\Shared Docs\АРХИВ ЗАКАЗОВ 2\33 дом Копейск 06.05\Заказ_33 дом Копейск 06.05.xlsm</t>
  </si>
  <si>
    <t>58 дом от 17_01_2024 с подрядчиком</t>
  </si>
  <si>
    <t>\\Nas\Shared Docs\АРХИВ ЗАКАЗОВ 2\58 дом от 17_01_2024 с подрядчиком\Заказ_58 дом от 17_01_2024 с подрядчиком.xlsm</t>
  </si>
  <si>
    <t>69 дом с допами 13.05</t>
  </si>
  <si>
    <t>\\Nas\Shared Docs\АРХИВ ЗАКАЗОВ 2\69 дом с допами 13.05\Заказ_69 дом с допами 13.05.xlsm</t>
  </si>
  <si>
    <t>33 дом Копейск 13.05</t>
  </si>
  <si>
    <t>\\Nas\Shared Docs\АРХИВ ЗАКАЗОВ 2\33 дом Копейск 13.05\Заказ_33 дом Копейск 13.05.xlsm</t>
  </si>
  <si>
    <t>ЭТЛ Алое Поле</t>
  </si>
  <si>
    <t>\\Nas\Shared Docs\АРХИВ ЗАКАЗОВ 2\ЭТЛ Алое Поле\Заказ_ЭТЛ Алое Поле.xlsm</t>
  </si>
  <si>
    <t>69 дом электроснабжение учета тепла ИТП</t>
  </si>
  <si>
    <t>\\Nas\Shared Docs\АРХИВ ЗАКАЗОВ 2\69 дом электроснабжение учета тепла ИТП\Заказ_69 дом электроснабжение учета тепла ИТП.xlsm</t>
  </si>
  <si>
    <t>58 дом Восстановление после кражи 14.06.2024</t>
  </si>
  <si>
    <t>\\Nas\Shared Docs\АРХИВ ЗАКАЗОВ 2\58 дом Восстановление после кражи 14.06.2024\Заказ_58 дом Восстановление после кражи 14.06.2024.xlsm</t>
  </si>
  <si>
    <t>Дополнительные работы 14.2 от 24.06</t>
  </si>
  <si>
    <t>\\Nas\Shared Docs\АРХИВ ЗАКАЗОВ 2\Дополнительные работы 14.2 от 24.06\Заказ_Дополнительные работы 14.2 от 24.06.xlsm</t>
  </si>
  <si>
    <t>58 дом доплнительные работы (щиты этажные) 05.07.24</t>
  </si>
  <si>
    <t>\\Nas\Shared Docs\АРХИВ ЗАКАЗОВ 2\58 дом доплнительные работы (щиты этажные) 05.07.24\Заказ_58 дом доплнительные работы (щиты этажные) 05.07.24.xlsm</t>
  </si>
  <si>
    <t>33 дом Копейск 13.05  ПРОДОЛЖЕНИЕ</t>
  </si>
  <si>
    <t>\\Nas\Shared Docs\АРХИВ ЗАКАЗОВ 2\33 дом Копейск 13.05  ПРОДОЛЖЕНИЕ\Заказ_33 дом Копейск 13.05  ПРОДОЛЖЕНИЕ.xlsm</t>
  </si>
  <si>
    <t>7.1 металлические трубы</t>
  </si>
  <si>
    <t>\\Nas\Shared Docs\АРХИВ ЗАКАЗОВ 2\7.1 металлические трубы\Заказ_7.1 металлические трубы.xlsm</t>
  </si>
  <si>
    <t>8.1 металлические трубы</t>
  </si>
  <si>
    <t>\\Nas\Shared Docs\АРХИВ ЗАКАЗОВ 2\8.1 металлические трубы\Заказ_8.1 металлические трубы.xlsm</t>
  </si>
  <si>
    <t>14.2 металлические трубы</t>
  </si>
  <si>
    <t>\\Nas\Shared Docs\АРХИВ ЗАКАЗОВ 2\14.2 металлические трубы\Заказ_14.2 металлические трубы.xlsm</t>
  </si>
  <si>
    <t>60 дом дополнительные работы</t>
  </si>
  <si>
    <t>\\Nas\Shared Docs\АРХИВ ЗАКАЗОВ 2\60 дом дополнительные работы\Заказ_60 дом дополнительные работы.xlsm</t>
  </si>
  <si>
    <t>7.1 дополнительные светильники в МОП</t>
  </si>
  <si>
    <t>V 2.2</t>
  </si>
  <si>
    <t>\\Nas\Shared Docs\АРХИВ ЗАКАЗОВ 2\7.1 дополнительные светильники в МОП\Заказ_7.1 дополнительные светильники в МОП.xlsm</t>
  </si>
  <si>
    <t>7.1 дополнительные светильники в МОП. Трубы</t>
  </si>
  <si>
    <t>\\Nas\Shared Docs\АРХИВ ЗАКАЗОВ 2\7.1 дополнительные светильники в МОП. Трубы\Заказ_7.1 дополнительные светильники в МОП. Трубы.xlsm</t>
  </si>
  <si>
    <t>ЮУРГУ материал 26.07</t>
  </si>
  <si>
    <t>\\Nas\Shared Docs\АРХИВ ЗАКАЗОВ 2\ЮУРГУ материал 26.07\Заказ_ЮУРГУ материал 26.07.xlsm</t>
  </si>
  <si>
    <t>Жилой дом 8.1 без квартир 01.08.2024</t>
  </si>
  <si>
    <t>\\Nas\Shared Docs\АРХИВ ЗАКАЗОВ 2\Жилой дом 8.1 без квартир 01.08.2024\Заказ_Жилой дом 8.1 без квартир 01.08.2024.xlsm</t>
  </si>
  <si>
    <t>14.2 Контур заземления</t>
  </si>
  <si>
    <t>\\Nas\Shared Docs\АРХИВ ЗАКАЗОВ 2\14.2 Контур заземления\Заказ_14.2 Контур заземления.xlsm</t>
  </si>
  <si>
    <t>14.2 металлические трубы. Контур заземления</t>
  </si>
  <si>
    <t>\\Nas\Shared Docs\АРХИВ ЗАКАЗОВ 2\14.2 металлические трубы. Контур заземления\Заказ_14.2 металлические трубы. Контур заземления.xlsm</t>
  </si>
  <si>
    <t>69 дом электроснабжение учета тепла ИТП и насосной станции</t>
  </si>
  <si>
    <t>\\Nas\Shared Docs\АРХИВ ЗАКАЗОВ 2\69 дом электроснабжение учета тепла ИТП и насосной станции\Заказ_69 дом электроснабжение учета тепла ИТП и насосной станции.xlsm</t>
  </si>
  <si>
    <t>60 дом Перенос розеток дополнительные работы</t>
  </si>
  <si>
    <t>\\Nas\Shared Docs\АРХИВ ЗАКАЗОВ 2\60 дом Перенос розеток дополнительные работы\Заказ_60 дом Перенос розеток дополнительные работы.xlsm</t>
  </si>
  <si>
    <t>60 дом Перенос выключателей дополнительные работы</t>
  </si>
  <si>
    <t>\\Nas\Shared Docs\АРХИВ ЗАКАЗОВ 2\60 дом Перенос выключателей дополнительные работы\Заказ_60 дом Перенос выключателей дополнительные работы.xlsm</t>
  </si>
  <si>
    <t>60 дом дополнительные работы 09.09.2024</t>
  </si>
  <si>
    <t>\\Nas\Shared Docs\АРХИВ ЗАКАЗОВ 2\60 дом дополнительные работы 09.09.2024\Заказ_60 дом дополнительные работы 09.09.2024.xlsm</t>
  </si>
  <si>
    <t>7.1 дополнительные работы по электроснабжению шкафов АПС</t>
  </si>
  <si>
    <t>\\Nas\Shared Docs\АРХИВ ЗАКАЗОВ 2\7.1 дополнительные работы по электроснабжению шкафов АПС\Заказ_7.1 дополнительные работы по электроснабжению шкафов АПС.xlsm</t>
  </si>
  <si>
    <t>8.1 дополнительные работы по электроснабжению шкафов АПС</t>
  </si>
  <si>
    <t>\\Nas\Shared Docs\АРХИВ ЗАКАЗОВ 2\8.1 дополнительные работы по электроснабжению шкафов АПС\Заказ_8.1 дополнительные работы по электроснабжению шкафов АПС.xlsm</t>
  </si>
  <si>
    <t>60 дом мкрн Притяжение с вентиляторами и освещение  09_09_24</t>
  </si>
  <si>
    <t>\\Nas\Shared Docs\АРХИВ ЗАКАЗОВ 2\60 дом мкрн Притяжение с вентиляторами и освещение  09_09_24\Заказ_60 дом мкрн Притяжение с вентиляторами и освещение  09_09_24.xlsm</t>
  </si>
  <si>
    <t>Жилой дом 8.1 без квартир 23.09.2024</t>
  </si>
  <si>
    <t>\\Nas\Shared Docs\АРХИВ ЗАКАЗОВ 2\Жилой дом 8.1 без квартир 23.09.2024\Заказ_Жилой дом 8.1 без квартир 23.09.2024.xlsm</t>
  </si>
  <si>
    <t>14.2 Восстановление электроснабжение квартир</t>
  </si>
  <si>
    <t>\\Nas\Shared Docs\АРХИВ ЗАКАЗОВ 2\14.2 Восстановление электроснабжение квартир\Заказ_14.2 Восстановление электроснабжение квартир.xlsm</t>
  </si>
  <si>
    <t>14.2 Дополнительные работы подогрев воронок перенос розеток</t>
  </si>
  <si>
    <t>\\Nas\Shared Docs\АРХИВ ЗАКАЗОВ 2\14.2 Дополнительные работы подогрев воронок перенос розеток\Заказ_14.2 Дополнительные работы подогрев воронок перенос розеток.xlsm</t>
  </si>
  <si>
    <t>58 дом Восстановление после кражи 21.10.24</t>
  </si>
  <si>
    <t>\\Nas\Shared Docs\АРХИВ ЗАКАЗОВ 2\58 дом Восстановление после кражи 21.10.24\Заказ_58 дом Восстановление после кражи 21.10.24.xlsm</t>
  </si>
  <si>
    <t>Реконструкция ВРУ в электрощитовой №1,3</t>
  </si>
  <si>
    <t>\\Nas\Shared Docs\АРХИВ ЗАКАЗОВ 2\Реконструкция ВРУ в электрощитовой №1,3\Заказ_Реконструкция ВРУ в электрощитовой №1,3.xlsm</t>
  </si>
  <si>
    <t>ЖК Грани секция Г</t>
  </si>
  <si>
    <t>\\Nas\Shared Docs\АРХИВ ЗАКАЗОВ 2\ЖК Грани секция Г\Заказ_ЖК Грани секция Г.xlsm</t>
  </si>
  <si>
    <t>48 дом ВРУ нежилые помещения</t>
  </si>
  <si>
    <t>\\Nas\Shared Docs\АРХИВ ЗАКАЗОВ 2\48 дом ВРУ нежилые помещения\Заказ_48 дом ВРУ нежилые помещения.xlsm</t>
  </si>
  <si>
    <t>Жилой дом 15.1</t>
  </si>
  <si>
    <t>\\Nas\Shared Docs\АРХИВ ЗАКАЗОВ 2\Жилой дом 15.1\Заказ_Жилой дом 15.1.xlsm</t>
  </si>
  <si>
    <t>ЮУрГУ общий 07.11</t>
  </si>
  <si>
    <t>\\Nas\Shared Docs\АРХИВ ЗАКАЗОВ 2\ЮУрГУ общий 07.11\Заказ_ЮУрГУ общий 07.11.xlsm</t>
  </si>
  <si>
    <t>43 дом</t>
  </si>
  <si>
    <t>\\Nas\Shared Docs\АРХИВ ЗАКАЗОВ 2\43 дом\Заказ_43 дом.xlsm</t>
  </si>
  <si>
    <t>ЮУрГУ общий 07.11 отгрузка</t>
  </si>
  <si>
    <t>\\Nas\Shared Docs\АРХИВ ЗАКАЗОВ 2\ЮУрГУ общий 07.11 отгрузка\Заказ_ЮУрГУ общий 07.11 отгрузка.xlsm</t>
  </si>
  <si>
    <t>ЮУрГУ общий 07.11 отгрузка 1</t>
  </si>
  <si>
    <t>\\Nas\Shared Docs\АРХИВ ЗАКАЗОВ 2\ЮУрГУ общий 07.11 отгрузка 1\Заказ_ЮУрГУ общий 07.11 отгрузка 1.xlsm</t>
  </si>
  <si>
    <t>ЮУрГУ общий 07.11 отгрузка 2</t>
  </si>
  <si>
    <t>\\Nas\Shared Docs\АРХИВ ЗАКАЗОВ 2\ЮУрГУ общий 07.11 отгрузка 2\Заказ_ЮУрГУ общий 07.11 отгрузка 2.xlsm</t>
  </si>
  <si>
    <t>ЮУрГУ общий 07.11 отгрузка 3</t>
  </si>
  <si>
    <t>\\Nas\Shared Docs\АРХИВ ЗАКАЗОВ 2\ЮУрГУ общий 07.11 отгрузка 3\Заказ_ЮУрГУ общий 07.11 отгрузка 3.xlsm</t>
  </si>
  <si>
    <t>44 дом Притяжение</t>
  </si>
  <si>
    <t>\\Nas\Shared Docs\АРХИВ ЗАКАЗОВ 2\44 дом Притяжение\Заказ_44 дом Притяжение.xlsm</t>
  </si>
  <si>
    <t>14.2 Дополнительные работы  перенос розеток, КРЗ, подключение вентиляторов 2 этап</t>
  </si>
  <si>
    <t>\\Nas\Shared Docs\АРХИВ ЗАКАЗОВ 2\14.2 Дополнительные работы  перенос розеток, КРЗ, подключение вентиляторов 2 этап\Заказ_14.2 Дополнительные работы  перенос розеток, КРЗ, подключение вентиляторов 2 этап.xlsm</t>
  </si>
  <si>
    <t>8.1 Дополнительные работы (светильники)</t>
  </si>
  <si>
    <t>\\Nas\Shared Docs\АРХИВ ЗАКАЗОВ 2\8.1 Дополнительные работы (светильники)\Заказ_8.1 Дополнительные работы (светильники).xlsm</t>
  </si>
  <si>
    <t>8.1 Дополнительные работы (светильники, реконструкция ВРУ-1;2.)</t>
  </si>
  <si>
    <t>\\Nas\Shared Docs\АРХИВ ЗАКАЗОВ 2\8.1 Дополнительные работы (светильники, реконструкция ВРУ-1;2.)\Заказ_8.1 Дополнительные работы (светильники, реконструкция ВРУ-1;2.).xlsm</t>
  </si>
  <si>
    <t>V 2.3</t>
  </si>
  <si>
    <t>14.2 Замена питающих линий</t>
  </si>
  <si>
    <t>\\Nas\Shared Docs\АРХИВ ЗАКАЗОВ 2\14.2 Замена питающих линий\Заказ_14.2 Замена питающих линий.xlsm</t>
  </si>
  <si>
    <t>ЮУрГУ ТМЦ</t>
  </si>
  <si>
    <t>\\Nas\Shared Docs\АРХИВ ЗАКАЗОВ 2\ЮУрГУ ТМЦ\Заказ_ЮУрГУ ТМЦ.xlsm</t>
  </si>
  <si>
    <t>43 дом (1-4 подъезды)</t>
  </si>
  <si>
    <t>\\Nas\Shared Docs\АРХИВ ЗАКАЗОВ 2\43 дом (1-4 подъезды)\Заказ_43 дом (1-4 подъезды).xlsm</t>
  </si>
  <si>
    <t>43 дом (5-8 подъезды)</t>
  </si>
  <si>
    <t>\\Nas\Shared Docs\АРХИВ ЗАКАЗОВ 2\43 дом (5-8 подъезды)\Заказ_43 дом (5-8 подъезды).xlsm</t>
  </si>
  <si>
    <t>Жилой дом Тимирязевский</t>
  </si>
  <si>
    <t>\\Nas\Shared Docs\АРХИВ ЗАКАЗОВ 2\Жилой дом Тимирязевский\Заказ_Жилой дом Тимирязевский.xlsm</t>
  </si>
  <si>
    <t>14.2 Замена питающих линий от 16.12</t>
  </si>
  <si>
    <t>\\Nas\Shared Docs\АРХИВ ЗАКАЗОВ 2\14.2 Замена питающих линий от 16.12\Заказ_14.2 Замена питающих линий от 16.12.xlsm</t>
  </si>
  <si>
    <t>14.2 Дополнительный объем кабеля в квартирах</t>
  </si>
  <si>
    <t>\\Nas\Shared Docs\АРХИВ ЗАКАЗОВ 2\14.2 Дополнительный объем кабеля в квартирах\Заказ_14.2 Дополнительный объем кабеля в квартирах.xlsm</t>
  </si>
  <si>
    <t>Жилой дом 8.1 без квартир 26.09.2024 факт</t>
  </si>
  <si>
    <t>\\Nas\Shared Docs\АРХИВ ЗАКАЗОВ 2\Жилой дом 8.1 без квартир 26.09.2024 факт\Заказ_Жилой дом 8.1 без квартир 26.09.2024 факт.xlsm</t>
  </si>
  <si>
    <t>14.2 Замена питающих линий от 13.01.25</t>
  </si>
  <si>
    <t>\\Nas\Shared Docs\АРХИВ ЗАКАЗОВ 2\14.2 Замена питающих линий от 13.01.25\Заказ_14.2 Замена питающих линий от 13.01.25.xlsm</t>
  </si>
  <si>
    <t>Жилой дом Тимирязевский 14.01.2025</t>
  </si>
  <si>
    <t>\\Nas\Shared Docs\АРХИВ ЗАКАЗОВ 2\Жилой дом Тимирязевский 14.01.2025\Заказ_Жилой дом Тимирязевский 14.01.2025.xlsm</t>
  </si>
  <si>
    <t>Жилой дом 5.17</t>
  </si>
  <si>
    <t>V 2.4</t>
  </si>
  <si>
    <t>\\Nas\Shared Docs\АРХИВ ЗАКАЗОВ 2\Жилой дом 5.17\Заказ_Жилой дом 5.17.xlsm</t>
  </si>
  <si>
    <t>14.2 Дополнительный объем кабеля в квартирах 24.01.25</t>
  </si>
  <si>
    <t>\\Nas\Shared Docs\АРХИВ ЗАКАЗОВ 2\14.2 Дополнительный объем кабеля в квартирах 24.01.25\Заказ_14.2 Дополнительный объем кабеля в квартирах 24.01.25.xlsm</t>
  </si>
  <si>
    <t>ТМЦ отгрузка Тимирязевский</t>
  </si>
  <si>
    <t>\\Nas\Shared Docs\АРХИВ ЗАКАЗОВ 2\ТМЦ отгрузка Тимирязевский\Заказ_ТМЦ отгрузка Тимирязевский.xlsm</t>
  </si>
  <si>
    <t>14.2 Дополнительные работы  29.01.2025</t>
  </si>
  <si>
    <t>\\Nas\Shared Docs\АРХИВ ЗАКАЗОВ 2\14.2 Дополнительные работы  29.01.2025\Заказ_14.2 Дополнительные работы  29.01.2025.xlsm</t>
  </si>
  <si>
    <t>Жилой дом 5.17 Радиофикация. Молниезащита</t>
  </si>
  <si>
    <t>\\Nas\Shared Docs\АРХИВ ЗАКАЗОВ 2\Жилой дом 5.17 Радиофикация. Молниезащита\Заказ_Жилой дом 5.17 Радиофикация. Молниезащита.xlsm</t>
  </si>
  <si>
    <t>Жилой дом 5.17 Пожарные извещатели</t>
  </si>
  <si>
    <t>\\Nas\Shared Docs\АРХИВ ЗАКАЗОВ 2\Жилой дом 5.17 Пожарные извещатели\Заказ_Жилой дом 5.17 Пожарные извещатели.xlsm</t>
  </si>
  <si>
    <t>14.2 Полотенцесушители</t>
  </si>
  <si>
    <t>\\Nas\Shared Docs\АРХИВ ЗАКАЗОВ 2\14.2 Полотенцесушители\Заказ_14.2 Полотенцесушители.xlsm</t>
  </si>
  <si>
    <t>Жилой дом 5.17 от 11.02</t>
  </si>
  <si>
    <t>\\Nas\Shared Docs\АРХИВ ЗАКАЗОВ 2\Жилой дом 5.17 от 11.02\Заказ_Жилой дом 5.17 от 11.02.xlsm</t>
  </si>
  <si>
    <t>Жилой дом 5.17 Радиофикация. Молниезащита от 11.02</t>
  </si>
  <si>
    <t>\\Nas\Shared Docs\АРХИВ ЗАКАЗОВ 2\Жилой дом 5.17 Радиофикация. Молниезащита от 11.02\Заказ_Жилой дом 5.17 Радиофикация. Молниезащита от 11.02.xlsm</t>
  </si>
  <si>
    <t>Жилой дом 5.17 Пожарные извещатели от 11.02</t>
  </si>
  <si>
    <t>\\Nas\Shared Docs\АРХИВ ЗАКАЗОВ 2\Жилой дом 5.17 Пожарные извещатели от 11.02\Заказ_Жилой дом 5.17 Пожарные извещатели от 11.02.xlsm</t>
  </si>
  <si>
    <t>Жилой дом 9.2 (подъезд №1)</t>
  </si>
  <si>
    <t>\\Nas\Shared Docs\АРХИВ ЗАКАЗОВ 2\Жилой дом 9.2 (подъезд №1)\Заказ_Жилой дом 9.2 (подъезд №1).xlsm</t>
  </si>
  <si>
    <t>Жилой дом 9.2 (подъезд №1). Жилая часть</t>
  </si>
  <si>
    <t>\\Nas\Shared Docs\АРХИВ ЗАКАЗОВ 2\Жилой дом 9.2 (подъезд №1). Жилая часть\Заказ_Жилой дом 9.2 (подъезд №1). Жилая часть.xlsm</t>
  </si>
  <si>
    <t>Жилой дом 9.2 (подъезд №1). Нежилая часть</t>
  </si>
  <si>
    <t>\\Nas\Shared Docs\АРХИВ ЗАКАЗОВ 2\Жилой дом 9.2 (подъезд №1). Нежилая часть\Заказ_Жилой дом 9.2 (подъезд №1). Нежилая часть.xlsm</t>
  </si>
  <si>
    <t>Жилой дом 9.2 (подъезд №3). Жилая часть</t>
  </si>
  <si>
    <t>\\Nas\Shared Docs\АРХИВ ЗАКАЗОВ 2\Жилой дом 9.2 (подъезд №3). Жилая часть\Заказ_Жилой дом 9.2 (подъезд №3). Жилая часть.xlsm</t>
  </si>
  <si>
    <t>Щита учета</t>
  </si>
  <si>
    <t>\\Nas\Shared Docs\АРХИВ ЗАКАЗОВ 2\Щита учета\Заказ_Щита учета.xlsm</t>
  </si>
  <si>
    <t>ЮУрГУ общий 17.03 отгрузка</t>
  </si>
  <si>
    <t>\\Nas\Shared Docs\АРХИВ ЗАКАЗОВ 2\ЮУрГУ общий 17.03 отгрузка\Заказ_ЮУрГУ общий 17.03 отгрузка.xlsm</t>
  </si>
  <si>
    <t>ЮУрГУ 17.03 отгрузка 1</t>
  </si>
  <si>
    <t>\\Nas\Shared Docs\АРХИВ ЗАКАЗОВ 2\ЮУрГУ 17.03 отгрузка 1\Заказ_ЮУрГУ 17.03 отгрузка 1.xlsm</t>
  </si>
  <si>
    <t>ЮУрГУ 17.03 отгрузка 2</t>
  </si>
  <si>
    <t>\\Nas\Shared Docs\АРХИВ ЗАКАЗОВ 2\ЮУрГУ 17.03 отгрузка 2\Заказ_ЮУрГУ 17.03 отгрузка 2.xlsm</t>
  </si>
  <si>
    <t>ЮУрГУ 17.03 отгрузка 3</t>
  </si>
  <si>
    <t>\\Nas\Shared Docs\АРХИВ ЗАКАЗОВ 2\ЮУрГУ 17.03 отгрузка 3\Заказ_ЮУрГУ 17.03 отгрузка 3.xlsm</t>
  </si>
  <si>
    <t>14.2 АПС нежилые помещение</t>
  </si>
  <si>
    <t>\\Nas\Shared Docs\АРХИВ ЗАКАЗОВ 2\14.2 АПС нежилые помещение\Заказ_14.2 АПС нежилые помещение.xlsm</t>
  </si>
  <si>
    <t>V 2.5</t>
  </si>
  <si>
    <t>Жилой дом Тимирязевский Временная сеть освещения</t>
  </si>
  <si>
    <t>\\Nas\Shared Docs\АРХИВ ЗАКАЗОВ 2\Жилой дом Тимирязевский Временная сеть освещения\Заказ_Жилой дом Тимирязевский Временная сеть освещения.xlsm</t>
  </si>
  <si>
    <t>43 дом Комплектация электросчетчиками</t>
  </si>
  <si>
    <t>\\Nas\Shared Docs\АРХИВ ЗАКАЗОВ 2\43 дом Комплектация электросчетчиками\Заказ_43 дом Комплектация электросчетчиками.xlsm</t>
  </si>
  <si>
    <t>Жилой дом 9.2 (подъезд №1) кабель в квартирах</t>
  </si>
  <si>
    <t>\\Nas\Shared Docs\АРХИВ ЗАКАЗОВ 2\Жилой дом 9.2 (подъезд №1) кабель в квартирах\Заказ_Жилой дом 9.2 (подъезд №1) кабель в квартирах.xlsm</t>
  </si>
  <si>
    <t>44 дом Притяжение 10.04</t>
  </si>
  <si>
    <t>\\Nas\Shared Docs\АРХИВ ЗАКАЗОВ 2\44 дом Притяжение 10.04\Заказ_44 дом Притяжение 10.04.xlsm</t>
  </si>
  <si>
    <t>43 дом (1-4 подъезды) Дополнительные работы 14.04</t>
  </si>
  <si>
    <t>\\Nas\Shared Docs\АРХИВ ЗАКАЗОВ 2\43 дом (1-4 подъезды) Дополнительные работы 14.04\Заказ_43 дом (1-4 подъезды) Дополнительные работы 14.04.xlsm</t>
  </si>
  <si>
    <t>Жилой дом Тимирязевский Дополнительные работы</t>
  </si>
  <si>
    <t>\\Nas\Shared Docs\АРХИВ ЗАКАЗОВ 2\Жилой дом Тимирязевский Дополнительные работы\Заказ_Жилой дом Тимирязевский Дополнительные работы.xlsm</t>
  </si>
  <si>
    <t>42 дом Притяжение 18.04</t>
  </si>
  <si>
    <t>\\Nas\Shared Docs\АРХИВ ЗАКАЗОВ 2\42 дом Притяжение 18.04\Заказ_42 дом Притяжение 18.04.xlsm</t>
  </si>
  <si>
    <t>14.2 Светильники вход в подвал</t>
  </si>
  <si>
    <t>\\Nas\Shared Docs\АРХИВ ЗАКАЗОВ 2\14.2 Светильники вход в подвал\Заказ_14.2 Светильники вход в подвал.xlsm</t>
  </si>
  <si>
    <t>Жилой дом 9.2 (подъезд №2)</t>
  </si>
  <si>
    <t>\\Nas\Shared Docs\АРХИВ ЗАКАЗОВ 2\Жилой дом 9.2 (подъезд №2)\Заказ_Жилой дом 9.2 (подъезд №2).xlsm</t>
  </si>
  <si>
    <t>43 дом хищение 30.04</t>
  </si>
  <si>
    <t>\\Nas\Shared Docs\АРХИВ ЗАКАЗОВ 2\43 дом хищение 30.04\Заказ_43 дом хищение 30.04.xlsm</t>
  </si>
  <si>
    <t>Копейск Жданова 25а</t>
  </si>
  <si>
    <t>\\Nas\Shared Docs\АРХИВ ЗАКАЗОВ 2\Копейск Жданова 25а\Заказ_Копейск Жданова 25а.xlsm</t>
  </si>
  <si>
    <t>60 дом Пожарная сигнализация</t>
  </si>
  <si>
    <t>\\Nas\Shared Docs\АРХИВ ЗАКАЗОВ 2\60 дом Пожарная сигнализация\Заказ_60 дом Пожарная сигнализация.xlsm</t>
  </si>
  <si>
    <t>Жилой дом 9.2 Молниезащита (без объемов выше  подъезд №1)</t>
  </si>
  <si>
    <t>\\Nas\Shared Docs\АРХИВ ЗАКАЗОВ 2\Жилой дом 9.2 Молниезащита (без объемов выше  подъезд №1)\Заказ_Жилой дом 9.2 Молниезащита (без объемов выше  подъезд №1).xlsm</t>
  </si>
  <si>
    <t>Жилой дом 9.2 Молниезащита</t>
  </si>
  <si>
    <t>\\Nas\Shared Docs\АРХИВ ЗАКАЗОВ 2\Жилой дом 9.2 Молниезащита\Заказ_Жилой дом 9.2 Молниезащита.xlsm</t>
  </si>
  <si>
    <t>Жилой дом 6.1 без квартир</t>
  </si>
  <si>
    <t>V 2.6</t>
  </si>
  <si>
    <t>\\Nas\Shared Docs\АРХИВ ЗАКАЗОВ 2\Жилой дом 6.1 без квартир\Заказ_Жилой дом 6.1 без квартир.xlsm</t>
  </si>
  <si>
    <t>Жилой дом 9.2 (подъезд №1). Нежилая часть. Доп. Работы</t>
  </si>
  <si>
    <t>\\Nas\Shared Docs\АРХИВ ЗАКАЗОВ 2\Жилой дом 9.2 (подъезд №1). Нежилая часть. Доп. Работы\Заказ_Жилой дом 9.2 (подъезд №1). Нежилая часть. Доп. Работы.xlsm</t>
  </si>
  <si>
    <t>Копейск Жданова 25а 17.06.2025</t>
  </si>
  <si>
    <t>\\Nas\Shared Docs\АРХИВ ЗАКАЗОВ 2\Копейск Жданова 25а 17.06.2025\Заказ_Копейск Жданова 25а 17.06.2025.xlsm</t>
  </si>
  <si>
    <t>Жилой дом 6.1 без квартир 18.06.25</t>
  </si>
  <si>
    <t>\\Nas\Shared Docs\АРХИВ ЗАКАЗОВ 2\Жилой дом 6.1 без квартир 18.06.25\Заказ_Жилой дом 6.1 без квартир 18.06.25.xlsm</t>
  </si>
  <si>
    <t>Жилой дом 9.2 (подъезд №1). Нежилая часть. Трубы</t>
  </si>
  <si>
    <t>\\Nas\Shared Docs\АРХИВ ЗАКАЗОВ 2\Жилой дом 9.2 (подъезд №1). Нежилая часть. Трубы\Заказ_Жилой дом 9.2 (подъезд №1). Нежилая часть. Трубы.xlsm</t>
  </si>
  <si>
    <t>ЭТЛ Детский сад Жданова</t>
  </si>
  <si>
    <t>\\Nas\Shared Docs\АРХИВ ЗАКАЗОВ 2\ЭТЛ Детский сад Жданова\Заказ_ЭТЛ Детский сад Жданова.xlsm</t>
  </si>
  <si>
    <t>Восстановление квартиры 43 дом</t>
  </si>
  <si>
    <t>\\Nas\Shared Docs\АРХИВ ЗАКАЗОВ 2\Восстановление квартиры 43 дом\Заказ_Восстановление квартиры 43 дом.xlsm</t>
  </si>
  <si>
    <t>ЮУРГУ Моммограф</t>
  </si>
  <si>
    <t>\\Nas\Shared Docs\АРХИВ ЗАКАЗОВ 2\ЮУРГУ Моммограф\Заказ_ЮУРГУ Моммограф.xlsm</t>
  </si>
  <si>
    <t>Жилой дом 9.2 (подъезд №2) 18.07.2025</t>
  </si>
  <si>
    <t>\\Nas\Shared Docs\АРХИВ ЗАКАЗОВ 2\Жилой дом 9.2 (подъезд №2) 18.07.2025\Заказ_Жилой дом 9.2 (подъезд №2) 18.07.2025.xlsm</t>
  </si>
  <si>
    <t>Жилой дом 6.1 без квартир 24.07.2025</t>
  </si>
  <si>
    <t>\\Nas\Shared Docs\АРХИВ ЗАКАЗОВ 2\Жилой дом 6.1 без квартир 24.07.2025\Заказ_Жилой дом 6.1 без квартир 24.07.2025.xlsm</t>
  </si>
  <si>
    <t>Копейск Жданова 25а 06.08.2025</t>
  </si>
  <si>
    <t>\\Nas\Shared Docs\АРХИВ ЗАКАЗОВ 2\Копейск Жданова 25а 06.08.2025\Заказ_Копейск Жданова 25а 06.08.2025.xlsm</t>
  </si>
  <si>
    <t>43 дом Притяжение 11.08</t>
  </si>
  <si>
    <t>\\Nas\Shared Docs\АРХИВ ЗАКАЗОВ 2\43 дом Притяжение 11.08\Заказ_43 дом Притяжение 11.08.xlsm</t>
  </si>
  <si>
    <t>Жилой дом 9.2 (подъезд №2) 11.08.2025</t>
  </si>
  <si>
    <t>\\Nas\Shared Docs\АРХИВ ЗАКАЗОВ 2\Жилой дом 9.2 (подъезд №2) 11.08.2025\Заказ_Жилой дом 9.2 (подъезд №2) 11.08.2025.xlsm</t>
  </si>
  <si>
    <t>Жилой дом 6.1 без квартир 15.08.2025</t>
  </si>
  <si>
    <t>\\Nas\Shared Docs\АРХИВ ЗАКАЗОВ 2\Жилой дом 6.1 без квартир 15.08.2025\Заказ_Жилой дом 6.1 без квартир 15.08.2025.xlsm</t>
  </si>
  <si>
    <t>Копейск Жданова 25а 15.08.2025</t>
  </si>
  <si>
    <t>\\Nas\Shared Docs\АРХИВ ЗАКАЗОВ 2\Копейск Жданова 25а 15.08.2025\Заказ_Копейск Жданова 25а 15.08.2025.xlsm</t>
  </si>
  <si>
    <t>Жилой дом Тимирязевский Факт</t>
  </si>
  <si>
    <t>\\Nas\Shared Docs\АРХИВ ЗАКАЗОВ 2\Жилой дом Тимирязевский Факт\Заказ_Жилой дом Тимирязевский Факт.xlsm</t>
  </si>
  <si>
    <t>Копейск Жданова 25а 15.09.2025</t>
  </si>
  <si>
    <t>V 2.7</t>
  </si>
  <si>
    <t>\\Nas\Shared Docs\АРХИВ ЗАКАЗОВ 2\Копейск Жданова 25а 15.09.2025\Заказ_Копейск Жданова 25а 15.09.2025.xlsm</t>
  </si>
  <si>
    <t>1.1 Привилегия</t>
  </si>
  <si>
    <t>\\Nas\Shared Docs\АРХИВ ЗАКАЗОВ 2\1.1 Привилегия\Заказ_1.1 Привилегия.xlsm</t>
  </si>
  <si>
    <t>43 дом Притяжение 25.09</t>
  </si>
  <si>
    <t>\\Nas\Shared Docs\АРХИВ ЗАКАЗОВ 2\43 дом Притяжение 25.09\Заказ_43 дом Притяжение 25.09.xlsm</t>
  </si>
  <si>
    <t>43 дом (1-4 подъезды) Дополнительные работы 29.09</t>
  </si>
  <si>
    <t>\\Nas\Shared Docs\АРХИВ ЗАКАЗОВ 2\43 дом (1-4 подъезды) Дополнительные работы 29.09\Заказ_43 дом (1-4 подъезды) Дополнительные работы 29.09.xlsm</t>
  </si>
  <si>
    <t>2.1 1-Этап Привилегия</t>
  </si>
  <si>
    <t>\\Nas\Shared Docs\АРХИВ ЗАКАЗОВ 2\2.1 1-Этап Привилегия\Заказ_2.1 1-Этап Привилегия.xlsm</t>
  </si>
  <si>
    <t>2.1 2-Этап Привилегия</t>
  </si>
  <si>
    <t>\\Nas\Shared Docs\АРХИВ ЗАКАЗОВ 2\2.1 2-Этап Привилегия\Заказ_2.1 2-Этап Привилегия.xlsm</t>
  </si>
  <si>
    <t>ЭТЛ Тимирязевский 2 дом</t>
  </si>
  <si>
    <t>\\Nas\Shared Docs\АРХИВ ЗАКАЗОВ 2\ЭТЛ Тимирязевский 2 дом\Заказ_ЭТЛ Тимирязевский 2 дом.xlsm</t>
  </si>
  <si>
    <t>1.1 Привилегия от 13.10.25</t>
  </si>
  <si>
    <t>\\Nas\Shared Docs\АРХИВ ЗАКАЗОВ 2\1.1 Привилегия от 13.10.25\Заказ_1.1 Привилегия от 13.10.25.xlsm</t>
  </si>
  <si>
    <t>ЮУрГУ</t>
  </si>
  <si>
    <t>\\Nas\Shared Docs\АРХИВ ЗАКАЗОВ 2\ЮУрГУ\Заказ_ЮУрГУ.xlsm</t>
  </si>
  <si>
    <t>3.1 1-Этап Привилегия</t>
  </si>
  <si>
    <t>\\Nas\Shared Docs\АРХИВ ЗАКАЗОВ 2\3.1 1-Этап Привилегия\Заказ_3.1 1-Этап Привилегия.xlsm</t>
  </si>
  <si>
    <t>ФОК обогорев водосточной системы</t>
  </si>
  <si>
    <t>\\Nas\Shared Docs\АРХИВ ЗАКАЗОВ 2\ФОК обогорев водосточной системы\Заказ_ФОК обогорев водосточной системы.xlsm</t>
  </si>
  <si>
    <t>1.1 1этап Нежилое</t>
  </si>
  <si>
    <t>\\Nas\Shared Docs\АРХИВ ЗАКАЗОВ 2\1.1 1этап Нежилое\Заказ_1.1 1этап Нежилое.xlsm</t>
  </si>
  <si>
    <t>1.1 1этап Жилое</t>
  </si>
  <si>
    <t>\\Nas\Shared Docs\АРХИВ ЗАКАЗОВ 2\1.1 1этап Жилое\Заказ_1.1 1этап Жилое.xlsm</t>
  </si>
  <si>
    <t>Копейск Жданова 25а 29.10.2025</t>
  </si>
  <si>
    <t>\\Nas\Shared Docs\АРХИВ ЗАКАЗОВ 2\Копейск Жданова 25а 29.10.2025\Заказ_Копейск Жданова 25а 29.10.2025.xlsm</t>
  </si>
  <si>
    <t>ЮУрГУ общий 10.11</t>
  </si>
  <si>
    <t>\\Nas\Shared Docs\АРХИВ ЗАКАЗОВ 2\ЮУрГУ общий 10.11\Заказ_ЮУрГУ общий 10.11.xlsm</t>
  </si>
  <si>
    <t>ЮУрГУ отгрузка1 10.11</t>
  </si>
  <si>
    <t>\\Nas\Shared Docs\АРХИВ ЗАКАЗОВ 2\ЮУрГУ отгрузка1 10.11\Заказ_ЮУрГУ отгрузка1 10.11.xlsm</t>
  </si>
  <si>
    <t>Дрель для ЮУрГУ</t>
  </si>
  <si>
    <t>\\Nas\Shared Docs\АРХИВ ЗАКАЗОВ 2\Дрель для ЮУрГУ\Заказ_Дрель для ЮУрГУ.xlsm</t>
  </si>
  <si>
    <t>Реконструкция кабельной линии ФОК</t>
  </si>
  <si>
    <t>\\Nas\Shared Docs\АРХИВ ЗАКАЗОВ 2\Реконструкция кабельной линии ФОК\Заказ_Реконструкция кабельной линии ФОК.xlsm</t>
  </si>
  <si>
    <t>ФОК обогрев водосточной системы</t>
  </si>
  <si>
    <t>\\Nas\Shared Docs\АРХИВ ЗАКАЗОВ 2\ФОК обогрев водосточной системы\Заказ_ФОК обогрев водосточной системы.xlsm</t>
  </si>
  <si>
    <t>Реконструкция кабельной линии ФОК на хомутах</t>
  </si>
  <si>
    <t>\\Nas\Shared Docs\АРХИВ ЗАКАЗОВ 2\Реконструкция кабельной линии ФОК на хомутах\Заказ_Реконструкция кабельной линии ФОК на хомутах.xlsm</t>
  </si>
  <si>
    <t>Жданова 25а допы</t>
  </si>
  <si>
    <t>\\Nas\Shared Docs\АРХИВ ЗАКАЗОВ 2\Жданова 25а допы\Заказ_Жданова 25а допы.xlsm</t>
  </si>
  <si>
    <t>ЮУрГУ отгрузка2 10.11</t>
  </si>
  <si>
    <t>\\Nas\Shared Docs\АРХИВ ЗАКАЗОВ 2\ЮУрГУ отгрузка2 10.11\Заказ_ЮУрГУ отгрузка2 10.11.xlsm</t>
  </si>
  <si>
    <t>1.1 Привилегия от 12.01.26</t>
  </si>
  <si>
    <t>V 2.8</t>
  </si>
  <si>
    <t>\\Nas\Shared Docs\АРХИВ ЗАКАЗОВ 2\1.1 Привилегия от 12.01.26\Заказ_1.1 Привилегия от 12.01.26.xlsm</t>
  </si>
  <si>
    <t>3.1 1-Этап Привилегия от 13.01.2026</t>
  </si>
  <si>
    <t>\\Nas\Shared Docs\АРХИВ ЗАКАЗОВ 2\3.1 1-Этап Привилегия от 13.01.2026\Заказ_3.1 1-Этап Привилегия от 13.01.2026.xlsm</t>
  </si>
  <si>
    <t>Жилой дом 9.2 (подъезд №1). Жилая часть 13.01.2026</t>
  </si>
  <si>
    <t>\\Nas\Shared Docs\АРХИВ ЗАКАЗОВ 2\Жилой дом 9.2 (подъезд №1). Жилая часть 13.01.2026\Заказ_Жилой дом 9.2 (подъезд №1). Жилая часть 13.01.2026.xlsm</t>
  </si>
  <si>
    <t>Жилой дом 6.1 без квартир 13.01.2026</t>
  </si>
  <si>
    <t>\\Nas\Shared Docs\АРХИВ ЗАКАЗОВ 2\Жилой дом 6.1 без квартир 13.01.2026\Заказ_Жилой дом 6.1 без квартир 13.01.2026.xlsm</t>
  </si>
  <si>
    <t>Жилой дом 9.2 (подъезд №2) ДС1 13.01.2026</t>
  </si>
  <si>
    <t>\\Nas\Shared Docs\АРХИВ ЗАКАЗОВ 2\Жилой дом 9.2 (подъезд №2) ДС1 13.01.2026\Заказ_Жилой дом 9.2 (подъезд №2) ДС1 13.01.2026.xlsm</t>
  </si>
  <si>
    <t>Жилой дом 9.2 (подъезд №2) ДС2 13.01.2026</t>
  </si>
  <si>
    <t>\\Nas\Shared Docs\АРХИВ ЗАКАЗОВ 2\Жилой дом 9.2 (подъезд №2) ДС2 13.01.2026\Заказ_Жилой дом 9.2 (подъезд №2) ДС2 13.01.2026.xlsm</t>
  </si>
  <si>
    <t>Реконструкция кабельной линии ФОК на хомутах 13.01.2026</t>
  </si>
  <si>
    <t>\\Nas\Shared Docs\АРХИВ ЗАКАЗОВ 2\Реконструкция кабельной линии ФОК на хомутах 13.01.2026\Заказ_Реконструкция кабельной линии ФОК на хомутах 13.01.2026.xlsm</t>
  </si>
  <si>
    <t>1.1 Привилегия Дизайнерское освещение МОП</t>
  </si>
  <si>
    <t>\\Nas\Shared Docs\АРХИВ ЗАКАЗОВ 2\1.1 Привилегия Дизайнерское освещение МОП\Заказ_1.1 Привилегия Дизайнерское освещение МОП.xlsm</t>
  </si>
  <si>
    <t>V 2.9</t>
  </si>
  <si>
    <t>Жилой дом 6.1 без квартир НДС</t>
  </si>
  <si>
    <t>\\Nas\Shared Docs\АРХИВ ЗАКАЗОВ 2\Жилой дом 6.1 без квартир НДС\Заказ_Жилой дом 6.1 без квартир НДС.xlsm</t>
  </si>
  <si>
    <t>3.1 1-Этап Привилегия от 28.01.2026</t>
  </si>
  <si>
    <t>\\Nas\Shared Docs\АРХИВ ЗАКАЗОВ 2\3.1 1-Этап Привилегия от 28.01.2026\Заказ_3.1 1-Этап Привилегия от 28.01.2026.xlsm</t>
  </si>
  <si>
    <t>1.1 Привилегия от 29.01.26</t>
  </si>
  <si>
    <t>\\Nas\Shared Docs\АРХИВ ЗАКАЗОВ 2\1.1 Привилегия от 29.01.26\Заказ_1.1 Привилегия от 29.01.26.xlsm</t>
  </si>
  <si>
    <t>Реконструкция кабельной линии ФОК  29.01.2026</t>
  </si>
  <si>
    <t>\\Nas\Shared Docs\АРХИВ ЗАКАЗОВ 2\Реконструкция кабельной линии ФОК  29.01.2026\Заказ_Реконструкция кабельной линии ФОК  29.01.2026.xlsm</t>
  </si>
  <si>
    <t>Жилой дом 9.2 (подъезд №1). Жилая часть НДС</t>
  </si>
  <si>
    <t>\\Nas\Shared Docs\АРХИВ ЗАКАЗОВ 2\Жилой дом 9.2 (подъезд №1). Жилая часть НДС\Заказ_Жилой дом 9.2 (подъезд №1). Жилая часть НДС.xlsm</t>
  </si>
  <si>
    <t>Жилой дом 9.2 (подъезд №2). ДС1 НДС</t>
  </si>
  <si>
    <t>\\Nas\Shared Docs\АРХИВ ЗАКАЗОВ 2\Жилой дом 9.2 (подъезд №2). ДС1 НДС\Заказ_Жилой дом 9.2 (подъезд №2). ДС1 НДС.xlsm</t>
  </si>
  <si>
    <t>1.1 Привилегия от 10.02.2026</t>
  </si>
  <si>
    <t>\\Nas\Shared Docs\АРХИВ ЗАКАЗОВ 2\1.1 Привилегия от 10.02.2026\Заказ_1.1 Привилегия от 10.02.2026.xlsm</t>
  </si>
  <si>
    <t>Жилой дом 6.1 без квартир 12.02.2026</t>
  </si>
  <si>
    <t>\\Nas\Shared Docs\АРХИВ ЗАКАЗОВ 2\Жилой дом 6.1 без квартир 12.02.2026\Заказ_Жилой дом 6.1 без квартир 12.02.2026.xlsm</t>
  </si>
  <si>
    <t>3.1 1-Этап Привилегия от 24.02.2026</t>
  </si>
  <si>
    <t>\\Nas\Shared Docs\АРХИВ ЗАКАЗОВ 2\3.1 1-Этап Привилегия от 24.02.2026\Заказ_3.1 1-Этап Привилегия от 24.02.2026.xlsm</t>
  </si>
  <si>
    <t>3.1 2этап Привилегия от 27.02.2026</t>
  </si>
  <si>
    <t>\\Nas\Shared Docs\АРХИВ ЗАКАЗОВ 2\3.1 2этап Привилегия от 27.02.2026\Заказ_3.1 2этап Привилегия от 27.02.2026.xlsm</t>
  </si>
  <si>
    <t>жд 6.1 ДС3</t>
  </si>
  <si>
    <t>\\Nas\Shared Docs\АРХИВ ЗАКАЗОВ 2\жд 6.1 ДС3\Заказ_жд 6.1 ДС3.xlsm</t>
  </si>
  <si>
    <t>V  ломаная</t>
  </si>
  <si>
    <t>Реконструкция кабельной линии ФОК  02.04.2026</t>
  </si>
  <si>
    <t>V 3.0</t>
  </si>
  <si>
    <t>\\Nas\Shared Docs\АРХИВ ЗАКАЗОВ 2\Реконструкция кабельной линии ФОК  02.04.2026\Заказ_Реконструкция кабельной линии ФОК  02.04.2026.xlsm</t>
  </si>
  <si>
    <t>Жилой дом 9.2 (подъезд №2). ДС3</t>
  </si>
  <si>
    <t>V 3.0 испорченая</t>
  </si>
  <si>
    <t>\\Nas\Shared Docs\АРХИВ ЗАКАЗОВ 2\Жилой дом 9.2 (подъезд №2). ДС3\Заказ_Жилой дом 9.2 (подъезд №2). ДС3.xlsm</t>
  </si>
  <si>
    <t>V 3.0 испорч</t>
  </si>
  <si>
    <t>Жилой дом 9.2 (подъезд №2). ДС4</t>
  </si>
  <si>
    <t>\\Nas\Shared Docs\АРХИВ ЗАКАЗОВ 2\Жилой дом 9.2 (подъезд №2). ДС4\Заказ_Жилой дом 9.2 (подъезд №2). ДС4.xlsm</t>
  </si>
  <si>
    <t>1.1 Привилегия. Дополнительные работы</t>
  </si>
  <si>
    <t>\\Nas\Shared Docs\АРХИВ ЗАКАЗОВ 2\1.1 Привилегия. Дополнительные работы\Заказ_1.1 Привилегия. Дополнительные работы.xlsm</t>
  </si>
  <si>
    <t>1.1 1-этап. ДС3. Доп работы. Штроба</t>
  </si>
  <si>
    <t>\\Nas\Shared Docs\АРХИВ ЗАКАЗОВ 2\1.1 1-этап. ДС3. Доп работы. Штроба\Заказ_1.1 1-этап. ДС3. Доп работы. Штроба.xlsm</t>
  </si>
  <si>
    <t>1.1 Привилегия. ДС2. от 30.03.2026</t>
  </si>
  <si>
    <t>\\Nas\Shared Docs\АРХИВ ЗАКАЗОВ 2\1.1 Привилегия. ДС2. от 30.03.2026\Заказ_1.1 Привилегия. ДС2. от 30.03.2026.xlsm</t>
  </si>
  <si>
    <t>1.1 1-этап. Доп работы. Кабель в квартирах</t>
  </si>
  <si>
    <t>\\Nas\Shared Docs\АРХИВ ЗАКАЗОВ 2\1.1 1-этап. Доп работы. Кабель в квартирах\Заказ_1.1 1-этап. Доп работы. Кабель в квартирах.xlsm</t>
  </si>
  <si>
    <t>1.1 1-этап. Доп работы. Кабель в квартирах с зачетом</t>
  </si>
  <si>
    <t>\\Nas\Shared Docs\АРХИВ ЗАКАЗОВ 2\1.1 1-этап. Доп работы. Кабель в квартирах с зачетом\Заказ_1.1 1-этап. Доп работы. Кабель в квартирах с зачетом.xlsm</t>
  </si>
  <si>
    <t>3.1 ЖК 13ГА</t>
  </si>
  <si>
    <t>\\Nas\Shared Docs\АРХИВ ЗАКАЗОВ 2\3.1 ЖК 13ГА\Заказ_3.1 ЖК 13ГА.xlsm</t>
  </si>
  <si>
    <t>1.1 Привилегия Князев 2</t>
  </si>
  <si>
    <t>\\Nas\Shared Docs\АРХИВ ЗАКАЗОВ 2\1.1 Привилегия Князев 2\Заказ_1.1 Привилегия Князев 2.xlsm</t>
  </si>
  <si>
    <t>1.1 1-этап. Доп работы. Светильники МОП</t>
  </si>
  <si>
    <t>\\Nas\Shared Docs\АРХИВ ЗАКАЗОВ 2\1.1 1-этап. Доп работы. Светильники МОП\Заказ_1.1 1-этап. Доп работы. Светильники МОП.xlsm</t>
  </si>
  <si>
    <t>3.1 1-Этап ДЗЕН от 11.08.2026</t>
  </si>
  <si>
    <t>\\Nas\Shared Docs\АРХИВ ЗАКАЗОВ 2\3.1 1-Этап ДЗЕН от 11.08.2026\Заказ_3.1 1-Этап ДЗЕН от 11.08.2026.xlsm</t>
  </si>
  <si>
    <t>V 3.2</t>
  </si>
  <si>
    <t>Сип кабель</t>
  </si>
  <si>
    <t>\\Nas\Shared Docs\АРХИВ ЗАКАЗОВ 2\Сип кабель\Заказ_Сип кабель.xlsm</t>
  </si>
  <si>
    <t>1.1 ЖК 13ГА</t>
  </si>
  <si>
    <t>\\Nas\Shared Docs\АРХИВ ЗАКАЗОВ 2\1.1 ЖК 13ГА\Заказ_1.1 ЖК 13ГА.xlsm</t>
  </si>
  <si>
    <t>2.1 ЖК 13ГА</t>
  </si>
  <si>
    <t>\\Nas\Shared Docs\АРХИВ ЗАКАЗОВ 2\2.1 ЖК 13ГА\Заказ_2.1 ЖК 13ГА.xlsm</t>
  </si>
  <si>
    <t>3.1-1 Расход кабеля</t>
  </si>
  <si>
    <t>\\Nas\Shared Docs\АРХИВ ЗАКАЗОВ 2\3.1-1 Расход кабеля\Заказ_3.1-1 Расход кабеля.xlsm</t>
  </si>
  <si>
    <t>Заявка 2.1 13ГА</t>
  </si>
  <si>
    <t>\\Nas\Shared Docs\АРХИВ ЗАКАЗОВ 2\Заявка 2.1 13ГА\Заказ_Заявка 2.1 13ГА.xlsm</t>
  </si>
  <si>
    <t>2.1 ЖК 13ГА С ИЗМЕНЕНИЯМИ</t>
  </si>
  <si>
    <t>\\Nas\Shared Docs\АРХИВ ЗАКАЗОВ 2\2.1 ЖК 13ГА С ИЗМЕНЕНИЯМИ\Заказ_2.1 ЖК 13ГА С ИЗМЕНЕНИЯМИ.xlsm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</si>
</sst>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р.&quot;* #,##0.00_);_(&quot;р.&quot;* \(#,##0.00\);_(&quot;р.&quot;* &quot;-&quot;??_);_(@_)"/>
    <numFmt numFmtId="165" formatCode="#,##0.00&quot;р.&quot;"/>
    <numFmt numFmtId="166" formatCode="[$-F800]dddd\,\ mmmm\ dd\,\ yyyy"/>
  </numFmts>
  <fonts count="1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b/>
      <sz val="9"/>
      <color rgb="FFFF000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9"/>
      <color theme="0"/>
      <name val="Calibri"/>
      <family val="2"/>
      <charset val="204"/>
      <scheme val="minor"/>
    </font>
    <font>
      <sz val="10"/>
      <color theme="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center"/>
    </xf>
    <xf numFmtId="0" fontId="0" fillId="2" borderId="0" xfId="0" applyFill="1" applyAlignment="1">
      <alignment horizontal="left"/>
    </xf>
    <xf numFmtId="0" fontId="6" fillId="2" borderId="0" xfId="0" applyFont="1" applyFill="1" applyAlignment="1">
      <alignment horizontal="center" vertical="center" wrapText="1"/>
    </xf>
    <xf numFmtId="0" fontId="3" fillId="2" borderId="0" xfId="0" applyNumberFormat="1" applyFont="1" applyFill="1" applyAlignment="1">
      <alignment horizontal="left" vertical="center"/>
    </xf>
    <xf numFmtId="0" fontId="9" fillId="2" borderId="0" xfId="0" applyFont="1" applyFill="1" applyAlignment="1">
      <alignment horizontal="left"/>
    </xf>
    <xf numFmtId="0" fontId="10" fillId="2" borderId="0" xfId="0" applyFont="1" applyFill="1" applyAlignment="1">
      <alignment horizontal="center" vertical="center" wrapText="1"/>
    </xf>
    <xf numFmtId="0" fontId="1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center"/>
    </xf>
    <xf numFmtId="0" fontId="3" fillId="2" borderId="0" xfId="0" applyFont="1" applyFill="1" applyAlignment="1">
      <alignment horizontal="left" vertical="center"/>
    </xf>
    <xf numFmtId="0" fontId="4" fillId="3" borderId="0" xfId="0" applyNumberFormat="1" applyFont="1" applyFill="1" applyBorder="1" applyAlignment="1" applyProtection="1">
      <alignment horizontal="left" vertical="center"/>
      <protection locked="0"/>
    </xf>
    <xf numFmtId="0" fontId="4" fillId="3" borderId="0" xfId="0" applyNumberFormat="1" applyFont="1" applyFill="1" applyBorder="1" applyAlignment="1" applyProtection="1">
      <alignment horizontal="left" vertical="center" wrapText="1"/>
      <protection locked="0"/>
    </xf>
    <xf numFmtId="0" fontId="3" fillId="3" borderId="0" xfId="0" applyNumberFormat="1" applyFont="1" applyFill="1" applyBorder="1" applyAlignment="1">
      <alignment horizontal="left" vertical="center"/>
    </xf>
    <xf numFmtId="165" fontId="4" fillId="3" borderId="0" xfId="1" applyNumberFormat="1" applyFont="1" applyFill="1" applyBorder="1" applyAlignment="1" applyProtection="1">
      <alignment horizontal="left" vertical="center"/>
      <protection locked="0"/>
    </xf>
    <xf numFmtId="165" fontId="5" fillId="3" borderId="0" xfId="1" applyNumberFormat="1" applyFont="1" applyFill="1" applyBorder="1" applyAlignment="1" applyProtection="1">
      <alignment horizontal="left" vertical="center"/>
      <protection locked="0"/>
    </xf>
    <xf numFmtId="14" fontId="3" fillId="3" borderId="0" xfId="0" applyNumberFormat="1" applyFont="1" applyFill="1" applyBorder="1" applyAlignment="1">
      <alignment horizontal="left" vertical="center"/>
    </xf>
    <xf numFmtId="19" fontId="3" fillId="3" borderId="0" xfId="0" applyNumberFormat="1" applyFont="1" applyFill="1" applyBorder="1" applyAlignment="1">
      <alignment horizontal="left" vertical="center"/>
    </xf>
    <xf numFmtId="0" fontId="0" fillId="3" borderId="0" xfId="0" applyFill="1" applyAlignment="1">
      <alignment horizontal="left"/>
    </xf>
    <xf numFmtId="0" fontId="6" fillId="3" borderId="0" xfId="0" applyFont="1" applyFill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3" fillId="3" borderId="0" xfId="0" applyNumberFormat="1" applyFont="1" applyFill="1" applyAlignment="1">
      <alignment horizontal="left" vertical="center"/>
    </xf>
    <xf numFmtId="166" fontId="4" fillId="3" borderId="0" xfId="0" applyNumberFormat="1" applyFont="1" applyFill="1" applyBorder="1" applyAlignment="1" applyProtection="1">
      <alignment horizontal="left" vertical="center"/>
      <protection locked="0"/>
    </xf>
  </cellXfs>
  <cellStyles count="2">
    <cellStyle name="Денежный" xfId="1" builtinId="4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styles" Target="style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4.xml"/><Relationship Id="rId10" Type="http://schemas.microsoft.com/office/2006/relationships/vbaProject" Target="vbaProject.bin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4;&#1058;&#1044;&#1045;&#1051;%20&#1055;&#1056;&#1054;&#1044;&#1040;&#1046;/&#1056;&#1072;&#1089;&#1095;&#1077;&#1090;%20&#1080;%20&#1044;&#1086;&#1082;&#1091;&#1084;&#1077;&#1085;&#1090;&#1072;&#1094;&#1080;&#1103;%20&#1064;&#1072;&#1073;&#1083;&#1086;&#1085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47;&#1040;&#1050;&#1040;&#1047;&#1067;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50;&#1040;&#1057;&#1057;&#1040;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57;&#1055;&#1056;&#1040;&#1042;&#1054;&#1063;&#1053;&#1048;&#1050;&#1048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оговор1"/>
      <sheetName val="Договор2"/>
      <sheetName val="Договор3"/>
      <sheetName val="КП1"/>
      <sheetName val="КП2"/>
      <sheetName val="КП3"/>
      <sheetName val="Прил1_1"/>
      <sheetName val="Прил1_2"/>
      <sheetName val="Прил1_1КП"/>
      <sheetName val="Прил1_2КП"/>
      <sheetName val="ИТОГОВЫЙ"/>
      <sheetName val="ВВОД"/>
      <sheetName val="Материалы"/>
      <sheetName val="Услуги"/>
      <sheetName val="Расчет"/>
      <sheetName val="Лист1"/>
      <sheetName val="Экспорт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F3">
            <v>0</v>
          </cell>
        </row>
        <row r="4">
          <cell r="F4">
            <v>0</v>
          </cell>
        </row>
        <row r="5">
          <cell r="F5">
            <v>0</v>
          </cell>
        </row>
        <row r="7">
          <cell r="F7">
            <v>0</v>
          </cell>
        </row>
        <row r="9">
          <cell r="F9">
            <v>0</v>
          </cell>
        </row>
        <row r="12">
          <cell r="F12">
            <v>0</v>
          </cell>
        </row>
        <row r="37">
          <cell r="F37">
            <v>0</v>
          </cell>
        </row>
        <row r="38">
          <cell r="F38">
            <v>0</v>
          </cell>
        </row>
        <row r="40">
          <cell r="F40">
            <v>0</v>
          </cell>
        </row>
        <row r="41">
          <cell r="F41">
            <v>0</v>
          </cell>
        </row>
        <row r="43">
          <cell r="F43">
            <v>0</v>
          </cell>
        </row>
        <row r="44">
          <cell r="F44">
            <v>0</v>
          </cell>
        </row>
      </sheetData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ЗАКАЗЫ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КАССА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РАВОЧНИКИ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5"/>
  <dimension ref="A1:BN5000"/>
  <sheetViews>
    <sheetView tabSelected="1" workbookViewId="0">
      <pane xSplit="7" ySplit="10" topLeftCell="BJ829" activePane="bottomRight" state="frozen"/>
      <selection activeCell="D10" sqref="D10"/>
      <selection pane="topRight" activeCell="H10" sqref="H10"/>
      <selection pane="bottomLeft" activeCell="D11" sqref="D11"/>
      <selection pane="bottomRight" activeCell="E846" sqref="E846:AI846"/>
    </sheetView>
  </sheetViews>
  <sheetFormatPr defaultColWidth="70.42578125" defaultRowHeight="15" x14ac:dyDescent="0.25"/>
  <cols>
    <col min="1" max="1" width="7.28515625" style="7" bestFit="1" customWidth="1"/>
    <col min="2" max="2" width="3.28515625" style="4" customWidth="1"/>
    <col min="3" max="3" width="10.28515625" style="4" customWidth="1"/>
    <col min="4" max="4" width="4.42578125" style="19" customWidth="1"/>
    <col min="5" max="5" width="28.28515625" style="19" customWidth="1"/>
    <col min="6" max="6" width="18.85546875" style="19" customWidth="1"/>
    <col min="7" max="7" width="46.7109375" style="19" bestFit="1" customWidth="1"/>
    <col min="8" max="17" width="13.140625" style="19" customWidth="1"/>
    <col min="18" max="18" width="13.85546875" style="19" bestFit="1" customWidth="1"/>
    <col min="19" max="52" width="13.140625" style="19" customWidth="1"/>
    <col min="53" max="66" width="70.42578125" style="4"/>
    <col min="67" max="16384" width="70.42578125" style="1"/>
  </cols>
  <sheetData>
    <row r="1" spans="1:66" x14ac:dyDescent="0.25">
      <c r="A1" s="7">
        <f>SUM(A11:A5000)</f>
        <v>842</v>
      </c>
    </row>
    <row r="10" spans="1:66" s="3" customFormat="1" ht="60" x14ac:dyDescent="0.25">
      <c r="A10" s="8"/>
      <c r="B10" s="5"/>
      <c r="C10" s="5"/>
      <c r="D10" s="20"/>
      <c r="E10" s="21" t="s">
        <v>39</v>
      </c>
      <c r="F10" s="21" t="s">
        <v>5</v>
      </c>
      <c r="G10" s="21" t="s">
        <v>6</v>
      </c>
      <c r="H10" s="21" t="s">
        <v>7</v>
      </c>
      <c r="I10" s="21" t="s">
        <v>30</v>
      </c>
      <c r="J10" s="21" t="s">
        <v>8</v>
      </c>
      <c r="K10" s="21" t="s">
        <v>9</v>
      </c>
      <c r="L10" s="21" t="s">
        <v>10</v>
      </c>
      <c r="M10" s="21" t="s">
        <v>11</v>
      </c>
      <c r="N10" s="22" t="s">
        <v>12</v>
      </c>
      <c r="O10" s="22" t="s">
        <v>1453</v>
      </c>
      <c r="P10" s="22" t="s">
        <v>13</v>
      </c>
      <c r="Q10" s="20" t="s">
        <v>35</v>
      </c>
      <c r="R10" s="22" t="s">
        <v>14</v>
      </c>
      <c r="S10" s="23" t="s">
        <v>15</v>
      </c>
      <c r="T10" s="22" t="s">
        <v>16</v>
      </c>
      <c r="U10" s="23" t="s">
        <v>17</v>
      </c>
      <c r="V10" s="22" t="s">
        <v>18</v>
      </c>
      <c r="W10" s="23" t="s">
        <v>19</v>
      </c>
      <c r="X10" s="22" t="s">
        <v>20</v>
      </c>
      <c r="Y10" s="23" t="s">
        <v>21</v>
      </c>
      <c r="Z10" s="22" t="s">
        <v>1449</v>
      </c>
      <c r="AA10" s="23" t="s">
        <v>22</v>
      </c>
      <c r="AB10" s="22" t="s">
        <v>23</v>
      </c>
      <c r="AC10" s="23" t="s">
        <v>24</v>
      </c>
      <c r="AD10" s="22" t="s">
        <v>25</v>
      </c>
      <c r="AE10" s="23" t="s">
        <v>26</v>
      </c>
      <c r="AF10" s="22" t="s">
        <v>27</v>
      </c>
      <c r="AG10" s="23" t="s">
        <v>28</v>
      </c>
      <c r="AH10" s="22" t="s">
        <v>29</v>
      </c>
      <c r="AI10" s="22" t="s">
        <v>31</v>
      </c>
      <c r="AJ10" s="20" t="s">
        <v>32</v>
      </c>
      <c r="AK10" s="20" t="s">
        <v>33</v>
      </c>
      <c r="AL10" s="20" t="s">
        <v>1</v>
      </c>
      <c r="AM10" s="20" t="s">
        <v>2</v>
      </c>
      <c r="AN10" s="20" t="s">
        <v>0</v>
      </c>
      <c r="AO10" s="20" t="s">
        <v>34</v>
      </c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</row>
    <row r="11" spans="1:66" s="2" customFormat="1" ht="12" customHeight="1" x14ac:dyDescent="0.25">
      <c r="A11" s="9">
        <f>IF(G11&gt;0,1,0)</f>
        <v>1</v>
      </c>
      <c r="B11" s="6"/>
      <c r="C11" s="6"/>
      <c r="D11" s="24"/>
      <c r="E11" s="12" t="s">
        <v>38</v>
      </c>
      <c r="F11" s="25">
        <v>0</v>
      </c>
      <c r="G11" s="12" t="s">
        <v>44</v>
      </c>
      <c r="H11" s="12">
        <v>0</v>
      </c>
      <c r="I11" s="12">
        <v>0</v>
      </c>
      <c r="J11" s="12">
        <v>0</v>
      </c>
      <c r="K11" s="12">
        <v>0</v>
      </c>
      <c r="L11" s="13">
        <v>0</v>
      </c>
      <c r="M11" s="13">
        <v>0</v>
      </c>
      <c r="N11" s="12">
        <v>0</v>
      </c>
      <c r="O11" s="12">
        <v>0</v>
      </c>
      <c r="P11" s="12">
        <v>0</v>
      </c>
      <c r="Q11" s="14">
        <v>0</v>
      </c>
      <c r="R11" s="15">
        <v>0</v>
      </c>
      <c r="S11" s="16">
        <v>0</v>
      </c>
      <c r="T11" s="15">
        <v>0</v>
      </c>
      <c r="U11" s="16">
        <v>0</v>
      </c>
      <c r="V11" s="15">
        <v>0</v>
      </c>
      <c r="W11" s="16">
        <v>0</v>
      </c>
      <c r="X11" s="15">
        <v>0</v>
      </c>
      <c r="Y11" s="16">
        <v>0</v>
      </c>
      <c r="Z11" s="15">
        <v>0</v>
      </c>
      <c r="AA11" s="16">
        <v>0</v>
      </c>
      <c r="AB11" s="15">
        <v>0</v>
      </c>
      <c r="AC11" s="16">
        <v>0</v>
      </c>
      <c r="AD11" s="15">
        <v>0</v>
      </c>
      <c r="AE11" s="16">
        <v>0</v>
      </c>
      <c r="AF11" s="15">
        <v>0</v>
      </c>
      <c r="AG11" s="16">
        <v>0</v>
      </c>
      <c r="AH11" s="15">
        <v>0</v>
      </c>
      <c r="AI11" s="15" t="s">
        <v>45</v>
      </c>
      <c r="AJ11" s="14">
        <v>0.58234953703703707</v>
      </c>
      <c r="AK11" s="17">
        <v>42846</v>
      </c>
      <c r="AL11" s="18" t="s">
        <v>3</v>
      </c>
      <c r="AM11" s="14" t="s">
        <v>41</v>
      </c>
      <c r="AN11" s="14" t="s">
        <v>36</v>
      </c>
      <c r="AO11" s="14" t="s">
        <v>46</v>
      </c>
      <c r="AP11" s="14" t="s">
        <v>37</v>
      </c>
      <c r="AQ11" s="14" t="s">
        <v>42</v>
      </c>
      <c r="AR11" s="14" t="s">
        <v>4</v>
      </c>
      <c r="AS11" s="14">
        <v>0</v>
      </c>
      <c r="AT11" s="14">
        <v>0</v>
      </c>
      <c r="AU11" s="14">
        <v>0</v>
      </c>
      <c r="AV11" s="14">
        <v>0</v>
      </c>
      <c r="AW11" s="14"/>
      <c r="AX11" s="14"/>
      <c r="AY11" s="14"/>
      <c r="AZ11" s="14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</row>
    <row r="12" spans="1:66" s="2" customFormat="1" ht="12" customHeight="1" x14ac:dyDescent="0.25">
      <c r="A12" s="9">
        <f t="shared" ref="A12:A75" si="0">IF(G12&gt;0,1,0)</f>
        <v>1</v>
      </c>
      <c r="B12" s="6"/>
      <c r="C12" s="6"/>
      <c r="D12" s="24"/>
      <c r="E12" s="12" t="s">
        <v>38</v>
      </c>
      <c r="F12" s="25">
        <v>0</v>
      </c>
      <c r="G12" s="12" t="s">
        <v>47</v>
      </c>
      <c r="H12" s="12">
        <v>0</v>
      </c>
      <c r="I12" s="12">
        <v>0</v>
      </c>
      <c r="J12" s="12">
        <v>0</v>
      </c>
      <c r="K12" s="12">
        <v>0</v>
      </c>
      <c r="L12" s="13">
        <v>0</v>
      </c>
      <c r="M12" s="13">
        <v>0</v>
      </c>
      <c r="N12" s="12">
        <v>0</v>
      </c>
      <c r="O12" s="12">
        <v>0</v>
      </c>
      <c r="P12" s="12">
        <v>0</v>
      </c>
      <c r="Q12" s="14">
        <v>0</v>
      </c>
      <c r="R12" s="15">
        <v>14600.467199999999</v>
      </c>
      <c r="S12" s="16">
        <v>14600.467199999999</v>
      </c>
      <c r="T12" s="15">
        <v>4443.96</v>
      </c>
      <c r="U12" s="16">
        <v>0</v>
      </c>
      <c r="V12" s="15">
        <v>5090</v>
      </c>
      <c r="W12" s="16">
        <v>0</v>
      </c>
      <c r="X12" s="15">
        <v>1106.096</v>
      </c>
      <c r="Y12" s="16">
        <v>0</v>
      </c>
      <c r="Z12" s="15">
        <v>1527</v>
      </c>
      <c r="AA12" s="16">
        <v>0</v>
      </c>
      <c r="AB12" s="15">
        <v>2433.4112</v>
      </c>
      <c r="AC12" s="16">
        <v>0</v>
      </c>
      <c r="AD12" s="15">
        <v>121.67056000000001</v>
      </c>
      <c r="AE12" s="16">
        <v>0</v>
      </c>
      <c r="AF12" s="15">
        <v>243.34112000000002</v>
      </c>
      <c r="AG12" s="16">
        <v>0</v>
      </c>
      <c r="AH12" s="15">
        <v>0</v>
      </c>
      <c r="AI12" s="15" t="s">
        <v>48</v>
      </c>
      <c r="AJ12" s="14">
        <v>0.49534722222222222</v>
      </c>
      <c r="AK12" s="17">
        <v>42929</v>
      </c>
      <c r="AL12" s="18" t="s">
        <v>40</v>
      </c>
      <c r="AM12" s="14" t="s">
        <v>43</v>
      </c>
      <c r="AN12" s="14" t="s">
        <v>36</v>
      </c>
      <c r="AO12" s="14" t="s">
        <v>49</v>
      </c>
      <c r="AP12" s="14" t="s">
        <v>37</v>
      </c>
      <c r="AQ12" s="14" t="s">
        <v>42</v>
      </c>
      <c r="AR12" s="14" t="s">
        <v>4</v>
      </c>
      <c r="AS12" s="14">
        <v>121.67056000000001</v>
      </c>
      <c r="AT12" s="14">
        <v>0</v>
      </c>
      <c r="AU12" s="14">
        <v>121.67056000000001</v>
      </c>
      <c r="AV12" s="14">
        <v>0</v>
      </c>
      <c r="AW12" s="14"/>
      <c r="AX12" s="14"/>
      <c r="AY12" s="14"/>
      <c r="AZ12" s="14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</row>
    <row r="13" spans="1:66" s="2" customFormat="1" ht="12" customHeight="1" x14ac:dyDescent="0.25">
      <c r="A13" s="9">
        <f t="shared" si="0"/>
        <v>1</v>
      </c>
      <c r="B13" s="6"/>
      <c r="C13" s="6"/>
      <c r="D13" s="24"/>
      <c r="E13" s="12" t="s">
        <v>38</v>
      </c>
      <c r="F13" s="25">
        <v>0</v>
      </c>
      <c r="G13" s="12" t="s">
        <v>50</v>
      </c>
      <c r="H13" s="12">
        <v>0</v>
      </c>
      <c r="I13" s="12">
        <v>0</v>
      </c>
      <c r="J13" s="12">
        <v>0</v>
      </c>
      <c r="K13" s="12">
        <v>0</v>
      </c>
      <c r="L13" s="13">
        <v>0</v>
      </c>
      <c r="M13" s="13">
        <v>0</v>
      </c>
      <c r="N13" s="12">
        <v>0</v>
      </c>
      <c r="O13" s="12">
        <v>0</v>
      </c>
      <c r="P13" s="12">
        <v>0</v>
      </c>
      <c r="Q13" s="14">
        <v>0</v>
      </c>
      <c r="R13" s="15">
        <v>28201.409599999999</v>
      </c>
      <c r="S13" s="16">
        <v>28201.409599999999</v>
      </c>
      <c r="T13" s="15">
        <v>4443.96</v>
      </c>
      <c r="U13" s="16">
        <v>0</v>
      </c>
      <c r="V13" s="15">
        <v>8090</v>
      </c>
      <c r="W13" s="16">
        <v>0</v>
      </c>
      <c r="X13" s="15">
        <v>4488.2879999999996</v>
      </c>
      <c r="Y13" s="16">
        <v>0</v>
      </c>
      <c r="Z13" s="15">
        <v>2427</v>
      </c>
      <c r="AA13" s="16">
        <v>0</v>
      </c>
      <c r="AB13" s="15">
        <v>8752.1615999999995</v>
      </c>
      <c r="AC13" s="16">
        <v>0</v>
      </c>
      <c r="AD13" s="15">
        <v>437.60807999999997</v>
      </c>
      <c r="AE13" s="16">
        <v>0</v>
      </c>
      <c r="AF13" s="15">
        <v>875.21615999999995</v>
      </c>
      <c r="AG13" s="16">
        <v>0</v>
      </c>
      <c r="AH13" s="15">
        <v>0</v>
      </c>
      <c r="AI13" s="15" t="s">
        <v>51</v>
      </c>
      <c r="AJ13" s="14">
        <v>0.50651620370370376</v>
      </c>
      <c r="AK13" s="17">
        <v>42905</v>
      </c>
      <c r="AL13" s="18" t="s">
        <v>40</v>
      </c>
      <c r="AM13" s="14" t="s">
        <v>43</v>
      </c>
      <c r="AN13" s="14" t="s">
        <v>36</v>
      </c>
      <c r="AO13" s="14" t="s">
        <v>52</v>
      </c>
      <c r="AP13" s="14" t="s">
        <v>37</v>
      </c>
      <c r="AQ13" s="14" t="s">
        <v>42</v>
      </c>
      <c r="AR13" s="14" t="s">
        <v>4</v>
      </c>
      <c r="AS13" s="14">
        <v>437.60807999999997</v>
      </c>
      <c r="AT13" s="14">
        <v>0</v>
      </c>
      <c r="AU13" s="14">
        <v>437.60807999999997</v>
      </c>
      <c r="AV13" s="14">
        <v>0</v>
      </c>
      <c r="AW13" s="14"/>
      <c r="AX13" s="14"/>
      <c r="AY13" s="14"/>
      <c r="AZ13" s="14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</row>
    <row r="14" spans="1:66" s="2" customFormat="1" ht="12" customHeight="1" x14ac:dyDescent="0.25">
      <c r="A14" s="9">
        <f t="shared" si="0"/>
        <v>1</v>
      </c>
      <c r="B14" s="6"/>
      <c r="C14" s="6"/>
      <c r="D14" s="24"/>
      <c r="E14" s="12" t="s">
        <v>38</v>
      </c>
      <c r="F14" s="25">
        <v>0</v>
      </c>
      <c r="G14" s="12" t="s">
        <v>53</v>
      </c>
      <c r="H14" s="12">
        <v>0</v>
      </c>
      <c r="I14" s="12">
        <v>0</v>
      </c>
      <c r="J14" s="12">
        <v>0</v>
      </c>
      <c r="K14" s="12">
        <v>0</v>
      </c>
      <c r="L14" s="13">
        <v>0</v>
      </c>
      <c r="M14" s="13">
        <v>0</v>
      </c>
      <c r="N14" s="12">
        <v>0</v>
      </c>
      <c r="O14" s="12">
        <v>0</v>
      </c>
      <c r="P14" s="12">
        <v>0</v>
      </c>
      <c r="Q14" s="14">
        <v>0</v>
      </c>
      <c r="R14" s="15">
        <v>969840.96000000008</v>
      </c>
      <c r="S14" s="16">
        <v>969840.96000000008</v>
      </c>
      <c r="T14" s="15">
        <v>498940</v>
      </c>
      <c r="U14" s="16">
        <v>0</v>
      </c>
      <c r="V14" s="15">
        <v>196490</v>
      </c>
      <c r="W14" s="16">
        <v>0</v>
      </c>
      <c r="X14" s="15">
        <v>73472.800000000003</v>
      </c>
      <c r="Y14" s="16">
        <v>0</v>
      </c>
      <c r="Z14" s="15">
        <v>39298</v>
      </c>
      <c r="AA14" s="16">
        <v>0</v>
      </c>
      <c r="AB14" s="15">
        <v>161640.16000000003</v>
      </c>
      <c r="AC14" s="16">
        <v>0</v>
      </c>
      <c r="AD14" s="15">
        <v>8082.0080000000016</v>
      </c>
      <c r="AE14" s="16">
        <v>0</v>
      </c>
      <c r="AF14" s="15">
        <v>16164.016000000003</v>
      </c>
      <c r="AG14" s="16">
        <v>0</v>
      </c>
      <c r="AH14" s="15">
        <v>0</v>
      </c>
      <c r="AI14" s="15" t="s">
        <v>54</v>
      </c>
      <c r="AJ14" s="14">
        <v>0.35325231481481478</v>
      </c>
      <c r="AK14" s="17">
        <v>42915</v>
      </c>
      <c r="AL14" s="18" t="s">
        <v>40</v>
      </c>
      <c r="AM14" s="14" t="s">
        <v>43</v>
      </c>
      <c r="AN14" s="14" t="s">
        <v>36</v>
      </c>
      <c r="AO14" s="14" t="s">
        <v>55</v>
      </c>
      <c r="AP14" s="14" t="s">
        <v>37</v>
      </c>
      <c r="AQ14" s="14" t="s">
        <v>42</v>
      </c>
      <c r="AR14" s="14" t="s">
        <v>4</v>
      </c>
      <c r="AS14" s="14">
        <v>8082.0080000000016</v>
      </c>
      <c r="AT14" s="14">
        <v>0</v>
      </c>
      <c r="AU14" s="14">
        <v>8082.0080000000016</v>
      </c>
      <c r="AV14" s="14">
        <v>0</v>
      </c>
      <c r="AW14" s="14"/>
      <c r="AX14" s="14"/>
      <c r="AY14" s="14"/>
      <c r="AZ14" s="14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</row>
    <row r="15" spans="1:66" s="2" customFormat="1" ht="12" customHeight="1" x14ac:dyDescent="0.25">
      <c r="A15" s="9">
        <f t="shared" si="0"/>
        <v>1</v>
      </c>
      <c r="B15" s="6"/>
      <c r="C15" s="6"/>
      <c r="D15" s="24"/>
      <c r="E15" s="12" t="s">
        <v>38</v>
      </c>
      <c r="F15" s="25">
        <v>0</v>
      </c>
      <c r="G15" s="12" t="s">
        <v>56</v>
      </c>
      <c r="H15" s="12">
        <v>0</v>
      </c>
      <c r="I15" s="12">
        <v>0</v>
      </c>
      <c r="J15" s="12">
        <v>0</v>
      </c>
      <c r="K15" s="12">
        <v>0</v>
      </c>
      <c r="L15" s="13">
        <v>0</v>
      </c>
      <c r="M15" s="13">
        <v>0</v>
      </c>
      <c r="N15" s="12">
        <v>0</v>
      </c>
      <c r="O15" s="12">
        <v>0</v>
      </c>
      <c r="P15" s="12">
        <v>0</v>
      </c>
      <c r="Q15" s="14">
        <v>0</v>
      </c>
      <c r="R15" s="15">
        <v>183846.96</v>
      </c>
      <c r="S15" s="16">
        <v>183846.96</v>
      </c>
      <c r="T15" s="15">
        <v>110934</v>
      </c>
      <c r="U15" s="16">
        <v>0</v>
      </c>
      <c r="V15" s="15">
        <v>23620</v>
      </c>
      <c r="W15" s="16">
        <v>0</v>
      </c>
      <c r="X15" s="15">
        <v>13927.800000000001</v>
      </c>
      <c r="Y15" s="16">
        <v>0</v>
      </c>
      <c r="Z15" s="15">
        <v>4724</v>
      </c>
      <c r="AA15" s="16">
        <v>0</v>
      </c>
      <c r="AB15" s="15">
        <v>30641.16</v>
      </c>
      <c r="AC15" s="16">
        <v>0</v>
      </c>
      <c r="AD15" s="15">
        <v>1532.058</v>
      </c>
      <c r="AE15" s="16">
        <v>0</v>
      </c>
      <c r="AF15" s="15">
        <v>3064.116</v>
      </c>
      <c r="AG15" s="16">
        <v>0</v>
      </c>
      <c r="AH15" s="15">
        <v>0</v>
      </c>
      <c r="AI15" s="15" t="s">
        <v>57</v>
      </c>
      <c r="AJ15" s="14">
        <v>0.68731481481481482</v>
      </c>
      <c r="AK15" s="17">
        <v>42935</v>
      </c>
      <c r="AL15" s="18" t="s">
        <v>40</v>
      </c>
      <c r="AM15" s="14" t="s">
        <v>43</v>
      </c>
      <c r="AN15" s="14" t="s">
        <v>36</v>
      </c>
      <c r="AO15" s="14" t="s">
        <v>58</v>
      </c>
      <c r="AP15" s="14" t="s">
        <v>37</v>
      </c>
      <c r="AQ15" s="14" t="s">
        <v>42</v>
      </c>
      <c r="AR15" s="14" t="s">
        <v>4</v>
      </c>
      <c r="AS15" s="14">
        <v>1532.058</v>
      </c>
      <c r="AT15" s="14">
        <v>0</v>
      </c>
      <c r="AU15" s="14">
        <v>1532.058</v>
      </c>
      <c r="AV15" s="14">
        <v>0</v>
      </c>
      <c r="AW15" s="14"/>
      <c r="AX15" s="14"/>
      <c r="AY15" s="14"/>
      <c r="AZ15" s="14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</row>
    <row r="16" spans="1:66" s="2" customFormat="1" ht="12" customHeight="1" x14ac:dyDescent="0.25">
      <c r="A16" s="9">
        <f t="shared" si="0"/>
        <v>1</v>
      </c>
      <c r="B16" s="6"/>
      <c r="C16" s="6"/>
      <c r="D16" s="24"/>
      <c r="E16" s="12" t="s">
        <v>38</v>
      </c>
      <c r="F16" s="25">
        <v>0</v>
      </c>
      <c r="G16" s="12" t="s">
        <v>59</v>
      </c>
      <c r="H16" s="12">
        <v>0</v>
      </c>
      <c r="I16" s="12">
        <v>0</v>
      </c>
      <c r="J16" s="12">
        <v>0</v>
      </c>
      <c r="K16" s="12">
        <v>0</v>
      </c>
      <c r="L16" s="13">
        <v>0</v>
      </c>
      <c r="M16" s="13">
        <v>0</v>
      </c>
      <c r="N16" s="12">
        <v>0</v>
      </c>
      <c r="O16" s="12">
        <v>0</v>
      </c>
      <c r="P16" s="12">
        <v>0</v>
      </c>
      <c r="Q16" s="14">
        <v>0</v>
      </c>
      <c r="R16" s="15">
        <v>394934.76</v>
      </c>
      <c r="S16" s="16">
        <v>394934.76</v>
      </c>
      <c r="T16" s="15">
        <v>108834</v>
      </c>
      <c r="U16" s="16">
        <v>0</v>
      </c>
      <c r="V16" s="15">
        <v>146430</v>
      </c>
      <c r="W16" s="16">
        <v>0</v>
      </c>
      <c r="X16" s="15">
        <v>29919.300000000003</v>
      </c>
      <c r="Y16" s="16">
        <v>0</v>
      </c>
      <c r="Z16" s="15">
        <v>43929</v>
      </c>
      <c r="AA16" s="16">
        <v>0</v>
      </c>
      <c r="AB16" s="15">
        <v>65822.460000000006</v>
      </c>
      <c r="AC16" s="16">
        <v>0</v>
      </c>
      <c r="AD16" s="15">
        <v>3291.1230000000005</v>
      </c>
      <c r="AE16" s="16">
        <v>0</v>
      </c>
      <c r="AF16" s="15">
        <v>6582.246000000001</v>
      </c>
      <c r="AG16" s="16">
        <v>0</v>
      </c>
      <c r="AH16" s="15">
        <v>0</v>
      </c>
      <c r="AI16" s="15" t="s">
        <v>60</v>
      </c>
      <c r="AJ16" s="14">
        <v>0.44085648148148149</v>
      </c>
      <c r="AK16" s="17">
        <v>42989</v>
      </c>
      <c r="AL16" s="18" t="s">
        <v>40</v>
      </c>
      <c r="AM16" s="14" t="s">
        <v>43</v>
      </c>
      <c r="AN16" s="14" t="s">
        <v>36</v>
      </c>
      <c r="AO16" s="14" t="s">
        <v>61</v>
      </c>
      <c r="AP16" s="14" t="s">
        <v>37</v>
      </c>
      <c r="AQ16" s="14" t="s">
        <v>42</v>
      </c>
      <c r="AR16" s="14" t="s">
        <v>4</v>
      </c>
      <c r="AS16" s="14">
        <v>3291.1230000000005</v>
      </c>
      <c r="AT16" s="14">
        <v>0</v>
      </c>
      <c r="AU16" s="14">
        <v>3291.1230000000005</v>
      </c>
      <c r="AV16" s="14">
        <v>0</v>
      </c>
      <c r="AW16" s="14"/>
      <c r="AX16" s="14"/>
      <c r="AY16" s="14"/>
      <c r="AZ16" s="14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</row>
    <row r="17" spans="1:66" s="2" customFormat="1" ht="12" customHeight="1" x14ac:dyDescent="0.25">
      <c r="A17" s="9">
        <f t="shared" si="0"/>
        <v>1</v>
      </c>
      <c r="B17" s="6"/>
      <c r="C17" s="6"/>
      <c r="D17" s="24"/>
      <c r="E17" s="12" t="s">
        <v>38</v>
      </c>
      <c r="F17" s="25">
        <v>0</v>
      </c>
      <c r="G17" s="12" t="s">
        <v>62</v>
      </c>
      <c r="H17" s="12">
        <v>0</v>
      </c>
      <c r="I17" s="12">
        <v>0</v>
      </c>
      <c r="J17" s="12">
        <v>0</v>
      </c>
      <c r="K17" s="12">
        <v>0</v>
      </c>
      <c r="L17" s="13">
        <v>0</v>
      </c>
      <c r="M17" s="13">
        <v>0</v>
      </c>
      <c r="N17" s="12">
        <v>0</v>
      </c>
      <c r="O17" s="12">
        <v>0</v>
      </c>
      <c r="P17" s="12">
        <v>0</v>
      </c>
      <c r="Q17" s="14">
        <v>0</v>
      </c>
      <c r="R17" s="15">
        <v>0</v>
      </c>
      <c r="S17" s="16">
        <v>0</v>
      </c>
      <c r="T17" s="15">
        <v>0</v>
      </c>
      <c r="U17" s="16">
        <v>0</v>
      </c>
      <c r="V17" s="15">
        <v>0</v>
      </c>
      <c r="W17" s="16">
        <v>0</v>
      </c>
      <c r="X17" s="15">
        <v>0</v>
      </c>
      <c r="Y17" s="16">
        <v>0</v>
      </c>
      <c r="Z17" s="15">
        <v>0</v>
      </c>
      <c r="AA17" s="16">
        <v>0</v>
      </c>
      <c r="AB17" s="15">
        <v>0</v>
      </c>
      <c r="AC17" s="16">
        <v>0</v>
      </c>
      <c r="AD17" s="15">
        <v>0</v>
      </c>
      <c r="AE17" s="16">
        <v>0</v>
      </c>
      <c r="AF17" s="15">
        <v>0</v>
      </c>
      <c r="AG17" s="16">
        <v>0</v>
      </c>
      <c r="AH17" s="15">
        <v>0</v>
      </c>
      <c r="AI17" s="15" t="s">
        <v>63</v>
      </c>
      <c r="AJ17" s="14">
        <v>0.43828703703703703</v>
      </c>
      <c r="AK17" s="17">
        <v>42992</v>
      </c>
      <c r="AL17" s="18" t="s">
        <v>3</v>
      </c>
      <c r="AM17" s="14" t="s">
        <v>41</v>
      </c>
      <c r="AN17" s="14" t="s">
        <v>36</v>
      </c>
      <c r="AO17" s="14" t="s">
        <v>64</v>
      </c>
      <c r="AP17" s="14" t="s">
        <v>37</v>
      </c>
      <c r="AQ17" s="14" t="s">
        <v>42</v>
      </c>
      <c r="AR17" s="14" t="s">
        <v>4</v>
      </c>
      <c r="AS17" s="14">
        <v>0</v>
      </c>
      <c r="AT17" s="14">
        <v>0</v>
      </c>
      <c r="AU17" s="14">
        <v>0</v>
      </c>
      <c r="AV17" s="14">
        <v>0</v>
      </c>
      <c r="AW17" s="14"/>
      <c r="AX17" s="14"/>
      <c r="AY17" s="14"/>
      <c r="AZ17" s="14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</row>
    <row r="18" spans="1:66" s="2" customFormat="1" ht="12" customHeight="1" x14ac:dyDescent="0.25">
      <c r="A18" s="9">
        <f t="shared" si="0"/>
        <v>1</v>
      </c>
      <c r="B18" s="6"/>
      <c r="C18" s="6"/>
      <c r="D18" s="24"/>
      <c r="E18" s="12" t="s">
        <v>38</v>
      </c>
      <c r="F18" s="25">
        <v>0</v>
      </c>
      <c r="G18" s="12" t="s">
        <v>65</v>
      </c>
      <c r="H18" s="12">
        <v>0</v>
      </c>
      <c r="I18" s="12">
        <v>0</v>
      </c>
      <c r="J18" s="12">
        <v>0</v>
      </c>
      <c r="K18" s="12">
        <v>0</v>
      </c>
      <c r="L18" s="13">
        <v>0</v>
      </c>
      <c r="M18" s="13">
        <v>0</v>
      </c>
      <c r="N18" s="12">
        <v>0</v>
      </c>
      <c r="O18" s="12">
        <v>0</v>
      </c>
      <c r="P18" s="12">
        <v>0</v>
      </c>
      <c r="Q18" s="14">
        <v>0</v>
      </c>
      <c r="R18" s="15">
        <v>1207913.148</v>
      </c>
      <c r="S18" s="16">
        <v>1207913.148</v>
      </c>
      <c r="T18" s="15">
        <v>612707.5</v>
      </c>
      <c r="U18" s="16">
        <v>0</v>
      </c>
      <c r="V18" s="15">
        <v>379250</v>
      </c>
      <c r="W18" s="16">
        <v>0</v>
      </c>
      <c r="X18" s="15">
        <v>92348.099999999991</v>
      </c>
      <c r="Y18" s="16">
        <v>0</v>
      </c>
      <c r="Z18" s="15">
        <v>34132.5</v>
      </c>
      <c r="AA18" s="16">
        <v>0</v>
      </c>
      <c r="AB18" s="15">
        <v>89475.04800000001</v>
      </c>
      <c r="AC18" s="16">
        <v>0</v>
      </c>
      <c r="AD18" s="15">
        <v>4473.7524000000003</v>
      </c>
      <c r="AE18" s="16">
        <v>0</v>
      </c>
      <c r="AF18" s="15">
        <v>8947.5048000000006</v>
      </c>
      <c r="AG18" s="16">
        <v>0</v>
      </c>
      <c r="AH18" s="15">
        <v>0</v>
      </c>
      <c r="AI18" s="15" t="s">
        <v>66</v>
      </c>
      <c r="AJ18" s="14">
        <v>0.38458333333333333</v>
      </c>
      <c r="AK18" s="17">
        <v>43006</v>
      </c>
      <c r="AL18" s="18" t="s">
        <v>40</v>
      </c>
      <c r="AM18" s="14" t="s">
        <v>43</v>
      </c>
      <c r="AN18" s="14" t="s">
        <v>36</v>
      </c>
      <c r="AO18" s="14" t="s">
        <v>67</v>
      </c>
      <c r="AP18" s="14" t="s">
        <v>37</v>
      </c>
      <c r="AQ18" s="14" t="s">
        <v>42</v>
      </c>
      <c r="AR18" s="14" t="s">
        <v>4</v>
      </c>
      <c r="AS18" s="14">
        <v>4473.7524000000003</v>
      </c>
      <c r="AT18" s="14">
        <v>0</v>
      </c>
      <c r="AU18" s="14">
        <v>4473.7524000000003</v>
      </c>
      <c r="AV18" s="14">
        <v>0</v>
      </c>
      <c r="AW18" s="14"/>
      <c r="AX18" s="14"/>
      <c r="AY18" s="14"/>
      <c r="AZ18" s="14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</row>
    <row r="19" spans="1:66" s="2" customFormat="1" ht="12" customHeight="1" x14ac:dyDescent="0.25">
      <c r="A19" s="9">
        <f t="shared" si="0"/>
        <v>1</v>
      </c>
      <c r="B19" s="6"/>
      <c r="C19" s="6"/>
      <c r="D19" s="24"/>
      <c r="E19" s="12" t="s">
        <v>38</v>
      </c>
      <c r="F19" s="25">
        <v>0</v>
      </c>
      <c r="G19" s="12" t="s">
        <v>68</v>
      </c>
      <c r="H19" s="12">
        <v>0</v>
      </c>
      <c r="I19" s="12">
        <v>0</v>
      </c>
      <c r="J19" s="12">
        <v>0</v>
      </c>
      <c r="K19" s="12">
        <v>0</v>
      </c>
      <c r="L19" s="13">
        <v>0</v>
      </c>
      <c r="M19" s="13">
        <v>0</v>
      </c>
      <c r="N19" s="12">
        <v>0</v>
      </c>
      <c r="O19" s="12">
        <v>0</v>
      </c>
      <c r="P19" s="12">
        <v>0</v>
      </c>
      <c r="Q19" s="14">
        <v>0</v>
      </c>
      <c r="R19" s="15">
        <v>666601.31999999995</v>
      </c>
      <c r="S19" s="16">
        <v>666601.31999999995</v>
      </c>
      <c r="T19" s="15">
        <v>370048</v>
      </c>
      <c r="U19" s="16">
        <v>0</v>
      </c>
      <c r="V19" s="15">
        <v>103810</v>
      </c>
      <c r="W19" s="16">
        <v>0</v>
      </c>
      <c r="X19" s="15">
        <v>50500.100000000006</v>
      </c>
      <c r="Y19" s="16">
        <v>0</v>
      </c>
      <c r="Z19" s="15">
        <v>31143</v>
      </c>
      <c r="AA19" s="16">
        <v>0</v>
      </c>
      <c r="AB19" s="15">
        <v>111100.22</v>
      </c>
      <c r="AC19" s="16">
        <v>0</v>
      </c>
      <c r="AD19" s="15">
        <v>5555.0110000000004</v>
      </c>
      <c r="AE19" s="16">
        <v>0</v>
      </c>
      <c r="AF19" s="15">
        <v>11110.022000000001</v>
      </c>
      <c r="AG19" s="16">
        <v>0</v>
      </c>
      <c r="AH19" s="15">
        <v>0</v>
      </c>
      <c r="AI19" s="15" t="s">
        <v>69</v>
      </c>
      <c r="AJ19" s="14">
        <v>0.63313657407407409</v>
      </c>
      <c r="AK19" s="17">
        <v>43007</v>
      </c>
      <c r="AL19" s="18" t="s">
        <v>40</v>
      </c>
      <c r="AM19" s="14" t="s">
        <v>43</v>
      </c>
      <c r="AN19" s="14" t="s">
        <v>36</v>
      </c>
      <c r="AO19" s="14" t="s">
        <v>70</v>
      </c>
      <c r="AP19" s="14" t="s">
        <v>37</v>
      </c>
      <c r="AQ19" s="14" t="s">
        <v>42</v>
      </c>
      <c r="AR19" s="14" t="s">
        <v>4</v>
      </c>
      <c r="AS19" s="14">
        <v>5555.0110000000004</v>
      </c>
      <c r="AT19" s="14">
        <v>0</v>
      </c>
      <c r="AU19" s="14">
        <v>5555.0110000000004</v>
      </c>
      <c r="AV19" s="14">
        <v>0</v>
      </c>
      <c r="AW19" s="14"/>
      <c r="AX19" s="14"/>
      <c r="AY19" s="14"/>
      <c r="AZ19" s="14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</row>
    <row r="20" spans="1:66" s="2" customFormat="1" ht="12" customHeight="1" x14ac:dyDescent="0.25">
      <c r="A20" s="9">
        <f t="shared" si="0"/>
        <v>1</v>
      </c>
      <c r="B20" s="6"/>
      <c r="C20" s="6"/>
      <c r="D20" s="24"/>
      <c r="E20" s="12" t="s">
        <v>38</v>
      </c>
      <c r="F20" s="25">
        <v>0</v>
      </c>
      <c r="G20" s="12" t="s">
        <v>71</v>
      </c>
      <c r="H20" s="12">
        <v>0</v>
      </c>
      <c r="I20" s="12">
        <v>0</v>
      </c>
      <c r="J20" s="12">
        <v>0</v>
      </c>
      <c r="K20" s="12">
        <v>0</v>
      </c>
      <c r="L20" s="13">
        <v>0</v>
      </c>
      <c r="M20" s="13">
        <v>0</v>
      </c>
      <c r="N20" s="12">
        <v>0</v>
      </c>
      <c r="O20" s="12">
        <v>0</v>
      </c>
      <c r="P20" s="12">
        <v>0</v>
      </c>
      <c r="Q20" s="14">
        <v>0</v>
      </c>
      <c r="R20" s="15">
        <v>371911.31999999995</v>
      </c>
      <c r="S20" s="16">
        <v>371911.31999999995</v>
      </c>
      <c r="T20" s="15">
        <v>150048</v>
      </c>
      <c r="U20" s="16">
        <v>0</v>
      </c>
      <c r="V20" s="15">
        <v>101310</v>
      </c>
      <c r="W20" s="16">
        <v>0</v>
      </c>
      <c r="X20" s="15">
        <v>28175.100000000002</v>
      </c>
      <c r="Y20" s="16">
        <v>0</v>
      </c>
      <c r="Z20" s="15">
        <v>30393</v>
      </c>
      <c r="AA20" s="16">
        <v>0</v>
      </c>
      <c r="AB20" s="15">
        <v>61985.22</v>
      </c>
      <c r="AC20" s="16">
        <v>0</v>
      </c>
      <c r="AD20" s="15">
        <v>3099.2610000000004</v>
      </c>
      <c r="AE20" s="16">
        <v>0</v>
      </c>
      <c r="AF20" s="15">
        <v>6198.5220000000008</v>
      </c>
      <c r="AG20" s="16">
        <v>0</v>
      </c>
      <c r="AH20" s="15">
        <v>0</v>
      </c>
      <c r="AI20" s="15" t="s">
        <v>72</v>
      </c>
      <c r="AJ20" s="14">
        <v>0.63516203703703711</v>
      </c>
      <c r="AK20" s="17">
        <v>43007</v>
      </c>
      <c r="AL20" s="18" t="s">
        <v>40</v>
      </c>
      <c r="AM20" s="14" t="s">
        <v>43</v>
      </c>
      <c r="AN20" s="14" t="s">
        <v>36</v>
      </c>
      <c r="AO20" s="14" t="s">
        <v>73</v>
      </c>
      <c r="AP20" s="14" t="s">
        <v>37</v>
      </c>
      <c r="AQ20" s="14" t="s">
        <v>42</v>
      </c>
      <c r="AR20" s="14" t="s">
        <v>4</v>
      </c>
      <c r="AS20" s="14">
        <v>3099.2610000000004</v>
      </c>
      <c r="AT20" s="14">
        <v>0</v>
      </c>
      <c r="AU20" s="14">
        <v>3099.2610000000004</v>
      </c>
      <c r="AV20" s="14">
        <v>0</v>
      </c>
      <c r="AW20" s="14"/>
      <c r="AX20" s="14"/>
      <c r="AY20" s="14"/>
      <c r="AZ20" s="14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</row>
    <row r="21" spans="1:66" s="2" customFormat="1" ht="12" customHeight="1" x14ac:dyDescent="0.25">
      <c r="A21" s="9">
        <f t="shared" si="0"/>
        <v>1</v>
      </c>
      <c r="B21" s="6"/>
      <c r="C21" s="6"/>
      <c r="D21" s="24"/>
      <c r="E21" s="12" t="s">
        <v>38</v>
      </c>
      <c r="F21" s="25">
        <v>0</v>
      </c>
      <c r="G21" s="12" t="s">
        <v>74</v>
      </c>
      <c r="H21" s="12">
        <v>0</v>
      </c>
      <c r="I21" s="12">
        <v>0</v>
      </c>
      <c r="J21" s="12">
        <v>0</v>
      </c>
      <c r="K21" s="12">
        <v>0</v>
      </c>
      <c r="L21" s="13">
        <v>0</v>
      </c>
      <c r="M21" s="13">
        <v>0</v>
      </c>
      <c r="N21" s="12">
        <v>0</v>
      </c>
      <c r="O21" s="12">
        <v>0</v>
      </c>
      <c r="P21" s="12">
        <v>0</v>
      </c>
      <c r="Q21" s="14">
        <v>0</v>
      </c>
      <c r="R21" s="15">
        <v>1912877.7359999998</v>
      </c>
      <c r="S21" s="16">
        <v>1912877.7359999998</v>
      </c>
      <c r="T21" s="15">
        <v>1449149.7999999998</v>
      </c>
      <c r="U21" s="16">
        <v>0</v>
      </c>
      <c r="V21" s="15">
        <v>0</v>
      </c>
      <c r="W21" s="16">
        <v>0</v>
      </c>
      <c r="X21" s="15">
        <v>144914.97999999998</v>
      </c>
      <c r="Y21" s="16">
        <v>0</v>
      </c>
      <c r="Z21" s="15">
        <v>0</v>
      </c>
      <c r="AA21" s="16">
        <v>0</v>
      </c>
      <c r="AB21" s="15">
        <v>318812.95600000001</v>
      </c>
      <c r="AC21" s="16">
        <v>0</v>
      </c>
      <c r="AD21" s="15">
        <v>15940.647800000001</v>
      </c>
      <c r="AE21" s="16">
        <v>0</v>
      </c>
      <c r="AF21" s="15">
        <v>31881.295600000001</v>
      </c>
      <c r="AG21" s="16">
        <v>0</v>
      </c>
      <c r="AH21" s="15">
        <v>0</v>
      </c>
      <c r="AI21" s="15" t="s">
        <v>75</v>
      </c>
      <c r="AJ21" s="14">
        <v>0.61203703703703705</v>
      </c>
      <c r="AK21" s="17">
        <v>43024</v>
      </c>
      <c r="AL21" s="18" t="s">
        <v>40</v>
      </c>
      <c r="AM21" s="14" t="s">
        <v>43</v>
      </c>
      <c r="AN21" s="14" t="s">
        <v>36</v>
      </c>
      <c r="AO21" s="14" t="s">
        <v>76</v>
      </c>
      <c r="AP21" s="14" t="s">
        <v>37</v>
      </c>
      <c r="AQ21" s="14" t="s">
        <v>42</v>
      </c>
      <c r="AR21" s="14" t="s">
        <v>4</v>
      </c>
      <c r="AS21" s="14">
        <v>15940.647800000001</v>
      </c>
      <c r="AT21" s="14">
        <v>0</v>
      </c>
      <c r="AU21" s="14">
        <v>15940.647800000001</v>
      </c>
      <c r="AV21" s="14">
        <v>0</v>
      </c>
      <c r="AW21" s="14"/>
      <c r="AX21" s="14"/>
      <c r="AY21" s="14"/>
      <c r="AZ21" s="14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</row>
    <row r="22" spans="1:66" s="2" customFormat="1" ht="12" customHeight="1" x14ac:dyDescent="0.25">
      <c r="A22" s="9">
        <f t="shared" si="0"/>
        <v>1</v>
      </c>
      <c r="B22" s="6"/>
      <c r="C22" s="6"/>
      <c r="D22" s="24"/>
      <c r="E22" s="12" t="s">
        <v>38</v>
      </c>
      <c r="F22" s="25">
        <v>0</v>
      </c>
      <c r="G22" s="12" t="s">
        <v>77</v>
      </c>
      <c r="H22" s="12">
        <v>0</v>
      </c>
      <c r="I22" s="12">
        <v>0</v>
      </c>
      <c r="J22" s="12">
        <v>0</v>
      </c>
      <c r="K22" s="12">
        <v>0</v>
      </c>
      <c r="L22" s="13">
        <v>0</v>
      </c>
      <c r="M22" s="13">
        <v>0</v>
      </c>
      <c r="N22" s="12">
        <v>0</v>
      </c>
      <c r="O22" s="12">
        <v>0</v>
      </c>
      <c r="P22" s="12">
        <v>0</v>
      </c>
      <c r="Q22" s="14">
        <v>0</v>
      </c>
      <c r="R22" s="15">
        <v>53822.908015200002</v>
      </c>
      <c r="S22" s="16">
        <v>53822.908015200002</v>
      </c>
      <c r="T22" s="15">
        <v>15690</v>
      </c>
      <c r="U22" s="16">
        <v>0</v>
      </c>
      <c r="V22" s="15">
        <v>18010.86</v>
      </c>
      <c r="W22" s="16">
        <v>0</v>
      </c>
      <c r="X22" s="15">
        <v>4301.45298</v>
      </c>
      <c r="Y22" s="16">
        <v>0</v>
      </c>
      <c r="Z22" s="15">
        <v>5403.2579999999998</v>
      </c>
      <c r="AA22" s="16">
        <v>0</v>
      </c>
      <c r="AB22" s="15">
        <v>10417.3370352</v>
      </c>
      <c r="AC22" s="16">
        <v>0</v>
      </c>
      <c r="AD22" s="15">
        <v>520.86685176000003</v>
      </c>
      <c r="AE22" s="16">
        <v>0</v>
      </c>
      <c r="AF22" s="15">
        <v>1041.7337035200001</v>
      </c>
      <c r="AG22" s="16">
        <v>0</v>
      </c>
      <c r="AH22" s="15">
        <v>0</v>
      </c>
      <c r="AI22" s="15" t="s">
        <v>78</v>
      </c>
      <c r="AJ22" s="14">
        <v>0.39946759259259257</v>
      </c>
      <c r="AK22" s="17">
        <v>43111</v>
      </c>
      <c r="AL22" s="18" t="s">
        <v>40</v>
      </c>
      <c r="AM22" s="14" t="s">
        <v>43</v>
      </c>
      <c r="AN22" s="14" t="s">
        <v>36</v>
      </c>
      <c r="AO22" s="14" t="s">
        <v>79</v>
      </c>
      <c r="AP22" s="14" t="s">
        <v>37</v>
      </c>
      <c r="AQ22" s="14" t="s">
        <v>42</v>
      </c>
      <c r="AR22" s="14" t="s">
        <v>4</v>
      </c>
      <c r="AS22" s="14">
        <v>520.86685176000003</v>
      </c>
      <c r="AT22" s="14">
        <v>0</v>
      </c>
      <c r="AU22" s="14">
        <v>520.86685176000003</v>
      </c>
      <c r="AV22" s="14">
        <v>0</v>
      </c>
      <c r="AW22" s="14"/>
      <c r="AX22" s="14"/>
      <c r="AY22" s="14"/>
      <c r="AZ22" s="14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</row>
    <row r="23" spans="1:66" s="2" customFormat="1" ht="12" customHeight="1" x14ac:dyDescent="0.25">
      <c r="A23" s="9">
        <f t="shared" si="0"/>
        <v>1</v>
      </c>
      <c r="B23" s="6"/>
      <c r="C23" s="6"/>
      <c r="D23" s="24"/>
      <c r="E23" s="12" t="s">
        <v>38</v>
      </c>
      <c r="F23" s="25">
        <v>0</v>
      </c>
      <c r="G23" s="12" t="s">
        <v>80</v>
      </c>
      <c r="H23" s="12">
        <v>0</v>
      </c>
      <c r="I23" s="12">
        <v>0</v>
      </c>
      <c r="J23" s="12">
        <v>0</v>
      </c>
      <c r="K23" s="12">
        <v>0</v>
      </c>
      <c r="L23" s="13">
        <v>0</v>
      </c>
      <c r="M23" s="13">
        <v>0</v>
      </c>
      <c r="N23" s="12">
        <v>0</v>
      </c>
      <c r="O23" s="12">
        <v>0</v>
      </c>
      <c r="P23" s="12">
        <v>0</v>
      </c>
      <c r="Q23" s="14">
        <v>0</v>
      </c>
      <c r="R23" s="15">
        <v>7696831.1069999998</v>
      </c>
      <c r="S23" s="16">
        <v>7696831.1069999998</v>
      </c>
      <c r="T23" s="15">
        <v>5170762</v>
      </c>
      <c r="U23" s="16">
        <v>0</v>
      </c>
      <c r="V23" s="15">
        <v>1600000</v>
      </c>
      <c r="W23" s="16">
        <v>0</v>
      </c>
      <c r="X23" s="15">
        <v>342538.10000000003</v>
      </c>
      <c r="Y23" s="16">
        <v>0</v>
      </c>
      <c r="Z23" s="15">
        <v>80000</v>
      </c>
      <c r="AA23" s="16">
        <v>0</v>
      </c>
      <c r="AB23" s="15">
        <v>503531.00700000004</v>
      </c>
      <c r="AC23" s="16">
        <v>0</v>
      </c>
      <c r="AD23" s="15">
        <v>25176.550350000005</v>
      </c>
      <c r="AE23" s="16">
        <v>0</v>
      </c>
      <c r="AF23" s="15">
        <v>50353.10070000001</v>
      </c>
      <c r="AG23" s="16">
        <v>0</v>
      </c>
      <c r="AH23" s="15">
        <v>0</v>
      </c>
      <c r="AI23" s="15" t="s">
        <v>81</v>
      </c>
      <c r="AJ23" s="14">
        <v>0.64556712962962959</v>
      </c>
      <c r="AK23" s="17">
        <v>43031</v>
      </c>
      <c r="AL23" s="18" t="s">
        <v>40</v>
      </c>
      <c r="AM23" s="14" t="s">
        <v>43</v>
      </c>
      <c r="AN23" s="14" t="s">
        <v>36</v>
      </c>
      <c r="AO23" s="14" t="s">
        <v>82</v>
      </c>
      <c r="AP23" s="14" t="s">
        <v>37</v>
      </c>
      <c r="AQ23" s="14" t="s">
        <v>42</v>
      </c>
      <c r="AR23" s="14" t="s">
        <v>4</v>
      </c>
      <c r="AS23" s="14">
        <v>25176.550350000005</v>
      </c>
      <c r="AT23" s="14">
        <v>0</v>
      </c>
      <c r="AU23" s="14">
        <v>25176.550350000005</v>
      </c>
      <c r="AV23" s="14">
        <v>0</v>
      </c>
      <c r="AW23" s="14"/>
      <c r="AX23" s="14"/>
      <c r="AY23" s="14"/>
      <c r="AZ23" s="14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</row>
    <row r="24" spans="1:66" s="2" customFormat="1" ht="12" customHeight="1" x14ac:dyDescent="0.25">
      <c r="A24" s="9">
        <f t="shared" si="0"/>
        <v>1</v>
      </c>
      <c r="B24" s="6"/>
      <c r="C24" s="6"/>
      <c r="D24" s="24"/>
      <c r="E24" s="12" t="s">
        <v>38</v>
      </c>
      <c r="F24" s="25">
        <v>0</v>
      </c>
      <c r="G24" s="12" t="s">
        <v>83</v>
      </c>
      <c r="H24" s="12">
        <v>0</v>
      </c>
      <c r="I24" s="12">
        <v>0</v>
      </c>
      <c r="J24" s="12">
        <v>0</v>
      </c>
      <c r="K24" s="12">
        <v>0</v>
      </c>
      <c r="L24" s="13">
        <v>0</v>
      </c>
      <c r="M24" s="13">
        <v>0</v>
      </c>
      <c r="N24" s="12">
        <v>0</v>
      </c>
      <c r="O24" s="12">
        <v>0</v>
      </c>
      <c r="P24" s="12">
        <v>0</v>
      </c>
      <c r="Q24" s="14">
        <v>0</v>
      </c>
      <c r="R24" s="15">
        <v>3899530.29995025</v>
      </c>
      <c r="S24" s="16">
        <v>3899530.29995025</v>
      </c>
      <c r="T24" s="15">
        <v>2432201</v>
      </c>
      <c r="U24" s="16">
        <v>0</v>
      </c>
      <c r="V24" s="15">
        <v>989215.23</v>
      </c>
      <c r="W24" s="16">
        <v>0</v>
      </c>
      <c r="X24" s="15">
        <v>173543.849575</v>
      </c>
      <c r="Y24" s="16">
        <v>0</v>
      </c>
      <c r="Z24" s="15">
        <v>49460.761500000001</v>
      </c>
      <c r="AA24" s="16">
        <v>0</v>
      </c>
      <c r="AB24" s="15">
        <v>255109.45887525001</v>
      </c>
      <c r="AC24" s="16">
        <v>0</v>
      </c>
      <c r="AD24" s="15">
        <v>12755.472943762501</v>
      </c>
      <c r="AE24" s="16">
        <v>0</v>
      </c>
      <c r="AF24" s="15">
        <v>25510.945887525002</v>
      </c>
      <c r="AG24" s="16">
        <v>0</v>
      </c>
      <c r="AH24" s="15">
        <v>0</v>
      </c>
      <c r="AI24" s="15" t="s">
        <v>84</v>
      </c>
      <c r="AJ24" s="14">
        <v>0.41498842592592594</v>
      </c>
      <c r="AK24" s="17">
        <v>43034</v>
      </c>
      <c r="AL24" s="18" t="s">
        <v>40</v>
      </c>
      <c r="AM24" s="14" t="s">
        <v>43</v>
      </c>
      <c r="AN24" s="14" t="s">
        <v>36</v>
      </c>
      <c r="AO24" s="14" t="s">
        <v>85</v>
      </c>
      <c r="AP24" s="14" t="s">
        <v>37</v>
      </c>
      <c r="AQ24" s="14" t="s">
        <v>42</v>
      </c>
      <c r="AR24" s="14" t="s">
        <v>4</v>
      </c>
      <c r="AS24" s="14">
        <v>12755.472943762501</v>
      </c>
      <c r="AT24" s="14">
        <v>0</v>
      </c>
      <c r="AU24" s="14">
        <v>12755.472943762501</v>
      </c>
      <c r="AV24" s="14">
        <v>0</v>
      </c>
      <c r="AW24" s="14"/>
      <c r="AX24" s="14"/>
      <c r="AY24" s="14"/>
      <c r="AZ24" s="14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</row>
    <row r="25" spans="1:66" s="2" customFormat="1" ht="12" customHeight="1" x14ac:dyDescent="0.25">
      <c r="A25" s="9">
        <f t="shared" si="0"/>
        <v>1</v>
      </c>
      <c r="B25" s="6"/>
      <c r="C25" s="6"/>
      <c r="D25" s="24"/>
      <c r="E25" s="12" t="s">
        <v>38</v>
      </c>
      <c r="F25" s="25">
        <v>0</v>
      </c>
      <c r="G25" s="12" t="s">
        <v>86</v>
      </c>
      <c r="H25" s="12">
        <v>0</v>
      </c>
      <c r="I25" s="12">
        <v>0</v>
      </c>
      <c r="J25" s="12">
        <v>0</v>
      </c>
      <c r="K25" s="12">
        <v>0</v>
      </c>
      <c r="L25" s="13">
        <v>0</v>
      </c>
      <c r="M25" s="13">
        <v>0</v>
      </c>
      <c r="N25" s="12">
        <v>0</v>
      </c>
      <c r="O25" s="12">
        <v>0</v>
      </c>
      <c r="P25" s="12">
        <v>0</v>
      </c>
      <c r="Q25" s="14">
        <v>0</v>
      </c>
      <c r="R25" s="15">
        <v>0</v>
      </c>
      <c r="S25" s="16">
        <v>0</v>
      </c>
      <c r="T25" s="15">
        <v>0</v>
      </c>
      <c r="U25" s="16">
        <v>0</v>
      </c>
      <c r="V25" s="15">
        <v>0</v>
      </c>
      <c r="W25" s="16">
        <v>0</v>
      </c>
      <c r="X25" s="15">
        <v>0</v>
      </c>
      <c r="Y25" s="16">
        <v>0</v>
      </c>
      <c r="Z25" s="15">
        <v>0</v>
      </c>
      <c r="AA25" s="16">
        <v>0</v>
      </c>
      <c r="AB25" s="15">
        <v>0</v>
      </c>
      <c r="AC25" s="16">
        <v>0</v>
      </c>
      <c r="AD25" s="15">
        <v>0</v>
      </c>
      <c r="AE25" s="16">
        <v>0</v>
      </c>
      <c r="AF25" s="15">
        <v>0</v>
      </c>
      <c r="AG25" s="16">
        <v>0</v>
      </c>
      <c r="AH25" s="15">
        <v>0</v>
      </c>
      <c r="AI25" s="15" t="s">
        <v>87</v>
      </c>
      <c r="AJ25" s="14">
        <v>0.67254629629629636</v>
      </c>
      <c r="AK25" s="17">
        <v>43040</v>
      </c>
      <c r="AL25" s="18" t="s">
        <v>3</v>
      </c>
      <c r="AM25" s="14" t="s">
        <v>41</v>
      </c>
      <c r="AN25" s="14" t="s">
        <v>36</v>
      </c>
      <c r="AO25" s="14" t="s">
        <v>88</v>
      </c>
      <c r="AP25" s="14" t="s">
        <v>37</v>
      </c>
      <c r="AQ25" s="14" t="s">
        <v>42</v>
      </c>
      <c r="AR25" s="14" t="s">
        <v>4</v>
      </c>
      <c r="AS25" s="14">
        <v>0</v>
      </c>
      <c r="AT25" s="14">
        <v>0</v>
      </c>
      <c r="AU25" s="14">
        <v>0</v>
      </c>
      <c r="AV25" s="14">
        <v>0</v>
      </c>
      <c r="AW25" s="14"/>
      <c r="AX25" s="14"/>
      <c r="AY25" s="14"/>
      <c r="AZ25" s="14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</row>
    <row r="26" spans="1:66" s="2" customFormat="1" ht="12" customHeight="1" x14ac:dyDescent="0.25">
      <c r="A26" s="9">
        <f t="shared" si="0"/>
        <v>1</v>
      </c>
      <c r="B26" s="6"/>
      <c r="C26" s="6"/>
      <c r="D26" s="24"/>
      <c r="E26" s="12" t="s">
        <v>38</v>
      </c>
      <c r="F26" s="25">
        <v>0</v>
      </c>
      <c r="G26" s="12" t="s">
        <v>89</v>
      </c>
      <c r="H26" s="12">
        <v>0</v>
      </c>
      <c r="I26" s="12">
        <v>0</v>
      </c>
      <c r="J26" s="12">
        <v>0</v>
      </c>
      <c r="K26" s="12">
        <v>0</v>
      </c>
      <c r="L26" s="13">
        <v>0</v>
      </c>
      <c r="M26" s="13">
        <v>0</v>
      </c>
      <c r="N26" s="12">
        <v>0</v>
      </c>
      <c r="O26" s="12">
        <v>0</v>
      </c>
      <c r="P26" s="12">
        <v>0</v>
      </c>
      <c r="Q26" s="14">
        <v>0</v>
      </c>
      <c r="R26" s="15">
        <v>1381366.6041410002</v>
      </c>
      <c r="S26" s="16">
        <v>1381366.6041410002</v>
      </c>
      <c r="T26" s="15">
        <v>661816</v>
      </c>
      <c r="U26" s="16">
        <v>0</v>
      </c>
      <c r="V26" s="15">
        <v>509087</v>
      </c>
      <c r="W26" s="16">
        <v>0</v>
      </c>
      <c r="X26" s="15">
        <v>84457.736300000019</v>
      </c>
      <c r="Y26" s="16">
        <v>0</v>
      </c>
      <c r="Z26" s="15">
        <v>35636.090000000004</v>
      </c>
      <c r="AA26" s="16">
        <v>0</v>
      </c>
      <c r="AB26" s="15">
        <v>90369.777841000017</v>
      </c>
      <c r="AC26" s="16">
        <v>0</v>
      </c>
      <c r="AD26" s="15">
        <v>0</v>
      </c>
      <c r="AE26" s="16">
        <v>0</v>
      </c>
      <c r="AF26" s="15">
        <v>0</v>
      </c>
      <c r="AG26" s="16">
        <v>0</v>
      </c>
      <c r="AH26" s="15">
        <v>0</v>
      </c>
      <c r="AI26" s="15" t="s">
        <v>90</v>
      </c>
      <c r="AJ26" s="14">
        <v>0.62795138888888891</v>
      </c>
      <c r="AK26" s="17">
        <v>43069</v>
      </c>
      <c r="AL26" s="18" t="s">
        <v>40</v>
      </c>
      <c r="AM26" s="14" t="s">
        <v>43</v>
      </c>
      <c r="AN26" s="14" t="s">
        <v>36</v>
      </c>
      <c r="AO26" s="14" t="s">
        <v>91</v>
      </c>
      <c r="AP26" s="14" t="s">
        <v>37</v>
      </c>
      <c r="AQ26" s="14" t="s">
        <v>92</v>
      </c>
      <c r="AR26" s="14" t="s">
        <v>4</v>
      </c>
      <c r="AS26" s="14">
        <v>0</v>
      </c>
      <c r="AT26" s="14">
        <v>0</v>
      </c>
      <c r="AU26" s="14">
        <v>0</v>
      </c>
      <c r="AV26" s="14">
        <v>0</v>
      </c>
      <c r="AW26" s="14"/>
      <c r="AX26" s="14"/>
      <c r="AY26" s="14"/>
      <c r="AZ26" s="14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</row>
    <row r="27" spans="1:66" s="2" customFormat="1" ht="12" customHeight="1" x14ac:dyDescent="0.25">
      <c r="A27" s="9">
        <f t="shared" si="0"/>
        <v>1</v>
      </c>
      <c r="B27" s="6"/>
      <c r="C27" s="6"/>
      <c r="D27" s="24"/>
      <c r="E27" s="12" t="s">
        <v>38</v>
      </c>
      <c r="F27" s="25">
        <v>0</v>
      </c>
      <c r="G27" s="12" t="s">
        <v>93</v>
      </c>
      <c r="H27" s="12">
        <v>0</v>
      </c>
      <c r="I27" s="12">
        <v>0</v>
      </c>
      <c r="J27" s="12">
        <v>0</v>
      </c>
      <c r="K27" s="12">
        <v>0</v>
      </c>
      <c r="L27" s="13">
        <v>0</v>
      </c>
      <c r="M27" s="13">
        <v>0</v>
      </c>
      <c r="N27" s="12">
        <v>0</v>
      </c>
      <c r="O27" s="12">
        <v>0</v>
      </c>
      <c r="P27" s="12">
        <v>0</v>
      </c>
      <c r="Q27" s="14">
        <v>0</v>
      </c>
      <c r="R27" s="15">
        <v>2001285.1427550002</v>
      </c>
      <c r="S27" s="16">
        <v>2001285.1427550002</v>
      </c>
      <c r="T27" s="15">
        <v>949368</v>
      </c>
      <c r="U27" s="16">
        <v>0</v>
      </c>
      <c r="V27" s="15">
        <v>746385</v>
      </c>
      <c r="W27" s="16">
        <v>0</v>
      </c>
      <c r="X27" s="15">
        <v>122359.99650000001</v>
      </c>
      <c r="Y27" s="16">
        <v>0</v>
      </c>
      <c r="Z27" s="15">
        <v>52246.950000000004</v>
      </c>
      <c r="AA27" s="16">
        <v>0</v>
      </c>
      <c r="AB27" s="15">
        <v>130925.19625500002</v>
      </c>
      <c r="AC27" s="16">
        <v>0</v>
      </c>
      <c r="AD27" s="15">
        <v>0</v>
      </c>
      <c r="AE27" s="16">
        <v>0</v>
      </c>
      <c r="AF27" s="15">
        <v>0</v>
      </c>
      <c r="AG27" s="16">
        <v>0</v>
      </c>
      <c r="AH27" s="15">
        <v>0</v>
      </c>
      <c r="AI27" s="15" t="s">
        <v>94</v>
      </c>
      <c r="AJ27" s="14">
        <v>0.62827546296296299</v>
      </c>
      <c r="AK27" s="17">
        <v>43069</v>
      </c>
      <c r="AL27" s="18" t="s">
        <v>40</v>
      </c>
      <c r="AM27" s="14" t="s">
        <v>43</v>
      </c>
      <c r="AN27" s="14" t="s">
        <v>36</v>
      </c>
      <c r="AO27" s="14" t="s">
        <v>95</v>
      </c>
      <c r="AP27" s="14" t="s">
        <v>37</v>
      </c>
      <c r="AQ27" s="14" t="s">
        <v>92</v>
      </c>
      <c r="AR27" s="14" t="s">
        <v>4</v>
      </c>
      <c r="AS27" s="14">
        <v>0</v>
      </c>
      <c r="AT27" s="14">
        <v>0</v>
      </c>
      <c r="AU27" s="14">
        <v>0</v>
      </c>
      <c r="AV27" s="14">
        <v>0</v>
      </c>
      <c r="AW27" s="14"/>
      <c r="AX27" s="14"/>
      <c r="AY27" s="14"/>
      <c r="AZ27" s="14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</row>
    <row r="28" spans="1:66" s="2" customFormat="1" ht="12" customHeight="1" x14ac:dyDescent="0.25">
      <c r="A28" s="9">
        <f t="shared" si="0"/>
        <v>1</v>
      </c>
      <c r="B28" s="6"/>
      <c r="C28" s="6"/>
      <c r="D28" s="24"/>
      <c r="E28" s="12" t="s">
        <v>38</v>
      </c>
      <c r="F28" s="25">
        <v>0</v>
      </c>
      <c r="G28" s="12" t="s">
        <v>96</v>
      </c>
      <c r="H28" s="12">
        <v>0</v>
      </c>
      <c r="I28" s="12">
        <v>0</v>
      </c>
      <c r="J28" s="12">
        <v>0</v>
      </c>
      <c r="K28" s="12">
        <v>0</v>
      </c>
      <c r="L28" s="13">
        <v>0</v>
      </c>
      <c r="M28" s="13">
        <v>0</v>
      </c>
      <c r="N28" s="12">
        <v>0</v>
      </c>
      <c r="O28" s="12">
        <v>0</v>
      </c>
      <c r="P28" s="12">
        <v>0</v>
      </c>
      <c r="Q28" s="14">
        <v>0</v>
      </c>
      <c r="R28" s="15">
        <v>2941085.84</v>
      </c>
      <c r="S28" s="16">
        <v>2941085.84</v>
      </c>
      <c r="T28" s="15">
        <v>1698832</v>
      </c>
      <c r="U28" s="16">
        <v>0</v>
      </c>
      <c r="V28" s="15">
        <v>625830</v>
      </c>
      <c r="W28" s="16">
        <v>0</v>
      </c>
      <c r="X28" s="15">
        <v>238724.5</v>
      </c>
      <c r="Y28" s="16">
        <v>0</v>
      </c>
      <c r="Z28" s="15">
        <v>62583</v>
      </c>
      <c r="AA28" s="16">
        <v>0</v>
      </c>
      <c r="AB28" s="15">
        <v>315116.33999999997</v>
      </c>
      <c r="AC28" s="16">
        <v>0</v>
      </c>
      <c r="AD28" s="15">
        <v>15755.816999999999</v>
      </c>
      <c r="AE28" s="16">
        <v>0</v>
      </c>
      <c r="AF28" s="15">
        <v>31511.633999999998</v>
      </c>
      <c r="AG28" s="16">
        <v>0</v>
      </c>
      <c r="AH28" s="15">
        <v>0</v>
      </c>
      <c r="AI28" s="15" t="s">
        <v>97</v>
      </c>
      <c r="AJ28" s="14">
        <v>0.6567708333333333</v>
      </c>
      <c r="AK28" s="17">
        <v>43067</v>
      </c>
      <c r="AL28" s="18" t="s">
        <v>3</v>
      </c>
      <c r="AM28" s="14" t="s">
        <v>41</v>
      </c>
      <c r="AN28" s="14" t="s">
        <v>36</v>
      </c>
      <c r="AO28" s="14" t="s">
        <v>98</v>
      </c>
      <c r="AP28" s="14" t="s">
        <v>37</v>
      </c>
      <c r="AQ28" s="14" t="s">
        <v>42</v>
      </c>
      <c r="AR28" s="14" t="s">
        <v>4</v>
      </c>
      <c r="AS28" s="14">
        <v>15755.816999999999</v>
      </c>
      <c r="AT28" s="14">
        <v>0</v>
      </c>
      <c r="AU28" s="14">
        <v>15755.816999999999</v>
      </c>
      <c r="AV28" s="14">
        <v>0</v>
      </c>
      <c r="AW28" s="14"/>
      <c r="AX28" s="14"/>
      <c r="AY28" s="14"/>
      <c r="AZ28" s="14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</row>
    <row r="29" spans="1:66" s="2" customFormat="1" ht="12" customHeight="1" x14ac:dyDescent="0.25">
      <c r="A29" s="9">
        <f t="shared" si="0"/>
        <v>1</v>
      </c>
      <c r="B29" s="6"/>
      <c r="C29" s="6"/>
      <c r="D29" s="24"/>
      <c r="E29" s="12" t="s">
        <v>38</v>
      </c>
      <c r="F29" s="25">
        <v>0</v>
      </c>
      <c r="G29" s="12" t="s">
        <v>99</v>
      </c>
      <c r="H29" s="12">
        <v>0</v>
      </c>
      <c r="I29" s="12">
        <v>0</v>
      </c>
      <c r="J29" s="12">
        <v>0</v>
      </c>
      <c r="K29" s="12">
        <v>0</v>
      </c>
      <c r="L29" s="13">
        <v>0</v>
      </c>
      <c r="M29" s="13">
        <v>0</v>
      </c>
      <c r="N29" s="12">
        <v>0</v>
      </c>
      <c r="O29" s="12">
        <v>0</v>
      </c>
      <c r="P29" s="12">
        <v>0</v>
      </c>
      <c r="Q29" s="14">
        <v>0</v>
      </c>
      <c r="R29" s="15">
        <v>537129.12</v>
      </c>
      <c r="S29" s="16">
        <v>537129.12</v>
      </c>
      <c r="T29" s="15">
        <v>230780</v>
      </c>
      <c r="U29" s="16">
        <v>0</v>
      </c>
      <c r="V29" s="15">
        <v>146780</v>
      </c>
      <c r="W29" s="16">
        <v>0</v>
      </c>
      <c r="X29" s="15">
        <v>40691.600000000006</v>
      </c>
      <c r="Y29" s="16">
        <v>0</v>
      </c>
      <c r="Z29" s="15">
        <v>29356</v>
      </c>
      <c r="AA29" s="16">
        <v>0</v>
      </c>
      <c r="AB29" s="15">
        <v>89521.52</v>
      </c>
      <c r="AC29" s="16">
        <v>0</v>
      </c>
      <c r="AD29" s="15">
        <v>4476.076</v>
      </c>
      <c r="AE29" s="16">
        <v>0</v>
      </c>
      <c r="AF29" s="15">
        <v>8952.152</v>
      </c>
      <c r="AG29" s="16">
        <v>0</v>
      </c>
      <c r="AH29" s="15">
        <v>0</v>
      </c>
      <c r="AI29" s="15" t="s">
        <v>100</v>
      </c>
      <c r="AJ29" s="14">
        <v>0.68917824074074074</v>
      </c>
      <c r="AK29" s="17">
        <v>43067</v>
      </c>
      <c r="AL29" s="18" t="s">
        <v>3</v>
      </c>
      <c r="AM29" s="14" t="s">
        <v>41</v>
      </c>
      <c r="AN29" s="14" t="s">
        <v>36</v>
      </c>
      <c r="AO29" s="14" t="s">
        <v>101</v>
      </c>
      <c r="AP29" s="14" t="s">
        <v>37</v>
      </c>
      <c r="AQ29" s="14" t="s">
        <v>42</v>
      </c>
      <c r="AR29" s="14" t="s">
        <v>4</v>
      </c>
      <c r="AS29" s="14">
        <v>4476.076</v>
      </c>
      <c r="AT29" s="14">
        <v>0</v>
      </c>
      <c r="AU29" s="14">
        <v>4476.076</v>
      </c>
      <c r="AV29" s="14">
        <v>0</v>
      </c>
      <c r="AW29" s="14"/>
      <c r="AX29" s="14"/>
      <c r="AY29" s="14"/>
      <c r="AZ29" s="14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</row>
    <row r="30" spans="1:66" s="2" customFormat="1" ht="12" customHeight="1" x14ac:dyDescent="0.25">
      <c r="A30" s="9">
        <f t="shared" si="0"/>
        <v>1</v>
      </c>
      <c r="B30" s="6"/>
      <c r="C30" s="6"/>
      <c r="D30" s="24"/>
      <c r="E30" s="12" t="s">
        <v>38</v>
      </c>
      <c r="F30" s="25">
        <v>0</v>
      </c>
      <c r="G30" s="12" t="s">
        <v>102</v>
      </c>
      <c r="H30" s="12">
        <v>0</v>
      </c>
      <c r="I30" s="12">
        <v>0</v>
      </c>
      <c r="J30" s="12">
        <v>0</v>
      </c>
      <c r="K30" s="12">
        <v>0</v>
      </c>
      <c r="L30" s="13">
        <v>0</v>
      </c>
      <c r="M30" s="13">
        <v>0</v>
      </c>
      <c r="N30" s="12">
        <v>0</v>
      </c>
      <c r="O30" s="12">
        <v>0</v>
      </c>
      <c r="P30" s="12">
        <v>0</v>
      </c>
      <c r="Q30" s="14">
        <v>0</v>
      </c>
      <c r="R30" s="15">
        <v>472606.53</v>
      </c>
      <c r="S30" s="16">
        <v>472606.53</v>
      </c>
      <c r="T30" s="15">
        <v>188758</v>
      </c>
      <c r="U30" s="16">
        <v>0</v>
      </c>
      <c r="V30" s="15">
        <v>168040</v>
      </c>
      <c r="W30" s="16">
        <v>0</v>
      </c>
      <c r="X30" s="15">
        <v>37360.200000000004</v>
      </c>
      <c r="Y30" s="16">
        <v>0</v>
      </c>
      <c r="Z30" s="15">
        <v>16804</v>
      </c>
      <c r="AA30" s="16">
        <v>0</v>
      </c>
      <c r="AB30" s="15">
        <v>61644.33</v>
      </c>
      <c r="AC30" s="16">
        <v>0</v>
      </c>
      <c r="AD30" s="15">
        <v>0</v>
      </c>
      <c r="AE30" s="16">
        <v>0</v>
      </c>
      <c r="AF30" s="15">
        <v>0</v>
      </c>
      <c r="AG30" s="16">
        <v>0</v>
      </c>
      <c r="AH30" s="15">
        <v>0</v>
      </c>
      <c r="AI30" s="15" t="s">
        <v>103</v>
      </c>
      <c r="AJ30" s="14">
        <v>0.36221064814814818</v>
      </c>
      <c r="AK30" s="17">
        <v>43249</v>
      </c>
      <c r="AL30" s="18" t="s">
        <v>40</v>
      </c>
      <c r="AM30" s="14" t="s">
        <v>43</v>
      </c>
      <c r="AN30" s="14" t="s">
        <v>36</v>
      </c>
      <c r="AO30" s="14" t="s">
        <v>104</v>
      </c>
      <c r="AP30" s="14" t="s">
        <v>37</v>
      </c>
      <c r="AQ30" s="14" t="s">
        <v>92</v>
      </c>
      <c r="AR30" s="14" t="s">
        <v>4</v>
      </c>
      <c r="AS30" s="14">
        <v>0</v>
      </c>
      <c r="AT30" s="14">
        <v>0</v>
      </c>
      <c r="AU30" s="14">
        <v>0</v>
      </c>
      <c r="AV30" s="14">
        <v>0</v>
      </c>
      <c r="AW30" s="14"/>
      <c r="AX30" s="14"/>
      <c r="AY30" s="14"/>
      <c r="AZ30" s="14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</row>
    <row r="31" spans="1:66" s="2" customFormat="1" ht="12" customHeight="1" x14ac:dyDescent="0.25">
      <c r="A31" s="9">
        <f t="shared" si="0"/>
        <v>1</v>
      </c>
      <c r="B31" s="6"/>
      <c r="C31" s="6"/>
      <c r="D31" s="24"/>
      <c r="E31" s="12" t="s">
        <v>38</v>
      </c>
      <c r="F31" s="25">
        <v>0</v>
      </c>
      <c r="G31" s="12" t="s">
        <v>105</v>
      </c>
      <c r="H31" s="12">
        <v>0</v>
      </c>
      <c r="I31" s="12">
        <v>0</v>
      </c>
      <c r="J31" s="12">
        <v>0</v>
      </c>
      <c r="K31" s="12">
        <v>0</v>
      </c>
      <c r="L31" s="13">
        <v>0</v>
      </c>
      <c r="M31" s="13">
        <v>0</v>
      </c>
      <c r="N31" s="12">
        <v>0</v>
      </c>
      <c r="O31" s="12">
        <v>0</v>
      </c>
      <c r="P31" s="12">
        <v>0</v>
      </c>
      <c r="Q31" s="14">
        <v>0</v>
      </c>
      <c r="R31" s="15">
        <v>432323.92499999999</v>
      </c>
      <c r="S31" s="16">
        <v>432323.92499999999</v>
      </c>
      <c r="T31" s="15">
        <v>263501</v>
      </c>
      <c r="U31" s="16">
        <v>0</v>
      </c>
      <c r="V31" s="15">
        <v>85265</v>
      </c>
      <c r="W31" s="16">
        <v>0</v>
      </c>
      <c r="X31" s="15">
        <v>35729.25</v>
      </c>
      <c r="Y31" s="16">
        <v>0</v>
      </c>
      <c r="Z31" s="15">
        <v>8526.5</v>
      </c>
      <c r="AA31" s="16">
        <v>0</v>
      </c>
      <c r="AB31" s="15">
        <v>39302.175000000003</v>
      </c>
      <c r="AC31" s="16">
        <v>0</v>
      </c>
      <c r="AD31" s="15">
        <v>0</v>
      </c>
      <c r="AE31" s="16">
        <v>0</v>
      </c>
      <c r="AF31" s="15">
        <v>0</v>
      </c>
      <c r="AG31" s="16">
        <v>0</v>
      </c>
      <c r="AH31" s="15">
        <v>0</v>
      </c>
      <c r="AI31" s="15" t="s">
        <v>106</v>
      </c>
      <c r="AJ31" s="14">
        <v>0.70311342592592585</v>
      </c>
      <c r="AK31" s="17">
        <v>43070</v>
      </c>
      <c r="AL31" s="18" t="s">
        <v>40</v>
      </c>
      <c r="AM31" s="14" t="s">
        <v>43</v>
      </c>
      <c r="AN31" s="14" t="s">
        <v>36</v>
      </c>
      <c r="AO31" s="14" t="s">
        <v>107</v>
      </c>
      <c r="AP31" s="14" t="s">
        <v>37</v>
      </c>
      <c r="AQ31" s="14" t="s">
        <v>108</v>
      </c>
      <c r="AR31" s="14" t="s">
        <v>4</v>
      </c>
      <c r="AS31" s="14">
        <v>0</v>
      </c>
      <c r="AT31" s="14">
        <v>0</v>
      </c>
      <c r="AU31" s="14">
        <v>0</v>
      </c>
      <c r="AV31" s="14">
        <v>0</v>
      </c>
      <c r="AW31" s="14"/>
      <c r="AX31" s="14"/>
      <c r="AY31" s="14"/>
      <c r="AZ31" s="14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</row>
    <row r="32" spans="1:66" s="2" customFormat="1" ht="12" customHeight="1" x14ac:dyDescent="0.25">
      <c r="A32" s="9">
        <f t="shared" si="0"/>
        <v>1</v>
      </c>
      <c r="B32" s="6"/>
      <c r="C32" s="6"/>
      <c r="D32" s="24"/>
      <c r="E32" s="12" t="s">
        <v>38</v>
      </c>
      <c r="F32" s="25">
        <v>0</v>
      </c>
      <c r="G32" s="12" t="s">
        <v>109</v>
      </c>
      <c r="H32" s="12">
        <v>0</v>
      </c>
      <c r="I32" s="12">
        <v>0</v>
      </c>
      <c r="J32" s="12">
        <v>0</v>
      </c>
      <c r="K32" s="12">
        <v>0</v>
      </c>
      <c r="L32" s="13">
        <v>0</v>
      </c>
      <c r="M32" s="13">
        <v>0</v>
      </c>
      <c r="N32" s="12">
        <v>0</v>
      </c>
      <c r="O32" s="12">
        <v>0</v>
      </c>
      <c r="P32" s="12">
        <v>0</v>
      </c>
      <c r="Q32" s="14">
        <v>0</v>
      </c>
      <c r="R32" s="15">
        <v>559395.70499999996</v>
      </c>
      <c r="S32" s="16">
        <v>559395.70499999996</v>
      </c>
      <c r="T32" s="15">
        <v>340953</v>
      </c>
      <c r="U32" s="16">
        <v>0</v>
      </c>
      <c r="V32" s="15">
        <v>110325</v>
      </c>
      <c r="W32" s="16">
        <v>0</v>
      </c>
      <c r="X32" s="15">
        <v>46231.05</v>
      </c>
      <c r="Y32" s="16">
        <v>0</v>
      </c>
      <c r="Z32" s="15">
        <v>11032.5</v>
      </c>
      <c r="AA32" s="16">
        <v>0</v>
      </c>
      <c r="AB32" s="15">
        <v>50854.154999999999</v>
      </c>
      <c r="AC32" s="16">
        <v>0</v>
      </c>
      <c r="AD32" s="15">
        <v>0</v>
      </c>
      <c r="AE32" s="16">
        <v>0</v>
      </c>
      <c r="AF32" s="15">
        <v>0</v>
      </c>
      <c r="AG32" s="16">
        <v>0</v>
      </c>
      <c r="AH32" s="15">
        <v>0</v>
      </c>
      <c r="AI32" s="15" t="s">
        <v>110</v>
      </c>
      <c r="AJ32" s="14">
        <v>0.70285879629629633</v>
      </c>
      <c r="AK32" s="17">
        <v>43070</v>
      </c>
      <c r="AL32" s="18" t="s">
        <v>40</v>
      </c>
      <c r="AM32" s="14" t="s">
        <v>43</v>
      </c>
      <c r="AN32" s="14" t="s">
        <v>36</v>
      </c>
      <c r="AO32" s="14" t="s">
        <v>111</v>
      </c>
      <c r="AP32" s="14" t="s">
        <v>37</v>
      </c>
      <c r="AQ32" s="14" t="s">
        <v>108</v>
      </c>
      <c r="AR32" s="14" t="s">
        <v>4</v>
      </c>
      <c r="AS32" s="14">
        <v>0</v>
      </c>
      <c r="AT32" s="14">
        <v>0</v>
      </c>
      <c r="AU32" s="14">
        <v>0</v>
      </c>
      <c r="AV32" s="14">
        <v>0</v>
      </c>
      <c r="AW32" s="14"/>
      <c r="AX32" s="14"/>
      <c r="AY32" s="14"/>
      <c r="AZ32" s="14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</row>
    <row r="33" spans="1:66" s="2" customFormat="1" ht="12" customHeight="1" x14ac:dyDescent="0.25">
      <c r="A33" s="9">
        <f t="shared" si="0"/>
        <v>1</v>
      </c>
      <c r="B33" s="6"/>
      <c r="C33" s="6"/>
      <c r="D33" s="24"/>
      <c r="E33" s="12" t="s">
        <v>38</v>
      </c>
      <c r="F33" s="25">
        <v>0</v>
      </c>
      <c r="G33" s="12" t="s">
        <v>112</v>
      </c>
      <c r="H33" s="12">
        <v>0</v>
      </c>
      <c r="I33" s="12">
        <v>0</v>
      </c>
      <c r="J33" s="12">
        <v>0</v>
      </c>
      <c r="K33" s="12">
        <v>0</v>
      </c>
      <c r="L33" s="13">
        <v>0</v>
      </c>
      <c r="M33" s="13">
        <v>0</v>
      </c>
      <c r="N33" s="12">
        <v>0</v>
      </c>
      <c r="O33" s="12">
        <v>0</v>
      </c>
      <c r="P33" s="12">
        <v>0</v>
      </c>
      <c r="Q33" s="14">
        <v>0</v>
      </c>
      <c r="R33" s="15">
        <v>991719.63000000012</v>
      </c>
      <c r="S33" s="16">
        <v>991719.63000000012</v>
      </c>
      <c r="T33" s="15">
        <v>604454</v>
      </c>
      <c r="U33" s="16">
        <v>0</v>
      </c>
      <c r="V33" s="15">
        <v>195590</v>
      </c>
      <c r="W33" s="16">
        <v>0</v>
      </c>
      <c r="X33" s="15">
        <v>81960.3</v>
      </c>
      <c r="Y33" s="16">
        <v>0</v>
      </c>
      <c r="Z33" s="15">
        <v>19559</v>
      </c>
      <c r="AA33" s="16">
        <v>0</v>
      </c>
      <c r="AB33" s="15">
        <v>90156.330000000016</v>
      </c>
      <c r="AC33" s="16">
        <v>0</v>
      </c>
      <c r="AD33" s="15">
        <v>0</v>
      </c>
      <c r="AE33" s="16">
        <v>0</v>
      </c>
      <c r="AF33" s="15">
        <v>0</v>
      </c>
      <c r="AG33" s="16">
        <v>0</v>
      </c>
      <c r="AH33" s="15">
        <v>0</v>
      </c>
      <c r="AI33" s="15" t="s">
        <v>113</v>
      </c>
      <c r="AJ33" s="14">
        <v>0.36858796296296298</v>
      </c>
      <c r="AK33" s="17">
        <v>43074</v>
      </c>
      <c r="AL33" s="18" t="s">
        <v>3</v>
      </c>
      <c r="AM33" s="14" t="s">
        <v>41</v>
      </c>
      <c r="AN33" s="14" t="s">
        <v>36</v>
      </c>
      <c r="AO33" s="14" t="s">
        <v>114</v>
      </c>
      <c r="AP33" s="14" t="s">
        <v>37</v>
      </c>
      <c r="AQ33" s="14" t="s">
        <v>108</v>
      </c>
      <c r="AR33" s="14" t="s">
        <v>4</v>
      </c>
      <c r="AS33" s="14">
        <v>0</v>
      </c>
      <c r="AT33" s="14">
        <v>0</v>
      </c>
      <c r="AU33" s="14">
        <v>0</v>
      </c>
      <c r="AV33" s="14">
        <v>0</v>
      </c>
      <c r="AW33" s="14"/>
      <c r="AX33" s="14"/>
      <c r="AY33" s="14"/>
      <c r="AZ33" s="14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</row>
    <row r="34" spans="1:66" s="2" customFormat="1" ht="12" customHeight="1" x14ac:dyDescent="0.25">
      <c r="A34" s="9">
        <f t="shared" si="0"/>
        <v>1</v>
      </c>
      <c r="B34" s="6"/>
      <c r="C34" s="6"/>
      <c r="D34" s="24"/>
      <c r="E34" s="12" t="s">
        <v>38</v>
      </c>
      <c r="F34" s="25">
        <v>0</v>
      </c>
      <c r="G34" s="12" t="s">
        <v>115</v>
      </c>
      <c r="H34" s="12">
        <v>0</v>
      </c>
      <c r="I34" s="12">
        <v>0</v>
      </c>
      <c r="J34" s="12">
        <v>0</v>
      </c>
      <c r="K34" s="12">
        <v>0</v>
      </c>
      <c r="L34" s="13">
        <v>0</v>
      </c>
      <c r="M34" s="13">
        <v>0</v>
      </c>
      <c r="N34" s="12">
        <v>0</v>
      </c>
      <c r="O34" s="12">
        <v>0</v>
      </c>
      <c r="P34" s="12">
        <v>0</v>
      </c>
      <c r="Q34" s="14">
        <v>0</v>
      </c>
      <c r="R34" s="15">
        <v>0</v>
      </c>
      <c r="S34" s="16">
        <v>0</v>
      </c>
      <c r="T34" s="15">
        <v>0</v>
      </c>
      <c r="U34" s="16">
        <v>0</v>
      </c>
      <c r="V34" s="15">
        <v>0</v>
      </c>
      <c r="W34" s="16">
        <v>0</v>
      </c>
      <c r="X34" s="15">
        <v>0</v>
      </c>
      <c r="Y34" s="16">
        <v>0</v>
      </c>
      <c r="Z34" s="15">
        <v>0</v>
      </c>
      <c r="AA34" s="16">
        <v>0</v>
      </c>
      <c r="AB34" s="15">
        <v>0</v>
      </c>
      <c r="AC34" s="16">
        <v>0</v>
      </c>
      <c r="AD34" s="15">
        <v>0</v>
      </c>
      <c r="AE34" s="16">
        <v>0</v>
      </c>
      <c r="AF34" s="15">
        <v>0</v>
      </c>
      <c r="AG34" s="16">
        <v>0</v>
      </c>
      <c r="AH34" s="15">
        <v>0</v>
      </c>
      <c r="AI34" s="15" t="s">
        <v>116</v>
      </c>
      <c r="AJ34" s="14">
        <v>0.45601851851851855</v>
      </c>
      <c r="AK34" s="17">
        <v>43074</v>
      </c>
      <c r="AL34" s="18" t="s">
        <v>3</v>
      </c>
      <c r="AM34" s="14" t="s">
        <v>41</v>
      </c>
      <c r="AN34" s="14" t="s">
        <v>36</v>
      </c>
      <c r="AO34" s="14" t="s">
        <v>117</v>
      </c>
      <c r="AP34" s="14" t="s">
        <v>37</v>
      </c>
      <c r="AQ34" s="14" t="s">
        <v>108</v>
      </c>
      <c r="AR34" s="14" t="s">
        <v>4</v>
      </c>
      <c r="AS34" s="14">
        <v>0</v>
      </c>
      <c r="AT34" s="14">
        <v>0</v>
      </c>
      <c r="AU34" s="14">
        <v>0</v>
      </c>
      <c r="AV34" s="14">
        <v>0</v>
      </c>
      <c r="AW34" s="14"/>
      <c r="AX34" s="14"/>
      <c r="AY34" s="14"/>
      <c r="AZ34" s="14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</row>
    <row r="35" spans="1:66" s="2" customFormat="1" ht="12" customHeight="1" x14ac:dyDescent="0.25">
      <c r="A35" s="9">
        <f t="shared" si="0"/>
        <v>1</v>
      </c>
      <c r="B35" s="6"/>
      <c r="C35" s="6"/>
      <c r="D35" s="24"/>
      <c r="E35" s="12" t="s">
        <v>38</v>
      </c>
      <c r="F35" s="25">
        <v>0</v>
      </c>
      <c r="G35" s="12" t="s">
        <v>118</v>
      </c>
      <c r="H35" s="12">
        <v>0</v>
      </c>
      <c r="I35" s="12">
        <v>0</v>
      </c>
      <c r="J35" s="12">
        <v>0</v>
      </c>
      <c r="K35" s="12">
        <v>0</v>
      </c>
      <c r="L35" s="13">
        <v>0</v>
      </c>
      <c r="M35" s="13">
        <v>0</v>
      </c>
      <c r="N35" s="12">
        <v>0</v>
      </c>
      <c r="O35" s="12">
        <v>0</v>
      </c>
      <c r="P35" s="12">
        <v>0</v>
      </c>
      <c r="Q35" s="14">
        <v>0</v>
      </c>
      <c r="R35" s="15">
        <v>11477.369999999999</v>
      </c>
      <c r="S35" s="16">
        <v>11477.369999999999</v>
      </c>
      <c r="T35" s="15">
        <v>5117.1000000000004</v>
      </c>
      <c r="U35" s="16">
        <v>0</v>
      </c>
      <c r="V35" s="15">
        <v>6360.2699999999995</v>
      </c>
      <c r="W35" s="16">
        <v>0</v>
      </c>
      <c r="X35" s="15">
        <v>0</v>
      </c>
      <c r="Y35" s="16">
        <v>0</v>
      </c>
      <c r="Z35" s="15">
        <v>0</v>
      </c>
      <c r="AA35" s="16">
        <v>0</v>
      </c>
      <c r="AB35" s="15">
        <v>0</v>
      </c>
      <c r="AC35" s="16">
        <v>0</v>
      </c>
      <c r="AD35" s="15">
        <v>0</v>
      </c>
      <c r="AE35" s="16">
        <v>0</v>
      </c>
      <c r="AF35" s="15">
        <v>0</v>
      </c>
      <c r="AG35" s="16">
        <v>0</v>
      </c>
      <c r="AH35" s="15">
        <v>0</v>
      </c>
      <c r="AI35" s="15" t="s">
        <v>119</v>
      </c>
      <c r="AJ35" s="14">
        <v>0.43230324074074072</v>
      </c>
      <c r="AK35" s="17">
        <v>43178</v>
      </c>
      <c r="AL35" s="18" t="s">
        <v>40</v>
      </c>
      <c r="AM35" s="14" t="s">
        <v>43</v>
      </c>
      <c r="AN35" s="14" t="s">
        <v>36</v>
      </c>
      <c r="AO35" s="14" t="s">
        <v>120</v>
      </c>
      <c r="AP35" s="14" t="s">
        <v>37</v>
      </c>
      <c r="AQ35" s="14" t="s">
        <v>108</v>
      </c>
      <c r="AR35" s="14" t="s">
        <v>4</v>
      </c>
      <c r="AS35" s="14">
        <v>0</v>
      </c>
      <c r="AT35" s="14">
        <v>0</v>
      </c>
      <c r="AU35" s="14">
        <v>0</v>
      </c>
      <c r="AV35" s="14">
        <v>0</v>
      </c>
      <c r="AW35" s="14"/>
      <c r="AX35" s="14"/>
      <c r="AY35" s="14"/>
      <c r="AZ35" s="14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</row>
    <row r="36" spans="1:66" s="2" customFormat="1" ht="12" customHeight="1" x14ac:dyDescent="0.25">
      <c r="A36" s="9">
        <f t="shared" si="0"/>
        <v>1</v>
      </c>
      <c r="B36" s="6"/>
      <c r="C36" s="6"/>
      <c r="D36" s="24"/>
      <c r="E36" s="12" t="s">
        <v>38</v>
      </c>
      <c r="F36" s="25">
        <v>0</v>
      </c>
      <c r="G36" s="12" t="s">
        <v>121</v>
      </c>
      <c r="H36" s="12">
        <v>0</v>
      </c>
      <c r="I36" s="12">
        <v>0</v>
      </c>
      <c r="J36" s="12">
        <v>0</v>
      </c>
      <c r="K36" s="12">
        <v>0</v>
      </c>
      <c r="L36" s="13">
        <v>0</v>
      </c>
      <c r="M36" s="13">
        <v>0</v>
      </c>
      <c r="N36" s="12">
        <v>0</v>
      </c>
      <c r="O36" s="12">
        <v>0</v>
      </c>
      <c r="P36" s="12">
        <v>0</v>
      </c>
      <c r="Q36" s="14">
        <v>0</v>
      </c>
      <c r="R36" s="15">
        <v>44569.7</v>
      </c>
      <c r="S36" s="16">
        <v>44569.7</v>
      </c>
      <c r="T36" s="15">
        <v>16919.2</v>
      </c>
      <c r="U36" s="16">
        <v>0</v>
      </c>
      <c r="V36" s="15">
        <v>16265</v>
      </c>
      <c r="W36" s="16">
        <v>0</v>
      </c>
      <c r="X36" s="15">
        <v>0</v>
      </c>
      <c r="Y36" s="16">
        <v>0</v>
      </c>
      <c r="Z36" s="15">
        <v>11385.5</v>
      </c>
      <c r="AA36" s="16">
        <v>0</v>
      </c>
      <c r="AB36" s="15">
        <v>0</v>
      </c>
      <c r="AC36" s="16">
        <v>0</v>
      </c>
      <c r="AD36" s="15">
        <v>0</v>
      </c>
      <c r="AE36" s="16">
        <v>0</v>
      </c>
      <c r="AF36" s="15">
        <v>0</v>
      </c>
      <c r="AG36" s="16">
        <v>0</v>
      </c>
      <c r="AH36" s="15">
        <v>0</v>
      </c>
      <c r="AI36" s="15" t="s">
        <v>122</v>
      </c>
      <c r="AJ36" s="14">
        <v>0.38094907407407402</v>
      </c>
      <c r="AK36" s="17">
        <v>43164</v>
      </c>
      <c r="AL36" s="18" t="s">
        <v>40</v>
      </c>
      <c r="AM36" s="14" t="s">
        <v>43</v>
      </c>
      <c r="AN36" s="14" t="s">
        <v>36</v>
      </c>
      <c r="AO36" s="14" t="s">
        <v>123</v>
      </c>
      <c r="AP36" s="14" t="s">
        <v>37</v>
      </c>
      <c r="AQ36" s="14" t="s">
        <v>108</v>
      </c>
      <c r="AR36" s="14" t="s">
        <v>4</v>
      </c>
      <c r="AS36" s="14">
        <v>0</v>
      </c>
      <c r="AT36" s="14">
        <v>0</v>
      </c>
      <c r="AU36" s="14">
        <v>0</v>
      </c>
      <c r="AV36" s="14">
        <v>0</v>
      </c>
      <c r="AW36" s="14"/>
      <c r="AX36" s="14"/>
      <c r="AY36" s="14"/>
      <c r="AZ36" s="14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</row>
    <row r="37" spans="1:66" s="2" customFormat="1" ht="12" customHeight="1" x14ac:dyDescent="0.25">
      <c r="A37" s="9">
        <f t="shared" si="0"/>
        <v>1</v>
      </c>
      <c r="B37" s="6"/>
      <c r="C37" s="6"/>
      <c r="D37" s="24"/>
      <c r="E37" s="12" t="s">
        <v>38</v>
      </c>
      <c r="F37" s="25">
        <v>0</v>
      </c>
      <c r="G37" s="12" t="s">
        <v>124</v>
      </c>
      <c r="H37" s="12">
        <v>0</v>
      </c>
      <c r="I37" s="12">
        <v>0</v>
      </c>
      <c r="J37" s="12">
        <v>0</v>
      </c>
      <c r="K37" s="12">
        <v>0</v>
      </c>
      <c r="L37" s="13">
        <v>0</v>
      </c>
      <c r="M37" s="13">
        <v>0</v>
      </c>
      <c r="N37" s="12">
        <v>0</v>
      </c>
      <c r="O37" s="12">
        <v>0</v>
      </c>
      <c r="P37" s="12">
        <v>0</v>
      </c>
      <c r="Q37" s="14">
        <v>0</v>
      </c>
      <c r="R37" s="15">
        <v>110000</v>
      </c>
      <c r="S37" s="16">
        <v>110000</v>
      </c>
      <c r="T37" s="15">
        <v>0</v>
      </c>
      <c r="U37" s="16">
        <v>0</v>
      </c>
      <c r="V37" s="15">
        <v>110000</v>
      </c>
      <c r="W37" s="16">
        <v>0</v>
      </c>
      <c r="X37" s="15">
        <v>0</v>
      </c>
      <c r="Y37" s="16">
        <v>0</v>
      </c>
      <c r="Z37" s="15">
        <v>0</v>
      </c>
      <c r="AA37" s="16">
        <v>0</v>
      </c>
      <c r="AB37" s="15">
        <v>0</v>
      </c>
      <c r="AC37" s="16">
        <v>0</v>
      </c>
      <c r="AD37" s="15">
        <v>0</v>
      </c>
      <c r="AE37" s="16">
        <v>0</v>
      </c>
      <c r="AF37" s="15">
        <v>0</v>
      </c>
      <c r="AG37" s="16">
        <v>0</v>
      </c>
      <c r="AH37" s="15">
        <v>0</v>
      </c>
      <c r="AI37" s="15" t="s">
        <v>125</v>
      </c>
      <c r="AJ37" s="14">
        <v>0.37776620370370373</v>
      </c>
      <c r="AK37" s="17">
        <v>43083</v>
      </c>
      <c r="AL37" s="18" t="s">
        <v>3</v>
      </c>
      <c r="AM37" s="14" t="s">
        <v>41</v>
      </c>
      <c r="AN37" s="14" t="s">
        <v>36</v>
      </c>
      <c r="AO37" s="14" t="s">
        <v>126</v>
      </c>
      <c r="AP37" s="14" t="s">
        <v>37</v>
      </c>
      <c r="AQ37" s="14" t="s">
        <v>108</v>
      </c>
      <c r="AR37" s="14" t="s">
        <v>4</v>
      </c>
      <c r="AS37" s="14">
        <v>0</v>
      </c>
      <c r="AT37" s="14">
        <v>0</v>
      </c>
      <c r="AU37" s="14">
        <v>0</v>
      </c>
      <c r="AV37" s="14">
        <v>0</v>
      </c>
      <c r="AW37" s="14"/>
      <c r="AX37" s="14"/>
      <c r="AY37" s="14"/>
      <c r="AZ37" s="14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</row>
    <row r="38" spans="1:66" s="2" customFormat="1" ht="12" customHeight="1" x14ac:dyDescent="0.25">
      <c r="A38" s="9">
        <f t="shared" si="0"/>
        <v>1</v>
      </c>
      <c r="B38" s="6"/>
      <c r="C38" s="6"/>
      <c r="D38" s="24"/>
      <c r="E38" s="12" t="s">
        <v>38</v>
      </c>
      <c r="F38" s="25">
        <v>0</v>
      </c>
      <c r="G38" s="12" t="s">
        <v>127</v>
      </c>
      <c r="H38" s="12">
        <v>0</v>
      </c>
      <c r="I38" s="12">
        <v>0</v>
      </c>
      <c r="J38" s="12">
        <v>0</v>
      </c>
      <c r="K38" s="12">
        <v>0</v>
      </c>
      <c r="L38" s="13">
        <v>0</v>
      </c>
      <c r="M38" s="13">
        <v>0</v>
      </c>
      <c r="N38" s="12">
        <v>0</v>
      </c>
      <c r="O38" s="12">
        <v>0</v>
      </c>
      <c r="P38" s="12">
        <v>0</v>
      </c>
      <c r="Q38" s="14">
        <v>0</v>
      </c>
      <c r="R38" s="15">
        <v>110000</v>
      </c>
      <c r="S38" s="16">
        <v>110000</v>
      </c>
      <c r="T38" s="15">
        <v>0</v>
      </c>
      <c r="U38" s="16">
        <v>0</v>
      </c>
      <c r="V38" s="15">
        <v>110000</v>
      </c>
      <c r="W38" s="16">
        <v>0</v>
      </c>
      <c r="X38" s="15">
        <v>0</v>
      </c>
      <c r="Y38" s="16">
        <v>0</v>
      </c>
      <c r="Z38" s="15">
        <v>0</v>
      </c>
      <c r="AA38" s="16">
        <v>0</v>
      </c>
      <c r="AB38" s="15">
        <v>0</v>
      </c>
      <c r="AC38" s="16">
        <v>0</v>
      </c>
      <c r="AD38" s="15">
        <v>0</v>
      </c>
      <c r="AE38" s="16">
        <v>0</v>
      </c>
      <c r="AF38" s="15">
        <v>0</v>
      </c>
      <c r="AG38" s="16">
        <v>0</v>
      </c>
      <c r="AH38" s="15">
        <v>0</v>
      </c>
      <c r="AI38" s="15" t="s">
        <v>128</v>
      </c>
      <c r="AJ38" s="14">
        <v>0.37935185185185188</v>
      </c>
      <c r="AK38" s="17">
        <v>43083</v>
      </c>
      <c r="AL38" s="18" t="s">
        <v>3</v>
      </c>
      <c r="AM38" s="14" t="s">
        <v>41</v>
      </c>
      <c r="AN38" s="14" t="s">
        <v>36</v>
      </c>
      <c r="AO38" s="14" t="s">
        <v>129</v>
      </c>
      <c r="AP38" s="14" t="s">
        <v>37</v>
      </c>
      <c r="AQ38" s="14" t="s">
        <v>108</v>
      </c>
      <c r="AR38" s="14" t="s">
        <v>4</v>
      </c>
      <c r="AS38" s="14">
        <v>0</v>
      </c>
      <c r="AT38" s="14">
        <v>0</v>
      </c>
      <c r="AU38" s="14">
        <v>0</v>
      </c>
      <c r="AV38" s="14">
        <v>0</v>
      </c>
      <c r="AW38" s="14"/>
      <c r="AX38" s="14"/>
      <c r="AY38" s="14"/>
      <c r="AZ38" s="14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</row>
    <row r="39" spans="1:66" s="2" customFormat="1" ht="12" customHeight="1" x14ac:dyDescent="0.25">
      <c r="A39" s="9">
        <f t="shared" si="0"/>
        <v>1</v>
      </c>
      <c r="B39" s="6"/>
      <c r="C39" s="6"/>
      <c r="D39" s="24"/>
      <c r="E39" s="12" t="s">
        <v>38</v>
      </c>
      <c r="F39" s="25">
        <v>0</v>
      </c>
      <c r="G39" s="12" t="s">
        <v>130</v>
      </c>
      <c r="H39" s="12">
        <v>0</v>
      </c>
      <c r="I39" s="12">
        <v>0</v>
      </c>
      <c r="J39" s="12">
        <v>0</v>
      </c>
      <c r="K39" s="12">
        <v>0</v>
      </c>
      <c r="L39" s="13">
        <v>0</v>
      </c>
      <c r="M39" s="13">
        <v>0</v>
      </c>
      <c r="N39" s="12">
        <v>0</v>
      </c>
      <c r="O39" s="12">
        <v>0</v>
      </c>
      <c r="P39" s="12">
        <v>0</v>
      </c>
      <c r="Q39" s="14">
        <v>0</v>
      </c>
      <c r="R39" s="15">
        <v>120000</v>
      </c>
      <c r="S39" s="16">
        <v>120000</v>
      </c>
      <c r="T39" s="15">
        <v>0</v>
      </c>
      <c r="U39" s="16">
        <v>0</v>
      </c>
      <c r="V39" s="15">
        <v>120000</v>
      </c>
      <c r="W39" s="16">
        <v>0</v>
      </c>
      <c r="X39" s="15">
        <v>0</v>
      </c>
      <c r="Y39" s="16">
        <v>0</v>
      </c>
      <c r="Z39" s="15">
        <v>0</v>
      </c>
      <c r="AA39" s="16">
        <v>0</v>
      </c>
      <c r="AB39" s="15">
        <v>0</v>
      </c>
      <c r="AC39" s="16">
        <v>0</v>
      </c>
      <c r="AD39" s="15">
        <v>0</v>
      </c>
      <c r="AE39" s="16">
        <v>0</v>
      </c>
      <c r="AF39" s="15">
        <v>0</v>
      </c>
      <c r="AG39" s="16">
        <v>0</v>
      </c>
      <c r="AH39" s="15">
        <v>0</v>
      </c>
      <c r="AI39" s="15" t="s">
        <v>131</v>
      </c>
      <c r="AJ39" s="14">
        <v>0.38317129629629632</v>
      </c>
      <c r="AK39" s="17">
        <v>43083</v>
      </c>
      <c r="AL39" s="18" t="s">
        <v>3</v>
      </c>
      <c r="AM39" s="14" t="s">
        <v>41</v>
      </c>
      <c r="AN39" s="14" t="s">
        <v>36</v>
      </c>
      <c r="AO39" s="14" t="s">
        <v>132</v>
      </c>
      <c r="AP39" s="14" t="s">
        <v>37</v>
      </c>
      <c r="AQ39" s="14" t="s">
        <v>108</v>
      </c>
      <c r="AR39" s="14" t="s">
        <v>4</v>
      </c>
      <c r="AS39" s="14">
        <v>0</v>
      </c>
      <c r="AT39" s="14">
        <v>0</v>
      </c>
      <c r="AU39" s="14">
        <v>0</v>
      </c>
      <c r="AV39" s="14">
        <v>0</v>
      </c>
      <c r="AW39" s="14"/>
      <c r="AX39" s="14"/>
      <c r="AY39" s="14"/>
      <c r="AZ39" s="14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</row>
    <row r="40" spans="1:66" s="2" customFormat="1" ht="12" customHeight="1" x14ac:dyDescent="0.25">
      <c r="A40" s="9">
        <f t="shared" si="0"/>
        <v>1</v>
      </c>
      <c r="B40" s="6"/>
      <c r="C40" s="6"/>
      <c r="D40" s="24"/>
      <c r="E40" s="12" t="s">
        <v>38</v>
      </c>
      <c r="F40" s="25">
        <v>0</v>
      </c>
      <c r="G40" s="12" t="s">
        <v>133</v>
      </c>
      <c r="H40" s="12">
        <v>0</v>
      </c>
      <c r="I40" s="12">
        <v>0</v>
      </c>
      <c r="J40" s="12">
        <v>0</v>
      </c>
      <c r="K40" s="12">
        <v>0</v>
      </c>
      <c r="L40" s="13">
        <v>0</v>
      </c>
      <c r="M40" s="13">
        <v>0</v>
      </c>
      <c r="N40" s="12">
        <v>0</v>
      </c>
      <c r="O40" s="12">
        <v>0</v>
      </c>
      <c r="P40" s="12">
        <v>0</v>
      </c>
      <c r="Q40" s="14">
        <v>0</v>
      </c>
      <c r="R40" s="15">
        <v>97609.68</v>
      </c>
      <c r="S40" s="16">
        <v>97609.68</v>
      </c>
      <c r="T40" s="15">
        <v>57880</v>
      </c>
      <c r="U40" s="16">
        <v>0</v>
      </c>
      <c r="V40" s="15">
        <v>14500</v>
      </c>
      <c r="W40" s="16">
        <v>0</v>
      </c>
      <c r="X40" s="15">
        <v>4344</v>
      </c>
      <c r="Y40" s="16">
        <v>0</v>
      </c>
      <c r="Z40" s="15">
        <v>14500</v>
      </c>
      <c r="AA40" s="16">
        <v>0</v>
      </c>
      <c r="AB40" s="15">
        <v>6385.68</v>
      </c>
      <c r="AC40" s="16">
        <v>0</v>
      </c>
      <c r="AD40" s="15">
        <v>0</v>
      </c>
      <c r="AE40" s="16">
        <v>0</v>
      </c>
      <c r="AF40" s="15">
        <v>0</v>
      </c>
      <c r="AG40" s="16">
        <v>0</v>
      </c>
      <c r="AH40" s="15">
        <v>0</v>
      </c>
      <c r="AI40" s="15" t="s">
        <v>134</v>
      </c>
      <c r="AJ40" s="14">
        <v>0.37399305555555556</v>
      </c>
      <c r="AK40" s="17">
        <v>43088</v>
      </c>
      <c r="AL40" s="18" t="s">
        <v>40</v>
      </c>
      <c r="AM40" s="14" t="s">
        <v>43</v>
      </c>
      <c r="AN40" s="14" t="s">
        <v>36</v>
      </c>
      <c r="AO40" s="14" t="s">
        <v>135</v>
      </c>
      <c r="AP40" s="14" t="s">
        <v>37</v>
      </c>
      <c r="AQ40" s="14" t="s">
        <v>108</v>
      </c>
      <c r="AR40" s="14" t="s">
        <v>4</v>
      </c>
      <c r="AS40" s="14">
        <v>0</v>
      </c>
      <c r="AT40" s="14">
        <v>0</v>
      </c>
      <c r="AU40" s="14">
        <v>0</v>
      </c>
      <c r="AV40" s="14">
        <v>0</v>
      </c>
      <c r="AW40" s="14"/>
      <c r="AX40" s="14"/>
      <c r="AY40" s="14"/>
      <c r="AZ40" s="14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</row>
    <row r="41" spans="1:66" s="2" customFormat="1" ht="12" customHeight="1" x14ac:dyDescent="0.25">
      <c r="A41" s="9">
        <f t="shared" si="0"/>
        <v>1</v>
      </c>
      <c r="B41" s="6"/>
      <c r="C41" s="6"/>
      <c r="D41" s="24"/>
      <c r="E41" s="12" t="s">
        <v>38</v>
      </c>
      <c r="F41" s="25">
        <v>0</v>
      </c>
      <c r="G41" s="12" t="s">
        <v>136</v>
      </c>
      <c r="H41" s="12">
        <v>0</v>
      </c>
      <c r="I41" s="12">
        <v>0</v>
      </c>
      <c r="J41" s="12">
        <v>0</v>
      </c>
      <c r="K41" s="12">
        <v>0</v>
      </c>
      <c r="L41" s="13">
        <v>0</v>
      </c>
      <c r="M41" s="13">
        <v>0</v>
      </c>
      <c r="N41" s="12">
        <v>0</v>
      </c>
      <c r="O41" s="12">
        <v>0</v>
      </c>
      <c r="P41" s="12">
        <v>0</v>
      </c>
      <c r="Q41" s="14">
        <v>0</v>
      </c>
      <c r="R41" s="15">
        <v>77973.61</v>
      </c>
      <c r="S41" s="16">
        <v>77973.61</v>
      </c>
      <c r="T41" s="15">
        <v>39746</v>
      </c>
      <c r="U41" s="16">
        <v>0</v>
      </c>
      <c r="V41" s="15">
        <v>22450</v>
      </c>
      <c r="W41" s="16">
        <v>0</v>
      </c>
      <c r="X41" s="15">
        <v>6444.1</v>
      </c>
      <c r="Y41" s="16">
        <v>0</v>
      </c>
      <c r="Z41" s="15">
        <v>2245</v>
      </c>
      <c r="AA41" s="16">
        <v>0</v>
      </c>
      <c r="AB41" s="15">
        <v>7088.5100000000011</v>
      </c>
      <c r="AC41" s="16">
        <v>0</v>
      </c>
      <c r="AD41" s="15">
        <v>0</v>
      </c>
      <c r="AE41" s="16">
        <v>0</v>
      </c>
      <c r="AF41" s="15">
        <v>0</v>
      </c>
      <c r="AG41" s="16">
        <v>0</v>
      </c>
      <c r="AH41" s="15">
        <v>0</v>
      </c>
      <c r="AI41" s="15" t="s">
        <v>137</v>
      </c>
      <c r="AJ41" s="14">
        <v>0.64277777777777778</v>
      </c>
      <c r="AK41" s="17">
        <v>43175</v>
      </c>
      <c r="AL41" s="18" t="s">
        <v>40</v>
      </c>
      <c r="AM41" s="14" t="s">
        <v>43</v>
      </c>
      <c r="AN41" s="14" t="s">
        <v>36</v>
      </c>
      <c r="AO41" s="14" t="s">
        <v>138</v>
      </c>
      <c r="AP41" s="14" t="s">
        <v>37</v>
      </c>
      <c r="AQ41" s="14" t="s">
        <v>108</v>
      </c>
      <c r="AR41" s="14" t="s">
        <v>4</v>
      </c>
      <c r="AS41" s="14">
        <v>0</v>
      </c>
      <c r="AT41" s="14">
        <v>0</v>
      </c>
      <c r="AU41" s="14">
        <v>0</v>
      </c>
      <c r="AV41" s="14">
        <v>0</v>
      </c>
      <c r="AW41" s="14"/>
      <c r="AX41" s="14"/>
      <c r="AY41" s="14"/>
      <c r="AZ41" s="14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</row>
    <row r="42" spans="1:66" s="2" customFormat="1" ht="12" customHeight="1" x14ac:dyDescent="0.25">
      <c r="A42" s="9">
        <f t="shared" si="0"/>
        <v>1</v>
      </c>
      <c r="B42" s="6"/>
      <c r="C42" s="6"/>
      <c r="D42" s="24"/>
      <c r="E42" s="12" t="s">
        <v>38</v>
      </c>
      <c r="F42" s="25">
        <v>0</v>
      </c>
      <c r="G42" s="12" t="s">
        <v>139</v>
      </c>
      <c r="H42" s="12">
        <v>0</v>
      </c>
      <c r="I42" s="12">
        <v>0</v>
      </c>
      <c r="J42" s="12">
        <v>0</v>
      </c>
      <c r="K42" s="12">
        <v>0</v>
      </c>
      <c r="L42" s="13">
        <v>0</v>
      </c>
      <c r="M42" s="13">
        <v>0</v>
      </c>
      <c r="N42" s="12">
        <v>0</v>
      </c>
      <c r="O42" s="12">
        <v>0</v>
      </c>
      <c r="P42" s="12">
        <v>0</v>
      </c>
      <c r="Q42" s="14">
        <v>0</v>
      </c>
      <c r="R42" s="15">
        <v>37396.359000000004</v>
      </c>
      <c r="S42" s="16">
        <v>37396.359000000004</v>
      </c>
      <c r="T42" s="15">
        <v>10545</v>
      </c>
      <c r="U42" s="16">
        <v>0</v>
      </c>
      <c r="V42" s="15">
        <v>16010</v>
      </c>
      <c r="W42" s="16">
        <v>0</v>
      </c>
      <c r="X42" s="15">
        <v>1695.98</v>
      </c>
      <c r="Y42" s="16">
        <v>0</v>
      </c>
      <c r="Z42" s="15">
        <v>7364.6</v>
      </c>
      <c r="AA42" s="16">
        <v>0</v>
      </c>
      <c r="AB42" s="15">
        <v>1780.7790000000002</v>
      </c>
      <c r="AC42" s="16">
        <v>0</v>
      </c>
      <c r="AD42" s="15">
        <v>0</v>
      </c>
      <c r="AE42" s="16">
        <v>0</v>
      </c>
      <c r="AF42" s="15">
        <v>0</v>
      </c>
      <c r="AG42" s="16">
        <v>0</v>
      </c>
      <c r="AH42" s="15">
        <v>0</v>
      </c>
      <c r="AI42" s="15" t="s">
        <v>140</v>
      </c>
      <c r="AJ42" s="14">
        <v>0.56781249999999994</v>
      </c>
      <c r="AK42" s="17">
        <v>43139</v>
      </c>
      <c r="AL42" s="18" t="s">
        <v>40</v>
      </c>
      <c r="AM42" s="14" t="s">
        <v>43</v>
      </c>
      <c r="AN42" s="14" t="s">
        <v>36</v>
      </c>
      <c r="AO42" s="14" t="s">
        <v>141</v>
      </c>
      <c r="AP42" s="14" t="s">
        <v>37</v>
      </c>
      <c r="AQ42" s="14" t="s">
        <v>108</v>
      </c>
      <c r="AR42" s="14" t="s">
        <v>4</v>
      </c>
      <c r="AS42" s="14">
        <v>0</v>
      </c>
      <c r="AT42" s="14">
        <v>0</v>
      </c>
      <c r="AU42" s="14">
        <v>0</v>
      </c>
      <c r="AV42" s="14">
        <v>0</v>
      </c>
      <c r="AW42" s="14"/>
      <c r="AX42" s="14"/>
      <c r="AY42" s="14"/>
      <c r="AZ42" s="14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</row>
    <row r="43" spans="1:66" s="2" customFormat="1" ht="12" customHeight="1" x14ac:dyDescent="0.25">
      <c r="A43" s="9">
        <f t="shared" si="0"/>
        <v>1</v>
      </c>
      <c r="B43" s="6"/>
      <c r="C43" s="6"/>
      <c r="D43" s="24"/>
      <c r="E43" s="12" t="s">
        <v>38</v>
      </c>
      <c r="F43" s="25">
        <v>0</v>
      </c>
      <c r="G43" s="12" t="s">
        <v>142</v>
      </c>
      <c r="H43" s="12">
        <v>0</v>
      </c>
      <c r="I43" s="12">
        <v>0</v>
      </c>
      <c r="J43" s="12">
        <v>0</v>
      </c>
      <c r="K43" s="12">
        <v>0</v>
      </c>
      <c r="L43" s="13">
        <v>0</v>
      </c>
      <c r="M43" s="13">
        <v>0</v>
      </c>
      <c r="N43" s="12">
        <v>0</v>
      </c>
      <c r="O43" s="12">
        <v>0</v>
      </c>
      <c r="P43" s="12">
        <v>0</v>
      </c>
      <c r="Q43" s="14">
        <v>0</v>
      </c>
      <c r="R43" s="15">
        <v>0</v>
      </c>
      <c r="S43" s="16">
        <v>0</v>
      </c>
      <c r="T43" s="15">
        <v>0</v>
      </c>
      <c r="U43" s="16">
        <v>0</v>
      </c>
      <c r="V43" s="15">
        <v>0</v>
      </c>
      <c r="W43" s="16">
        <v>0</v>
      </c>
      <c r="X43" s="15">
        <v>0</v>
      </c>
      <c r="Y43" s="16">
        <v>0</v>
      </c>
      <c r="Z43" s="15">
        <v>0</v>
      </c>
      <c r="AA43" s="16">
        <v>0</v>
      </c>
      <c r="AB43" s="15">
        <v>0</v>
      </c>
      <c r="AC43" s="16">
        <v>0</v>
      </c>
      <c r="AD43" s="15">
        <v>0</v>
      </c>
      <c r="AE43" s="16">
        <v>0</v>
      </c>
      <c r="AF43" s="15">
        <v>0</v>
      </c>
      <c r="AG43" s="16">
        <v>0</v>
      </c>
      <c r="AH43" s="15">
        <v>0</v>
      </c>
      <c r="AI43" s="15" t="s">
        <v>143</v>
      </c>
      <c r="AJ43" s="14">
        <v>0.37874999999999998</v>
      </c>
      <c r="AK43" s="17">
        <v>43115</v>
      </c>
      <c r="AL43" s="18" t="s">
        <v>40</v>
      </c>
      <c r="AM43" s="14" t="s">
        <v>43</v>
      </c>
      <c r="AN43" s="14" t="s">
        <v>36</v>
      </c>
      <c r="AO43" s="14" t="s">
        <v>144</v>
      </c>
      <c r="AP43" s="14" t="s">
        <v>37</v>
      </c>
      <c r="AQ43" s="14" t="s">
        <v>108</v>
      </c>
      <c r="AR43" s="14" t="s">
        <v>4</v>
      </c>
      <c r="AS43" s="14">
        <v>0</v>
      </c>
      <c r="AT43" s="14">
        <v>0</v>
      </c>
      <c r="AU43" s="14">
        <v>0</v>
      </c>
      <c r="AV43" s="14">
        <v>0</v>
      </c>
      <c r="AW43" s="14"/>
      <c r="AX43" s="14"/>
      <c r="AY43" s="14"/>
      <c r="AZ43" s="14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</row>
    <row r="44" spans="1:66" s="2" customFormat="1" ht="12" customHeight="1" x14ac:dyDescent="0.25">
      <c r="A44" s="9">
        <f t="shared" si="0"/>
        <v>1</v>
      </c>
      <c r="B44" s="6"/>
      <c r="C44" s="6"/>
      <c r="D44" s="24"/>
      <c r="E44" s="12" t="s">
        <v>38</v>
      </c>
      <c r="F44" s="25">
        <v>0</v>
      </c>
      <c r="G44" s="12" t="s">
        <v>145</v>
      </c>
      <c r="H44" s="12">
        <v>0</v>
      </c>
      <c r="I44" s="12">
        <v>0</v>
      </c>
      <c r="J44" s="12">
        <v>0</v>
      </c>
      <c r="K44" s="12">
        <v>0</v>
      </c>
      <c r="L44" s="13">
        <v>0</v>
      </c>
      <c r="M44" s="13">
        <v>0</v>
      </c>
      <c r="N44" s="12">
        <v>0</v>
      </c>
      <c r="O44" s="12">
        <v>0</v>
      </c>
      <c r="P44" s="12">
        <v>0</v>
      </c>
      <c r="Q44" s="14">
        <v>0</v>
      </c>
      <c r="R44" s="15">
        <v>1596361.69</v>
      </c>
      <c r="S44" s="16">
        <v>1596361.69</v>
      </c>
      <c r="T44" s="15">
        <v>831616</v>
      </c>
      <c r="U44" s="16">
        <v>0</v>
      </c>
      <c r="V44" s="15">
        <v>374200</v>
      </c>
      <c r="W44" s="16">
        <v>0</v>
      </c>
      <c r="X44" s="15">
        <v>189291.9</v>
      </c>
      <c r="Y44" s="16">
        <v>0</v>
      </c>
      <c r="Z44" s="15">
        <v>56130</v>
      </c>
      <c r="AA44" s="16">
        <v>0</v>
      </c>
      <c r="AB44" s="15">
        <v>145123.79</v>
      </c>
      <c r="AC44" s="16">
        <v>0</v>
      </c>
      <c r="AD44" s="15">
        <v>0</v>
      </c>
      <c r="AE44" s="16">
        <v>0</v>
      </c>
      <c r="AF44" s="15">
        <v>0</v>
      </c>
      <c r="AG44" s="16">
        <v>0</v>
      </c>
      <c r="AH44" s="15">
        <v>0</v>
      </c>
      <c r="AI44" s="15" t="s">
        <v>146</v>
      </c>
      <c r="AJ44" s="14">
        <v>0.80732638888888886</v>
      </c>
      <c r="AK44" s="17">
        <v>43131</v>
      </c>
      <c r="AL44" s="18" t="s">
        <v>40</v>
      </c>
      <c r="AM44" s="14" t="s">
        <v>43</v>
      </c>
      <c r="AN44" s="14" t="s">
        <v>36</v>
      </c>
      <c r="AO44" s="14" t="s">
        <v>147</v>
      </c>
      <c r="AP44" s="14" t="s">
        <v>37</v>
      </c>
      <c r="AQ44" s="14" t="s">
        <v>108</v>
      </c>
      <c r="AR44" s="14" t="s">
        <v>4</v>
      </c>
      <c r="AS44" s="14">
        <v>0</v>
      </c>
      <c r="AT44" s="14">
        <v>0</v>
      </c>
      <c r="AU44" s="14">
        <v>0</v>
      </c>
      <c r="AV44" s="14">
        <v>0</v>
      </c>
      <c r="AW44" s="14"/>
      <c r="AX44" s="14"/>
      <c r="AY44" s="14"/>
      <c r="AZ44" s="14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</row>
    <row r="45" spans="1:66" s="2" customFormat="1" ht="12" customHeight="1" x14ac:dyDescent="0.25">
      <c r="A45" s="9">
        <f t="shared" si="0"/>
        <v>1</v>
      </c>
      <c r="B45" s="6"/>
      <c r="C45" s="6"/>
      <c r="D45" s="24"/>
      <c r="E45" s="12" t="s">
        <v>38</v>
      </c>
      <c r="F45" s="25">
        <v>0</v>
      </c>
      <c r="G45" s="12" t="s">
        <v>148</v>
      </c>
      <c r="H45" s="12">
        <v>0</v>
      </c>
      <c r="I45" s="12">
        <v>0</v>
      </c>
      <c r="J45" s="12">
        <v>0</v>
      </c>
      <c r="K45" s="12">
        <v>0</v>
      </c>
      <c r="L45" s="13">
        <v>0</v>
      </c>
      <c r="M45" s="13">
        <v>0</v>
      </c>
      <c r="N45" s="12">
        <v>0</v>
      </c>
      <c r="O45" s="12">
        <v>0</v>
      </c>
      <c r="P45" s="12">
        <v>0</v>
      </c>
      <c r="Q45" s="14">
        <v>0</v>
      </c>
      <c r="R45" s="15">
        <v>1520705.72</v>
      </c>
      <c r="S45" s="16">
        <v>1520705.72</v>
      </c>
      <c r="T45" s="15">
        <v>833024</v>
      </c>
      <c r="U45" s="16">
        <v>0</v>
      </c>
      <c r="V45" s="15">
        <v>275520</v>
      </c>
      <c r="W45" s="16">
        <v>0</v>
      </c>
      <c r="X45" s="15">
        <v>172480.8</v>
      </c>
      <c r="Y45" s="16">
        <v>0</v>
      </c>
      <c r="Z45" s="15">
        <v>41328</v>
      </c>
      <c r="AA45" s="16">
        <v>0</v>
      </c>
      <c r="AB45" s="15">
        <v>198352.92</v>
      </c>
      <c r="AC45" s="16">
        <v>0</v>
      </c>
      <c r="AD45" s="15">
        <v>0</v>
      </c>
      <c r="AE45" s="16">
        <v>0</v>
      </c>
      <c r="AF45" s="15">
        <v>0</v>
      </c>
      <c r="AG45" s="16">
        <v>0</v>
      </c>
      <c r="AH45" s="15">
        <v>0</v>
      </c>
      <c r="AI45" s="15" t="s">
        <v>149</v>
      </c>
      <c r="AJ45" s="14">
        <v>0.3401851851851852</v>
      </c>
      <c r="AK45" s="17">
        <v>43133</v>
      </c>
      <c r="AL45" s="18" t="s">
        <v>40</v>
      </c>
      <c r="AM45" s="14" t="s">
        <v>43</v>
      </c>
      <c r="AN45" s="14" t="s">
        <v>36</v>
      </c>
      <c r="AO45" s="14" t="s">
        <v>150</v>
      </c>
      <c r="AP45" s="14" t="s">
        <v>37</v>
      </c>
      <c r="AQ45" s="14" t="s">
        <v>108</v>
      </c>
      <c r="AR45" s="14" t="s">
        <v>4</v>
      </c>
      <c r="AS45" s="14">
        <v>0</v>
      </c>
      <c r="AT45" s="14">
        <v>0</v>
      </c>
      <c r="AU45" s="14">
        <v>0</v>
      </c>
      <c r="AV45" s="14">
        <v>0</v>
      </c>
      <c r="AW45" s="14"/>
      <c r="AX45" s="14"/>
      <c r="AY45" s="14"/>
      <c r="AZ45" s="14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</row>
    <row r="46" spans="1:66" s="2" customFormat="1" ht="12" customHeight="1" x14ac:dyDescent="0.25">
      <c r="A46" s="9">
        <f t="shared" si="0"/>
        <v>1</v>
      </c>
      <c r="B46" s="6"/>
      <c r="C46" s="6"/>
      <c r="D46" s="24"/>
      <c r="E46" s="12" t="s">
        <v>38</v>
      </c>
      <c r="F46" s="25">
        <v>0</v>
      </c>
      <c r="G46" s="12" t="s">
        <v>151</v>
      </c>
      <c r="H46" s="12">
        <v>0</v>
      </c>
      <c r="I46" s="12">
        <v>0</v>
      </c>
      <c r="J46" s="12">
        <v>0</v>
      </c>
      <c r="K46" s="12">
        <v>0</v>
      </c>
      <c r="L46" s="13">
        <v>0</v>
      </c>
      <c r="M46" s="13">
        <v>0</v>
      </c>
      <c r="N46" s="12">
        <v>0</v>
      </c>
      <c r="O46" s="12">
        <v>0</v>
      </c>
      <c r="P46" s="12">
        <v>0</v>
      </c>
      <c r="Q46" s="14">
        <v>0</v>
      </c>
      <c r="R46" s="15">
        <v>611395.45500000007</v>
      </c>
      <c r="S46" s="16">
        <v>611395.45500000007</v>
      </c>
      <c r="T46" s="15">
        <v>372103</v>
      </c>
      <c r="U46" s="16">
        <v>0</v>
      </c>
      <c r="V46" s="15">
        <v>121075</v>
      </c>
      <c r="W46" s="16">
        <v>0</v>
      </c>
      <c r="X46" s="15">
        <v>50528.55</v>
      </c>
      <c r="Y46" s="16">
        <v>0</v>
      </c>
      <c r="Z46" s="15">
        <v>12107.5</v>
      </c>
      <c r="AA46" s="16">
        <v>0</v>
      </c>
      <c r="AB46" s="15">
        <v>55581.405000000006</v>
      </c>
      <c r="AC46" s="16">
        <v>0</v>
      </c>
      <c r="AD46" s="15">
        <v>0</v>
      </c>
      <c r="AE46" s="16">
        <v>0</v>
      </c>
      <c r="AF46" s="15">
        <v>0</v>
      </c>
      <c r="AG46" s="16">
        <v>0</v>
      </c>
      <c r="AH46" s="15">
        <v>0</v>
      </c>
      <c r="AI46" s="15" t="s">
        <v>152</v>
      </c>
      <c r="AJ46" s="14">
        <v>0.60715277777777776</v>
      </c>
      <c r="AK46" s="17">
        <v>43181</v>
      </c>
      <c r="AL46" s="18" t="s">
        <v>40</v>
      </c>
      <c r="AM46" s="14" t="s">
        <v>43</v>
      </c>
      <c r="AN46" s="14" t="s">
        <v>36</v>
      </c>
      <c r="AO46" s="14" t="s">
        <v>153</v>
      </c>
      <c r="AP46" s="14" t="s">
        <v>37</v>
      </c>
      <c r="AQ46" s="14" t="s">
        <v>108</v>
      </c>
      <c r="AR46" s="14" t="s">
        <v>4</v>
      </c>
      <c r="AS46" s="14">
        <v>0</v>
      </c>
      <c r="AT46" s="14">
        <v>0</v>
      </c>
      <c r="AU46" s="14">
        <v>0</v>
      </c>
      <c r="AV46" s="14">
        <v>0</v>
      </c>
      <c r="AW46" s="14"/>
      <c r="AX46" s="14"/>
      <c r="AY46" s="14"/>
      <c r="AZ46" s="14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</row>
    <row r="47" spans="1:66" s="2" customFormat="1" ht="12" customHeight="1" x14ac:dyDescent="0.25">
      <c r="A47" s="9">
        <f t="shared" si="0"/>
        <v>1</v>
      </c>
      <c r="B47" s="6"/>
      <c r="C47" s="6"/>
      <c r="D47" s="24"/>
      <c r="E47" s="12" t="s">
        <v>38</v>
      </c>
      <c r="F47" s="25">
        <v>0</v>
      </c>
      <c r="G47" s="12" t="s">
        <v>154</v>
      </c>
      <c r="H47" s="12">
        <v>0</v>
      </c>
      <c r="I47" s="12">
        <v>0</v>
      </c>
      <c r="J47" s="12">
        <v>0</v>
      </c>
      <c r="K47" s="12">
        <v>0</v>
      </c>
      <c r="L47" s="13">
        <v>0</v>
      </c>
      <c r="M47" s="13">
        <v>0</v>
      </c>
      <c r="N47" s="12">
        <v>0</v>
      </c>
      <c r="O47" s="12">
        <v>0</v>
      </c>
      <c r="P47" s="12">
        <v>0</v>
      </c>
      <c r="Q47" s="14">
        <v>0</v>
      </c>
      <c r="R47" s="15">
        <v>734219.53</v>
      </c>
      <c r="S47" s="16">
        <v>734219.53</v>
      </c>
      <c r="T47" s="15">
        <v>451528</v>
      </c>
      <c r="U47" s="16">
        <v>0</v>
      </c>
      <c r="V47" s="15">
        <v>141150</v>
      </c>
      <c r="W47" s="16">
        <v>0</v>
      </c>
      <c r="X47" s="15">
        <v>60679.3</v>
      </c>
      <c r="Y47" s="16">
        <v>0</v>
      </c>
      <c r="Z47" s="15">
        <v>14115</v>
      </c>
      <c r="AA47" s="16">
        <v>0</v>
      </c>
      <c r="AB47" s="15">
        <v>66747.23000000001</v>
      </c>
      <c r="AC47" s="16">
        <v>0</v>
      </c>
      <c r="AD47" s="15">
        <v>0</v>
      </c>
      <c r="AE47" s="16">
        <v>0</v>
      </c>
      <c r="AF47" s="15">
        <v>0</v>
      </c>
      <c r="AG47" s="16">
        <v>0</v>
      </c>
      <c r="AH47" s="15">
        <v>0</v>
      </c>
      <c r="AI47" s="15" t="s">
        <v>155</v>
      </c>
      <c r="AJ47" s="14">
        <v>0.50026620370370367</v>
      </c>
      <c r="AK47" s="17">
        <v>43145</v>
      </c>
      <c r="AL47" s="18" t="s">
        <v>40</v>
      </c>
      <c r="AM47" s="14" t="s">
        <v>43</v>
      </c>
      <c r="AN47" s="14" t="s">
        <v>36</v>
      </c>
      <c r="AO47" s="14" t="s">
        <v>156</v>
      </c>
      <c r="AP47" s="14" t="s">
        <v>37</v>
      </c>
      <c r="AQ47" s="14" t="s">
        <v>108</v>
      </c>
      <c r="AR47" s="14" t="s">
        <v>4</v>
      </c>
      <c r="AS47" s="14">
        <v>0</v>
      </c>
      <c r="AT47" s="14">
        <v>0</v>
      </c>
      <c r="AU47" s="14">
        <v>0</v>
      </c>
      <c r="AV47" s="14">
        <v>0</v>
      </c>
      <c r="AW47" s="14"/>
      <c r="AX47" s="14"/>
      <c r="AY47" s="14"/>
      <c r="AZ47" s="14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</row>
    <row r="48" spans="1:66" s="2" customFormat="1" ht="12" customHeight="1" x14ac:dyDescent="0.25">
      <c r="A48" s="9">
        <f t="shared" si="0"/>
        <v>1</v>
      </c>
      <c r="B48" s="6"/>
      <c r="C48" s="6"/>
      <c r="D48" s="24"/>
      <c r="E48" s="12" t="s">
        <v>38</v>
      </c>
      <c r="F48" s="25">
        <v>0</v>
      </c>
      <c r="G48" s="12" t="s">
        <v>157</v>
      </c>
      <c r="H48" s="12">
        <v>0</v>
      </c>
      <c r="I48" s="12">
        <v>0</v>
      </c>
      <c r="J48" s="12">
        <v>0</v>
      </c>
      <c r="K48" s="12">
        <v>0</v>
      </c>
      <c r="L48" s="13">
        <v>0</v>
      </c>
      <c r="M48" s="13">
        <v>0</v>
      </c>
      <c r="N48" s="12">
        <v>0</v>
      </c>
      <c r="O48" s="12">
        <v>0</v>
      </c>
      <c r="P48" s="12">
        <v>0</v>
      </c>
      <c r="Q48" s="14">
        <v>0</v>
      </c>
      <c r="R48" s="15">
        <v>1285719.9850000001</v>
      </c>
      <c r="S48" s="16">
        <v>1285719.9850000001</v>
      </c>
      <c r="T48" s="15">
        <v>782381</v>
      </c>
      <c r="U48" s="16">
        <v>0</v>
      </c>
      <c r="V48" s="15">
        <v>254725</v>
      </c>
      <c r="W48" s="16">
        <v>0</v>
      </c>
      <c r="X48" s="15">
        <v>106257.85</v>
      </c>
      <c r="Y48" s="16">
        <v>0</v>
      </c>
      <c r="Z48" s="15">
        <v>25472.5</v>
      </c>
      <c r="AA48" s="16">
        <v>0</v>
      </c>
      <c r="AB48" s="15">
        <v>116883.63500000001</v>
      </c>
      <c r="AC48" s="16">
        <v>0</v>
      </c>
      <c r="AD48" s="15">
        <v>0</v>
      </c>
      <c r="AE48" s="16">
        <v>0</v>
      </c>
      <c r="AF48" s="15">
        <v>0</v>
      </c>
      <c r="AG48" s="16">
        <v>0</v>
      </c>
      <c r="AH48" s="15">
        <v>0</v>
      </c>
      <c r="AI48" s="15" t="s">
        <v>158</v>
      </c>
      <c r="AJ48" s="14">
        <v>0.68622685185185184</v>
      </c>
      <c r="AK48" s="17">
        <v>43138</v>
      </c>
      <c r="AL48" s="18" t="s">
        <v>40</v>
      </c>
      <c r="AM48" s="14" t="s">
        <v>43</v>
      </c>
      <c r="AN48" s="14" t="s">
        <v>36</v>
      </c>
      <c r="AO48" s="14" t="s">
        <v>159</v>
      </c>
      <c r="AP48" s="14" t="s">
        <v>37</v>
      </c>
      <c r="AQ48" s="14" t="s">
        <v>108</v>
      </c>
      <c r="AR48" s="14" t="s">
        <v>4</v>
      </c>
      <c r="AS48" s="14">
        <v>0</v>
      </c>
      <c r="AT48" s="14">
        <v>0</v>
      </c>
      <c r="AU48" s="14">
        <v>0</v>
      </c>
      <c r="AV48" s="14">
        <v>0</v>
      </c>
      <c r="AW48" s="14"/>
      <c r="AX48" s="14"/>
      <c r="AY48" s="14"/>
      <c r="AZ48" s="14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</row>
    <row r="49" spans="1:66" s="2" customFormat="1" ht="12" customHeight="1" x14ac:dyDescent="0.25">
      <c r="A49" s="9">
        <f t="shared" si="0"/>
        <v>1</v>
      </c>
      <c r="B49" s="6"/>
      <c r="C49" s="6"/>
      <c r="D49" s="24"/>
      <c r="E49" s="12" t="s">
        <v>38</v>
      </c>
      <c r="F49" s="25">
        <v>0</v>
      </c>
      <c r="G49" s="12" t="s">
        <v>160</v>
      </c>
      <c r="H49" s="12">
        <v>0</v>
      </c>
      <c r="I49" s="12">
        <v>0</v>
      </c>
      <c r="J49" s="12">
        <v>0</v>
      </c>
      <c r="K49" s="12">
        <v>0</v>
      </c>
      <c r="L49" s="13">
        <v>0</v>
      </c>
      <c r="M49" s="13">
        <v>0</v>
      </c>
      <c r="N49" s="12">
        <v>0</v>
      </c>
      <c r="O49" s="12">
        <v>0</v>
      </c>
      <c r="P49" s="12">
        <v>0</v>
      </c>
      <c r="Q49" s="14">
        <v>0</v>
      </c>
      <c r="R49" s="15">
        <v>208200.52538799998</v>
      </c>
      <c r="S49" s="16">
        <v>208200.52538799998</v>
      </c>
      <c r="T49" s="15">
        <v>34590.04</v>
      </c>
      <c r="U49" s="16">
        <v>0</v>
      </c>
      <c r="V49" s="15">
        <v>107753.92</v>
      </c>
      <c r="W49" s="16">
        <v>0</v>
      </c>
      <c r="X49" s="15">
        <v>23614.426319999995</v>
      </c>
      <c r="Y49" s="16">
        <v>0</v>
      </c>
      <c r="Z49" s="15">
        <v>15085.5488</v>
      </c>
      <c r="AA49" s="16">
        <v>0</v>
      </c>
      <c r="AB49" s="15">
        <v>27156.590267999996</v>
      </c>
      <c r="AC49" s="16">
        <v>0</v>
      </c>
      <c r="AD49" s="15">
        <v>0</v>
      </c>
      <c r="AE49" s="16">
        <v>0</v>
      </c>
      <c r="AF49" s="15">
        <v>0</v>
      </c>
      <c r="AG49" s="16">
        <v>0</v>
      </c>
      <c r="AH49" s="15">
        <v>0</v>
      </c>
      <c r="AI49" s="15" t="s">
        <v>161</v>
      </c>
      <c r="AJ49" s="14">
        <v>0.41112268518518519</v>
      </c>
      <c r="AK49" s="17">
        <v>43152</v>
      </c>
      <c r="AL49" s="18" t="s">
        <v>40</v>
      </c>
      <c r="AM49" s="14" t="s">
        <v>43</v>
      </c>
      <c r="AN49" s="14" t="s">
        <v>36</v>
      </c>
      <c r="AO49" s="14" t="s">
        <v>162</v>
      </c>
      <c r="AP49" s="14" t="s">
        <v>37</v>
      </c>
      <c r="AQ49" s="14" t="s">
        <v>108</v>
      </c>
      <c r="AR49" s="14" t="s">
        <v>4</v>
      </c>
      <c r="AS49" s="14">
        <v>0</v>
      </c>
      <c r="AT49" s="14">
        <v>0</v>
      </c>
      <c r="AU49" s="14">
        <v>0</v>
      </c>
      <c r="AV49" s="14">
        <v>0</v>
      </c>
      <c r="AW49" s="14"/>
      <c r="AX49" s="14"/>
      <c r="AY49" s="14"/>
      <c r="AZ49" s="14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</row>
    <row r="50" spans="1:66" s="2" customFormat="1" ht="12" customHeight="1" x14ac:dyDescent="0.25">
      <c r="A50" s="9">
        <f t="shared" si="0"/>
        <v>1</v>
      </c>
      <c r="B50" s="6"/>
      <c r="C50" s="6"/>
      <c r="D50" s="24"/>
      <c r="E50" s="12" t="s">
        <v>38</v>
      </c>
      <c r="F50" s="25">
        <v>0</v>
      </c>
      <c r="G50" s="12" t="s">
        <v>163</v>
      </c>
      <c r="H50" s="12">
        <v>0</v>
      </c>
      <c r="I50" s="12">
        <v>0</v>
      </c>
      <c r="J50" s="12">
        <v>0</v>
      </c>
      <c r="K50" s="12">
        <v>0</v>
      </c>
      <c r="L50" s="13">
        <v>0</v>
      </c>
      <c r="M50" s="13">
        <v>0</v>
      </c>
      <c r="N50" s="12">
        <v>0</v>
      </c>
      <c r="O50" s="12">
        <v>0</v>
      </c>
      <c r="P50" s="12">
        <v>0</v>
      </c>
      <c r="Q50" s="14">
        <v>0</v>
      </c>
      <c r="R50" s="15">
        <v>508687.06125000003</v>
      </c>
      <c r="S50" s="16">
        <v>508687.06125000003</v>
      </c>
      <c r="T50" s="15">
        <v>201928.5</v>
      </c>
      <c r="U50" s="16">
        <v>0</v>
      </c>
      <c r="V50" s="15">
        <v>158880</v>
      </c>
      <c r="W50" s="16">
        <v>0</v>
      </c>
      <c r="X50" s="15">
        <v>57696.074999999997</v>
      </c>
      <c r="Y50" s="16">
        <v>0</v>
      </c>
      <c r="Z50" s="15">
        <v>23832</v>
      </c>
      <c r="AA50" s="16">
        <v>0</v>
      </c>
      <c r="AB50" s="15">
        <v>66350.486250000002</v>
      </c>
      <c r="AC50" s="16">
        <v>0</v>
      </c>
      <c r="AD50" s="15">
        <v>0</v>
      </c>
      <c r="AE50" s="16">
        <v>0</v>
      </c>
      <c r="AF50" s="15">
        <v>0</v>
      </c>
      <c r="AG50" s="16">
        <v>0</v>
      </c>
      <c r="AH50" s="15">
        <v>0</v>
      </c>
      <c r="AI50" s="15" t="s">
        <v>164</v>
      </c>
      <c r="AJ50" s="14">
        <v>0.48872685185185188</v>
      </c>
      <c r="AK50" s="17">
        <v>43153</v>
      </c>
      <c r="AL50" s="18" t="s">
        <v>40</v>
      </c>
      <c r="AM50" s="14" t="s">
        <v>43</v>
      </c>
      <c r="AN50" s="14" t="s">
        <v>36</v>
      </c>
      <c r="AO50" s="14" t="s">
        <v>165</v>
      </c>
      <c r="AP50" s="14" t="s">
        <v>37</v>
      </c>
      <c r="AQ50" s="14" t="s">
        <v>108</v>
      </c>
      <c r="AR50" s="14" t="s">
        <v>4</v>
      </c>
      <c r="AS50" s="14">
        <v>0</v>
      </c>
      <c r="AT50" s="14">
        <v>0</v>
      </c>
      <c r="AU50" s="14">
        <v>0</v>
      </c>
      <c r="AV50" s="14">
        <v>0</v>
      </c>
      <c r="AW50" s="14"/>
      <c r="AX50" s="14"/>
      <c r="AY50" s="14"/>
      <c r="AZ50" s="14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</row>
    <row r="51" spans="1:66" s="2" customFormat="1" ht="12" customHeight="1" x14ac:dyDescent="0.25">
      <c r="A51" s="9">
        <f t="shared" si="0"/>
        <v>1</v>
      </c>
      <c r="B51" s="6"/>
      <c r="C51" s="6"/>
      <c r="D51" s="24"/>
      <c r="E51" s="12" t="s">
        <v>38</v>
      </c>
      <c r="F51" s="25">
        <v>0</v>
      </c>
      <c r="G51" s="12" t="s">
        <v>166</v>
      </c>
      <c r="H51" s="12">
        <v>0</v>
      </c>
      <c r="I51" s="12">
        <v>0</v>
      </c>
      <c r="J51" s="12">
        <v>0</v>
      </c>
      <c r="K51" s="12">
        <v>0</v>
      </c>
      <c r="L51" s="13">
        <v>0</v>
      </c>
      <c r="M51" s="13">
        <v>0</v>
      </c>
      <c r="N51" s="12">
        <v>0</v>
      </c>
      <c r="O51" s="12">
        <v>0</v>
      </c>
      <c r="P51" s="12">
        <v>0</v>
      </c>
      <c r="Q51" s="14">
        <v>0</v>
      </c>
      <c r="R51" s="15">
        <v>0</v>
      </c>
      <c r="S51" s="16">
        <v>0</v>
      </c>
      <c r="T51" s="15">
        <v>0</v>
      </c>
      <c r="U51" s="16">
        <v>0</v>
      </c>
      <c r="V51" s="15">
        <v>0</v>
      </c>
      <c r="W51" s="16">
        <v>0</v>
      </c>
      <c r="X51" s="15">
        <v>0</v>
      </c>
      <c r="Y51" s="16">
        <v>0</v>
      </c>
      <c r="Z51" s="15">
        <v>0</v>
      </c>
      <c r="AA51" s="16">
        <v>0</v>
      </c>
      <c r="AB51" s="15">
        <v>0</v>
      </c>
      <c r="AC51" s="16">
        <v>0</v>
      </c>
      <c r="AD51" s="15">
        <v>0</v>
      </c>
      <c r="AE51" s="16">
        <v>0</v>
      </c>
      <c r="AF51" s="15">
        <v>0</v>
      </c>
      <c r="AG51" s="16">
        <v>0</v>
      </c>
      <c r="AH51" s="15">
        <v>0</v>
      </c>
      <c r="AI51" s="15" t="s">
        <v>167</v>
      </c>
      <c r="AJ51" s="14">
        <v>0.69945601851851846</v>
      </c>
      <c r="AK51" s="17">
        <v>43153</v>
      </c>
      <c r="AL51" s="18" t="s">
        <v>3</v>
      </c>
      <c r="AM51" s="14" t="s">
        <v>41</v>
      </c>
      <c r="AN51" s="14" t="s">
        <v>36</v>
      </c>
      <c r="AO51" s="14" t="s">
        <v>168</v>
      </c>
      <c r="AP51" s="14" t="s">
        <v>37</v>
      </c>
      <c r="AQ51" s="14" t="s">
        <v>108</v>
      </c>
      <c r="AR51" s="14" t="s">
        <v>4</v>
      </c>
      <c r="AS51" s="14">
        <v>0</v>
      </c>
      <c r="AT51" s="14">
        <v>0</v>
      </c>
      <c r="AU51" s="14">
        <v>0</v>
      </c>
      <c r="AV51" s="14">
        <v>0</v>
      </c>
      <c r="AW51" s="14"/>
      <c r="AX51" s="14"/>
      <c r="AY51" s="14"/>
      <c r="AZ51" s="14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</row>
    <row r="52" spans="1:66" s="2" customFormat="1" ht="12" customHeight="1" x14ac:dyDescent="0.25">
      <c r="A52" s="9">
        <f t="shared" si="0"/>
        <v>1</v>
      </c>
      <c r="B52" s="6"/>
      <c r="C52" s="6"/>
      <c r="D52" s="24"/>
      <c r="E52" s="12" t="s">
        <v>38</v>
      </c>
      <c r="F52" s="25">
        <v>0</v>
      </c>
      <c r="G52" s="12" t="s">
        <v>169</v>
      </c>
      <c r="H52" s="12">
        <v>0</v>
      </c>
      <c r="I52" s="12">
        <v>0</v>
      </c>
      <c r="J52" s="12">
        <v>0</v>
      </c>
      <c r="K52" s="12">
        <v>0</v>
      </c>
      <c r="L52" s="13">
        <v>0</v>
      </c>
      <c r="M52" s="13">
        <v>0</v>
      </c>
      <c r="N52" s="12">
        <v>0</v>
      </c>
      <c r="O52" s="12">
        <v>0</v>
      </c>
      <c r="P52" s="12">
        <v>0</v>
      </c>
      <c r="Q52" s="14">
        <v>0</v>
      </c>
      <c r="R52" s="15">
        <v>0</v>
      </c>
      <c r="S52" s="16">
        <v>0</v>
      </c>
      <c r="T52" s="15">
        <v>0</v>
      </c>
      <c r="U52" s="16">
        <v>0</v>
      </c>
      <c r="V52" s="15">
        <v>0</v>
      </c>
      <c r="W52" s="16">
        <v>0</v>
      </c>
      <c r="X52" s="15">
        <v>0</v>
      </c>
      <c r="Y52" s="16">
        <v>0</v>
      </c>
      <c r="Z52" s="15">
        <v>0</v>
      </c>
      <c r="AA52" s="16">
        <v>0</v>
      </c>
      <c r="AB52" s="15">
        <v>0</v>
      </c>
      <c r="AC52" s="16">
        <v>0</v>
      </c>
      <c r="AD52" s="15">
        <v>0</v>
      </c>
      <c r="AE52" s="16">
        <v>0</v>
      </c>
      <c r="AF52" s="15">
        <v>0</v>
      </c>
      <c r="AG52" s="16">
        <v>0</v>
      </c>
      <c r="AH52" s="15">
        <v>0</v>
      </c>
      <c r="AI52" s="15" t="s">
        <v>170</v>
      </c>
      <c r="AJ52" s="14">
        <v>0.48782407407407408</v>
      </c>
      <c r="AK52" s="17">
        <v>43160</v>
      </c>
      <c r="AL52" s="18" t="s">
        <v>40</v>
      </c>
      <c r="AM52" s="14" t="s">
        <v>43</v>
      </c>
      <c r="AN52" s="14" t="s">
        <v>36</v>
      </c>
      <c r="AO52" s="14" t="s">
        <v>171</v>
      </c>
      <c r="AP52" s="14" t="s">
        <v>37</v>
      </c>
      <c r="AQ52" s="14" t="s">
        <v>108</v>
      </c>
      <c r="AR52" s="14" t="s">
        <v>4</v>
      </c>
      <c r="AS52" s="14">
        <v>0</v>
      </c>
      <c r="AT52" s="14">
        <v>0</v>
      </c>
      <c r="AU52" s="14">
        <v>0</v>
      </c>
      <c r="AV52" s="14">
        <v>0</v>
      </c>
      <c r="AW52" s="14"/>
      <c r="AX52" s="14"/>
      <c r="AY52" s="14"/>
      <c r="AZ52" s="14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</row>
    <row r="53" spans="1:66" s="2" customFormat="1" ht="12" customHeight="1" x14ac:dyDescent="0.25">
      <c r="A53" s="9">
        <f t="shared" si="0"/>
        <v>1</v>
      </c>
      <c r="B53" s="6"/>
      <c r="C53" s="6"/>
      <c r="D53" s="24"/>
      <c r="E53" s="12" t="s">
        <v>38</v>
      </c>
      <c r="F53" s="25">
        <v>0</v>
      </c>
      <c r="G53" s="12" t="s">
        <v>172</v>
      </c>
      <c r="H53" s="12">
        <v>0</v>
      </c>
      <c r="I53" s="12">
        <v>0</v>
      </c>
      <c r="J53" s="12">
        <v>0</v>
      </c>
      <c r="K53" s="12">
        <v>0</v>
      </c>
      <c r="L53" s="13">
        <v>0</v>
      </c>
      <c r="M53" s="13">
        <v>0</v>
      </c>
      <c r="N53" s="12">
        <v>0</v>
      </c>
      <c r="O53" s="12">
        <v>0</v>
      </c>
      <c r="P53" s="12">
        <v>0</v>
      </c>
      <c r="Q53" s="14">
        <v>0</v>
      </c>
      <c r="R53" s="15">
        <v>4604.5912499999995</v>
      </c>
      <c r="S53" s="16">
        <v>4604.5912499999995</v>
      </c>
      <c r="T53" s="15">
        <v>2151.5</v>
      </c>
      <c r="U53" s="16">
        <v>0</v>
      </c>
      <c r="V53" s="15">
        <v>1350</v>
      </c>
      <c r="W53" s="16">
        <v>0</v>
      </c>
      <c r="X53" s="15">
        <v>208.82500000000002</v>
      </c>
      <c r="Y53" s="16">
        <v>0</v>
      </c>
      <c r="Z53" s="15">
        <v>675</v>
      </c>
      <c r="AA53" s="16">
        <v>0</v>
      </c>
      <c r="AB53" s="15">
        <v>219.26625000000001</v>
      </c>
      <c r="AC53" s="16">
        <v>0</v>
      </c>
      <c r="AD53" s="15">
        <v>0</v>
      </c>
      <c r="AE53" s="16">
        <v>0</v>
      </c>
      <c r="AF53" s="15">
        <v>0</v>
      </c>
      <c r="AG53" s="16">
        <v>0</v>
      </c>
      <c r="AH53" s="15">
        <v>0</v>
      </c>
      <c r="AI53" s="15" t="s">
        <v>173</v>
      </c>
      <c r="AJ53" s="14">
        <v>0.55259259259259264</v>
      </c>
      <c r="AK53" s="17">
        <v>43160</v>
      </c>
      <c r="AL53" s="18" t="s">
        <v>40</v>
      </c>
      <c r="AM53" s="14" t="s">
        <v>43</v>
      </c>
      <c r="AN53" s="14" t="s">
        <v>36</v>
      </c>
      <c r="AO53" s="14" t="s">
        <v>174</v>
      </c>
      <c r="AP53" s="14" t="s">
        <v>37</v>
      </c>
      <c r="AQ53" s="14" t="s">
        <v>108</v>
      </c>
      <c r="AR53" s="14" t="s">
        <v>4</v>
      </c>
      <c r="AS53" s="14">
        <v>0</v>
      </c>
      <c r="AT53" s="14">
        <v>0</v>
      </c>
      <c r="AU53" s="14">
        <v>0</v>
      </c>
      <c r="AV53" s="14">
        <v>0</v>
      </c>
      <c r="AW53" s="14"/>
      <c r="AX53" s="14"/>
      <c r="AY53" s="14"/>
      <c r="AZ53" s="14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</row>
    <row r="54" spans="1:66" s="2" customFormat="1" ht="12" customHeight="1" x14ac:dyDescent="0.25">
      <c r="A54" s="9">
        <f t="shared" si="0"/>
        <v>1</v>
      </c>
      <c r="B54" s="6"/>
      <c r="C54" s="6"/>
      <c r="D54" s="24"/>
      <c r="E54" s="12" t="s">
        <v>38</v>
      </c>
      <c r="F54" s="25">
        <v>0</v>
      </c>
      <c r="G54" s="12" t="s">
        <v>175</v>
      </c>
      <c r="H54" s="12">
        <v>0</v>
      </c>
      <c r="I54" s="12">
        <v>0</v>
      </c>
      <c r="J54" s="12">
        <v>0</v>
      </c>
      <c r="K54" s="12">
        <v>0</v>
      </c>
      <c r="L54" s="13">
        <v>0</v>
      </c>
      <c r="M54" s="13">
        <v>0</v>
      </c>
      <c r="N54" s="12">
        <v>0</v>
      </c>
      <c r="O54" s="12">
        <v>0</v>
      </c>
      <c r="P54" s="12">
        <v>0</v>
      </c>
      <c r="Q54" s="14">
        <v>0</v>
      </c>
      <c r="R54" s="15">
        <v>5605.11</v>
      </c>
      <c r="S54" s="16">
        <v>5605.11</v>
      </c>
      <c r="T54" s="15">
        <v>2384</v>
      </c>
      <c r="U54" s="16">
        <v>0</v>
      </c>
      <c r="V54" s="15">
        <v>1800</v>
      </c>
      <c r="W54" s="16">
        <v>0</v>
      </c>
      <c r="X54" s="15">
        <v>254.20000000000002</v>
      </c>
      <c r="Y54" s="16">
        <v>0</v>
      </c>
      <c r="Z54" s="15">
        <v>900</v>
      </c>
      <c r="AA54" s="16">
        <v>0</v>
      </c>
      <c r="AB54" s="15">
        <v>266.91000000000003</v>
      </c>
      <c r="AC54" s="16">
        <v>0</v>
      </c>
      <c r="AD54" s="15">
        <v>0</v>
      </c>
      <c r="AE54" s="16">
        <v>0</v>
      </c>
      <c r="AF54" s="15">
        <v>0</v>
      </c>
      <c r="AG54" s="16">
        <v>0</v>
      </c>
      <c r="AH54" s="15">
        <v>0</v>
      </c>
      <c r="AI54" s="15" t="s">
        <v>176</v>
      </c>
      <c r="AJ54" s="14">
        <v>0.57362268518518522</v>
      </c>
      <c r="AK54" s="17">
        <v>43160</v>
      </c>
      <c r="AL54" s="18" t="s">
        <v>40</v>
      </c>
      <c r="AM54" s="14" t="s">
        <v>43</v>
      </c>
      <c r="AN54" s="14" t="s">
        <v>36</v>
      </c>
      <c r="AO54" s="14" t="s">
        <v>177</v>
      </c>
      <c r="AP54" s="14" t="s">
        <v>37</v>
      </c>
      <c r="AQ54" s="14" t="s">
        <v>108</v>
      </c>
      <c r="AR54" s="14" t="s">
        <v>4</v>
      </c>
      <c r="AS54" s="14">
        <v>0</v>
      </c>
      <c r="AT54" s="14">
        <v>0</v>
      </c>
      <c r="AU54" s="14">
        <v>0</v>
      </c>
      <c r="AV54" s="14">
        <v>0</v>
      </c>
      <c r="AW54" s="14"/>
      <c r="AX54" s="14"/>
      <c r="AY54" s="14"/>
      <c r="AZ54" s="14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</row>
    <row r="55" spans="1:66" s="2" customFormat="1" ht="12" customHeight="1" x14ac:dyDescent="0.25">
      <c r="A55" s="9">
        <f t="shared" si="0"/>
        <v>1</v>
      </c>
      <c r="B55" s="6"/>
      <c r="C55" s="6"/>
      <c r="D55" s="24"/>
      <c r="E55" s="12" t="s">
        <v>38</v>
      </c>
      <c r="F55" s="25">
        <v>0</v>
      </c>
      <c r="G55" s="12" t="s">
        <v>178</v>
      </c>
      <c r="H55" s="12">
        <v>0</v>
      </c>
      <c r="I55" s="12">
        <v>0</v>
      </c>
      <c r="J55" s="12">
        <v>0</v>
      </c>
      <c r="K55" s="12">
        <v>0</v>
      </c>
      <c r="L55" s="13">
        <v>0</v>
      </c>
      <c r="M55" s="13">
        <v>0</v>
      </c>
      <c r="N55" s="12">
        <v>0</v>
      </c>
      <c r="O55" s="12">
        <v>0</v>
      </c>
      <c r="P55" s="12">
        <v>0</v>
      </c>
      <c r="Q55" s="14">
        <v>0</v>
      </c>
      <c r="R55" s="15">
        <v>40869.675000000003</v>
      </c>
      <c r="S55" s="16">
        <v>40869.675000000003</v>
      </c>
      <c r="T55" s="15">
        <v>27350</v>
      </c>
      <c r="U55" s="16">
        <v>0</v>
      </c>
      <c r="V55" s="15">
        <v>5400</v>
      </c>
      <c r="W55" s="16">
        <v>0</v>
      </c>
      <c r="X55" s="15">
        <v>1853.5</v>
      </c>
      <c r="Y55" s="16">
        <v>0</v>
      </c>
      <c r="Z55" s="15">
        <v>4320</v>
      </c>
      <c r="AA55" s="16">
        <v>0</v>
      </c>
      <c r="AB55" s="15">
        <v>1946.1750000000002</v>
      </c>
      <c r="AC55" s="16">
        <v>0</v>
      </c>
      <c r="AD55" s="15">
        <v>0</v>
      </c>
      <c r="AE55" s="16">
        <v>0</v>
      </c>
      <c r="AF55" s="15">
        <v>0</v>
      </c>
      <c r="AG55" s="16">
        <v>0</v>
      </c>
      <c r="AH55" s="15">
        <v>0</v>
      </c>
      <c r="AI55" s="15" t="s">
        <v>179</v>
      </c>
      <c r="AJ55" s="14">
        <v>0.41222222222222221</v>
      </c>
      <c r="AK55" s="17">
        <v>43173</v>
      </c>
      <c r="AL55" s="18" t="s">
        <v>40</v>
      </c>
      <c r="AM55" s="14" t="s">
        <v>43</v>
      </c>
      <c r="AN55" s="14" t="s">
        <v>36</v>
      </c>
      <c r="AO55" s="14" t="s">
        <v>180</v>
      </c>
      <c r="AP55" s="14" t="s">
        <v>37</v>
      </c>
      <c r="AQ55" s="14" t="s">
        <v>108</v>
      </c>
      <c r="AR55" s="14" t="s">
        <v>4</v>
      </c>
      <c r="AS55" s="14">
        <v>0</v>
      </c>
      <c r="AT55" s="14">
        <v>0</v>
      </c>
      <c r="AU55" s="14">
        <v>0</v>
      </c>
      <c r="AV55" s="14">
        <v>0</v>
      </c>
      <c r="AW55" s="14"/>
      <c r="AX55" s="14"/>
      <c r="AY55" s="14"/>
      <c r="AZ55" s="14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</row>
    <row r="56" spans="1:66" s="2" customFormat="1" ht="12" customHeight="1" x14ac:dyDescent="0.25">
      <c r="A56" s="9">
        <f t="shared" si="0"/>
        <v>1</v>
      </c>
      <c r="B56" s="6"/>
      <c r="C56" s="6"/>
      <c r="D56" s="24"/>
      <c r="E56" s="12" t="s">
        <v>38</v>
      </c>
      <c r="F56" s="25">
        <v>0</v>
      </c>
      <c r="G56" s="12" t="s">
        <v>181</v>
      </c>
      <c r="H56" s="12">
        <v>0</v>
      </c>
      <c r="I56" s="12">
        <v>0</v>
      </c>
      <c r="J56" s="12">
        <v>0</v>
      </c>
      <c r="K56" s="12">
        <v>0</v>
      </c>
      <c r="L56" s="13">
        <v>0</v>
      </c>
      <c r="M56" s="13">
        <v>0</v>
      </c>
      <c r="N56" s="12">
        <v>0</v>
      </c>
      <c r="O56" s="12">
        <v>0</v>
      </c>
      <c r="P56" s="12">
        <v>0</v>
      </c>
      <c r="Q56" s="14">
        <v>0</v>
      </c>
      <c r="R56" s="15">
        <v>483488.17000000004</v>
      </c>
      <c r="S56" s="16">
        <v>483488.17000000004</v>
      </c>
      <c r="T56" s="15">
        <v>262902</v>
      </c>
      <c r="U56" s="16">
        <v>0</v>
      </c>
      <c r="V56" s="15">
        <v>124250</v>
      </c>
      <c r="W56" s="16">
        <v>0</v>
      </c>
      <c r="X56" s="15">
        <v>39957.700000000004</v>
      </c>
      <c r="Y56" s="16">
        <v>0</v>
      </c>
      <c r="Z56" s="15">
        <v>12425</v>
      </c>
      <c r="AA56" s="16">
        <v>0</v>
      </c>
      <c r="AB56" s="15">
        <v>43953.47</v>
      </c>
      <c r="AC56" s="16">
        <v>0</v>
      </c>
      <c r="AD56" s="15">
        <v>0</v>
      </c>
      <c r="AE56" s="16">
        <v>0</v>
      </c>
      <c r="AF56" s="15">
        <v>0</v>
      </c>
      <c r="AG56" s="16">
        <v>0</v>
      </c>
      <c r="AH56" s="15">
        <v>0</v>
      </c>
      <c r="AI56" s="15" t="s">
        <v>182</v>
      </c>
      <c r="AJ56" s="14">
        <v>0.61229166666666668</v>
      </c>
      <c r="AK56" s="17">
        <v>43181</v>
      </c>
      <c r="AL56" s="18" t="s">
        <v>40</v>
      </c>
      <c r="AM56" s="14" t="s">
        <v>43</v>
      </c>
      <c r="AN56" s="14" t="s">
        <v>36</v>
      </c>
      <c r="AO56" s="14" t="s">
        <v>183</v>
      </c>
      <c r="AP56" s="14" t="s">
        <v>37</v>
      </c>
      <c r="AQ56" s="14" t="s">
        <v>184</v>
      </c>
      <c r="AR56" s="14" t="s">
        <v>4</v>
      </c>
      <c r="AS56" s="14">
        <v>0</v>
      </c>
      <c r="AT56" s="14">
        <v>0</v>
      </c>
      <c r="AU56" s="14">
        <v>0</v>
      </c>
      <c r="AV56" s="14">
        <v>0</v>
      </c>
      <c r="AW56" s="14"/>
      <c r="AX56" s="14"/>
      <c r="AY56" s="14"/>
      <c r="AZ56" s="14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</row>
    <row r="57" spans="1:66" s="2" customFormat="1" ht="12" customHeight="1" x14ac:dyDescent="0.25">
      <c r="A57" s="9">
        <f t="shared" si="0"/>
        <v>1</v>
      </c>
      <c r="B57" s="6"/>
      <c r="C57" s="6"/>
      <c r="D57" s="24"/>
      <c r="E57" s="12" t="s">
        <v>38</v>
      </c>
      <c r="F57" s="25">
        <v>0</v>
      </c>
      <c r="G57" s="12" t="s">
        <v>185</v>
      </c>
      <c r="H57" s="12">
        <v>0</v>
      </c>
      <c r="I57" s="12">
        <v>0</v>
      </c>
      <c r="J57" s="12">
        <v>0</v>
      </c>
      <c r="K57" s="12">
        <v>0</v>
      </c>
      <c r="L57" s="13">
        <v>0</v>
      </c>
      <c r="M57" s="13">
        <v>0</v>
      </c>
      <c r="N57" s="12">
        <v>0</v>
      </c>
      <c r="O57" s="12">
        <v>0</v>
      </c>
      <c r="P57" s="12">
        <v>0</v>
      </c>
      <c r="Q57" s="14">
        <v>0</v>
      </c>
      <c r="R57" s="15">
        <v>604092.39999999991</v>
      </c>
      <c r="S57" s="16">
        <v>604092.39999999991</v>
      </c>
      <c r="T57" s="15">
        <v>422829.29</v>
      </c>
      <c r="U57" s="16">
        <v>0</v>
      </c>
      <c r="V57" s="15">
        <v>181263.11</v>
      </c>
      <c r="W57" s="16">
        <v>0</v>
      </c>
      <c r="X57" s="15">
        <v>0</v>
      </c>
      <c r="Y57" s="16">
        <v>0</v>
      </c>
      <c r="Z57" s="15">
        <v>0</v>
      </c>
      <c r="AA57" s="16">
        <v>0</v>
      </c>
      <c r="AB57" s="15">
        <v>0</v>
      </c>
      <c r="AC57" s="16">
        <v>0</v>
      </c>
      <c r="AD57" s="15">
        <v>0</v>
      </c>
      <c r="AE57" s="16">
        <v>0</v>
      </c>
      <c r="AF57" s="15">
        <v>0</v>
      </c>
      <c r="AG57" s="16">
        <v>0</v>
      </c>
      <c r="AH57" s="15">
        <v>0</v>
      </c>
      <c r="AI57" s="15" t="s">
        <v>186</v>
      </c>
      <c r="AJ57" s="14">
        <v>0.41530092592592593</v>
      </c>
      <c r="AK57" s="17">
        <v>43189</v>
      </c>
      <c r="AL57" s="18" t="s">
        <v>40</v>
      </c>
      <c r="AM57" s="14" t="s">
        <v>43</v>
      </c>
      <c r="AN57" s="14" t="s">
        <v>36</v>
      </c>
      <c r="AO57" s="14" t="s">
        <v>187</v>
      </c>
      <c r="AP57" s="14" t="s">
        <v>37</v>
      </c>
      <c r="AQ57" s="14" t="s">
        <v>184</v>
      </c>
      <c r="AR57" s="14" t="s">
        <v>4</v>
      </c>
      <c r="AS57" s="14">
        <v>0</v>
      </c>
      <c r="AT57" s="14">
        <v>0</v>
      </c>
      <c r="AU57" s="14">
        <v>0</v>
      </c>
      <c r="AV57" s="14">
        <v>0</v>
      </c>
      <c r="AW57" s="14"/>
      <c r="AX57" s="14"/>
      <c r="AY57" s="14"/>
      <c r="AZ57" s="14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</row>
    <row r="58" spans="1:66" s="2" customFormat="1" ht="12" customHeight="1" x14ac:dyDescent="0.25">
      <c r="A58" s="9">
        <f t="shared" si="0"/>
        <v>1</v>
      </c>
      <c r="B58" s="6"/>
      <c r="C58" s="6"/>
      <c r="D58" s="24"/>
      <c r="E58" s="12" t="s">
        <v>38</v>
      </c>
      <c r="F58" s="25">
        <v>0</v>
      </c>
      <c r="G58" s="12" t="s">
        <v>188</v>
      </c>
      <c r="H58" s="12">
        <v>0</v>
      </c>
      <c r="I58" s="12">
        <v>0</v>
      </c>
      <c r="J58" s="12">
        <v>0</v>
      </c>
      <c r="K58" s="12">
        <v>0</v>
      </c>
      <c r="L58" s="13">
        <v>0</v>
      </c>
      <c r="M58" s="13">
        <v>0</v>
      </c>
      <c r="N58" s="12">
        <v>0</v>
      </c>
      <c r="O58" s="12">
        <v>0</v>
      </c>
      <c r="P58" s="12">
        <v>0</v>
      </c>
      <c r="Q58" s="14">
        <v>0</v>
      </c>
      <c r="R58" s="15">
        <v>585092.25</v>
      </c>
      <c r="S58" s="16">
        <v>585092.25</v>
      </c>
      <c r="T58" s="15">
        <v>409174.13999999996</v>
      </c>
      <c r="U58" s="16">
        <v>0</v>
      </c>
      <c r="V58" s="15">
        <v>175918.11</v>
      </c>
      <c r="W58" s="16">
        <v>0</v>
      </c>
      <c r="X58" s="15">
        <v>0</v>
      </c>
      <c r="Y58" s="16">
        <v>0</v>
      </c>
      <c r="Z58" s="15">
        <v>0</v>
      </c>
      <c r="AA58" s="16">
        <v>0</v>
      </c>
      <c r="AB58" s="15">
        <v>0</v>
      </c>
      <c r="AC58" s="16">
        <v>0</v>
      </c>
      <c r="AD58" s="15">
        <v>0</v>
      </c>
      <c r="AE58" s="16">
        <v>0</v>
      </c>
      <c r="AF58" s="15">
        <v>0</v>
      </c>
      <c r="AG58" s="16">
        <v>0</v>
      </c>
      <c r="AH58" s="15">
        <v>0</v>
      </c>
      <c r="AI58" s="15" t="s">
        <v>189</v>
      </c>
      <c r="AJ58" s="14">
        <v>0.71447916666666667</v>
      </c>
      <c r="AK58" s="17">
        <v>43206</v>
      </c>
      <c r="AL58" s="18" t="s">
        <v>40</v>
      </c>
      <c r="AM58" s="14" t="s">
        <v>43</v>
      </c>
      <c r="AN58" s="14" t="s">
        <v>36</v>
      </c>
      <c r="AO58" s="14" t="s">
        <v>190</v>
      </c>
      <c r="AP58" s="14" t="s">
        <v>37</v>
      </c>
      <c r="AQ58" s="14" t="s">
        <v>184</v>
      </c>
      <c r="AR58" s="14" t="s">
        <v>4</v>
      </c>
      <c r="AS58" s="14">
        <v>0</v>
      </c>
      <c r="AT58" s="14">
        <v>0</v>
      </c>
      <c r="AU58" s="14">
        <v>0</v>
      </c>
      <c r="AV58" s="14">
        <v>0</v>
      </c>
      <c r="AW58" s="14"/>
      <c r="AX58" s="14"/>
      <c r="AY58" s="14"/>
      <c r="AZ58" s="14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</row>
    <row r="59" spans="1:66" s="2" customFormat="1" ht="12" customHeight="1" x14ac:dyDescent="0.25">
      <c r="A59" s="9">
        <f t="shared" si="0"/>
        <v>1</v>
      </c>
      <c r="B59" s="6"/>
      <c r="C59" s="6"/>
      <c r="D59" s="24"/>
      <c r="E59" s="12" t="s">
        <v>38</v>
      </c>
      <c r="F59" s="25">
        <v>0</v>
      </c>
      <c r="G59" s="12" t="s">
        <v>191</v>
      </c>
      <c r="H59" s="12">
        <v>0</v>
      </c>
      <c r="I59" s="12">
        <v>0</v>
      </c>
      <c r="J59" s="12">
        <v>0</v>
      </c>
      <c r="K59" s="12">
        <v>0</v>
      </c>
      <c r="L59" s="13">
        <v>0</v>
      </c>
      <c r="M59" s="13">
        <v>0</v>
      </c>
      <c r="N59" s="12">
        <v>0</v>
      </c>
      <c r="O59" s="12">
        <v>0</v>
      </c>
      <c r="P59" s="12">
        <v>0</v>
      </c>
      <c r="Q59" s="14">
        <v>0</v>
      </c>
      <c r="R59" s="15">
        <v>9040</v>
      </c>
      <c r="S59" s="16">
        <v>9040</v>
      </c>
      <c r="T59" s="15">
        <v>3760</v>
      </c>
      <c r="U59" s="16">
        <v>0</v>
      </c>
      <c r="V59" s="15">
        <v>5280</v>
      </c>
      <c r="W59" s="16">
        <v>0</v>
      </c>
      <c r="X59" s="15">
        <v>0</v>
      </c>
      <c r="Y59" s="16">
        <v>0</v>
      </c>
      <c r="Z59" s="15">
        <v>0</v>
      </c>
      <c r="AA59" s="16">
        <v>0</v>
      </c>
      <c r="AB59" s="15">
        <v>0</v>
      </c>
      <c r="AC59" s="16">
        <v>0</v>
      </c>
      <c r="AD59" s="15">
        <v>0</v>
      </c>
      <c r="AE59" s="16">
        <v>0</v>
      </c>
      <c r="AF59" s="15">
        <v>0</v>
      </c>
      <c r="AG59" s="16">
        <v>0</v>
      </c>
      <c r="AH59" s="15">
        <v>0</v>
      </c>
      <c r="AI59" s="15" t="s">
        <v>192</v>
      </c>
      <c r="AJ59" s="14">
        <v>0.64841435185185181</v>
      </c>
      <c r="AK59" s="17">
        <v>43192</v>
      </c>
      <c r="AL59" s="18" t="s">
        <v>194</v>
      </c>
      <c r="AM59" s="14" t="s">
        <v>195</v>
      </c>
      <c r="AN59" s="14" t="s">
        <v>36</v>
      </c>
      <c r="AO59" s="14" t="s">
        <v>193</v>
      </c>
      <c r="AP59" s="14" t="s">
        <v>37</v>
      </c>
      <c r="AQ59" s="14" t="s">
        <v>184</v>
      </c>
      <c r="AR59" s="14" t="s">
        <v>4</v>
      </c>
      <c r="AS59" s="14">
        <v>0</v>
      </c>
      <c r="AT59" s="14">
        <v>0</v>
      </c>
      <c r="AU59" s="14">
        <v>0</v>
      </c>
      <c r="AV59" s="14">
        <v>0</v>
      </c>
      <c r="AW59" s="14"/>
      <c r="AX59" s="14"/>
      <c r="AY59" s="14"/>
      <c r="AZ59" s="14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</row>
    <row r="60" spans="1:66" s="2" customFormat="1" ht="12" customHeight="1" x14ac:dyDescent="0.25">
      <c r="A60" s="9">
        <f t="shared" si="0"/>
        <v>1</v>
      </c>
      <c r="B60" s="6"/>
      <c r="C60" s="6"/>
      <c r="D60" s="24"/>
      <c r="E60" s="12" t="s">
        <v>38</v>
      </c>
      <c r="F60" s="25">
        <v>0</v>
      </c>
      <c r="G60" s="12" t="s">
        <v>196</v>
      </c>
      <c r="H60" s="12">
        <v>0</v>
      </c>
      <c r="I60" s="12">
        <v>0</v>
      </c>
      <c r="J60" s="12">
        <v>0</v>
      </c>
      <c r="K60" s="12">
        <v>0</v>
      </c>
      <c r="L60" s="13">
        <v>0</v>
      </c>
      <c r="M60" s="13">
        <v>0</v>
      </c>
      <c r="N60" s="12">
        <v>0</v>
      </c>
      <c r="O60" s="12">
        <v>0</v>
      </c>
      <c r="P60" s="12">
        <v>0</v>
      </c>
      <c r="Q60" s="14">
        <v>0</v>
      </c>
      <c r="R60" s="15">
        <v>109670.91999999998</v>
      </c>
      <c r="S60" s="16">
        <v>109670.91999999998</v>
      </c>
      <c r="T60" s="15">
        <v>61026.299999999988</v>
      </c>
      <c r="U60" s="16">
        <v>0</v>
      </c>
      <c r="V60" s="15">
        <v>48644.619999999995</v>
      </c>
      <c r="W60" s="16">
        <v>0</v>
      </c>
      <c r="X60" s="15">
        <v>0</v>
      </c>
      <c r="Y60" s="16">
        <v>0</v>
      </c>
      <c r="Z60" s="15">
        <v>0</v>
      </c>
      <c r="AA60" s="16">
        <v>0</v>
      </c>
      <c r="AB60" s="15">
        <v>0</v>
      </c>
      <c r="AC60" s="16">
        <v>0</v>
      </c>
      <c r="AD60" s="15">
        <v>0</v>
      </c>
      <c r="AE60" s="16">
        <v>0</v>
      </c>
      <c r="AF60" s="15">
        <v>0</v>
      </c>
      <c r="AG60" s="16">
        <v>0</v>
      </c>
      <c r="AH60" s="15">
        <v>0</v>
      </c>
      <c r="AI60" s="15" t="s">
        <v>197</v>
      </c>
      <c r="AJ60" s="14">
        <v>0.67071759259259256</v>
      </c>
      <c r="AK60" s="17">
        <v>43258</v>
      </c>
      <c r="AL60" s="18" t="s">
        <v>40</v>
      </c>
      <c r="AM60" s="14" t="s">
        <v>43</v>
      </c>
      <c r="AN60" s="14" t="s">
        <v>36</v>
      </c>
      <c r="AO60" s="14" t="s">
        <v>198</v>
      </c>
      <c r="AP60" s="14" t="s">
        <v>37</v>
      </c>
      <c r="AQ60" s="14" t="s">
        <v>184</v>
      </c>
      <c r="AR60" s="14" t="s">
        <v>4</v>
      </c>
      <c r="AS60" s="14">
        <v>0</v>
      </c>
      <c r="AT60" s="14">
        <v>0</v>
      </c>
      <c r="AU60" s="14">
        <v>0</v>
      </c>
      <c r="AV60" s="14">
        <v>0</v>
      </c>
      <c r="AW60" s="14"/>
      <c r="AX60" s="14"/>
      <c r="AY60" s="14"/>
      <c r="AZ60" s="14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</row>
    <row r="61" spans="1:66" s="2" customFormat="1" ht="12" customHeight="1" x14ac:dyDescent="0.25">
      <c r="A61" s="9">
        <f t="shared" si="0"/>
        <v>1</v>
      </c>
      <c r="B61" s="6"/>
      <c r="C61" s="6"/>
      <c r="D61" s="24"/>
      <c r="E61" s="12" t="s">
        <v>38</v>
      </c>
      <c r="F61" s="25">
        <v>0</v>
      </c>
      <c r="G61" s="12" t="s">
        <v>199</v>
      </c>
      <c r="H61" s="12">
        <v>0</v>
      </c>
      <c r="I61" s="12">
        <v>0</v>
      </c>
      <c r="J61" s="12">
        <v>0</v>
      </c>
      <c r="K61" s="12">
        <v>0</v>
      </c>
      <c r="L61" s="13">
        <v>0</v>
      </c>
      <c r="M61" s="13">
        <v>0</v>
      </c>
      <c r="N61" s="12">
        <v>0</v>
      </c>
      <c r="O61" s="12">
        <v>0</v>
      </c>
      <c r="P61" s="12">
        <v>0</v>
      </c>
      <c r="Q61" s="14">
        <v>0</v>
      </c>
      <c r="R61" s="15">
        <v>55748.532749999998</v>
      </c>
      <c r="S61" s="16">
        <v>55748.532749999998</v>
      </c>
      <c r="T61" s="15">
        <v>18003.900000000001</v>
      </c>
      <c r="U61" s="16">
        <v>0</v>
      </c>
      <c r="V61" s="15">
        <v>21000</v>
      </c>
      <c r="W61" s="16">
        <v>0</v>
      </c>
      <c r="X61" s="15">
        <v>6323.085</v>
      </c>
      <c r="Y61" s="16">
        <v>0</v>
      </c>
      <c r="Z61" s="15">
        <v>3150</v>
      </c>
      <c r="AA61" s="16">
        <v>0</v>
      </c>
      <c r="AB61" s="15">
        <v>7271.5477499999997</v>
      </c>
      <c r="AC61" s="16">
        <v>0</v>
      </c>
      <c r="AD61" s="15">
        <v>0</v>
      </c>
      <c r="AE61" s="16">
        <v>0</v>
      </c>
      <c r="AF61" s="15">
        <v>0</v>
      </c>
      <c r="AG61" s="16">
        <v>0</v>
      </c>
      <c r="AH61" s="15">
        <v>0</v>
      </c>
      <c r="AI61" s="15" t="s">
        <v>200</v>
      </c>
      <c r="AJ61" s="14">
        <v>0.48873842592592592</v>
      </c>
      <c r="AK61" s="17">
        <v>43207</v>
      </c>
      <c r="AL61" s="18" t="s">
        <v>40</v>
      </c>
      <c r="AM61" s="14" t="s">
        <v>43</v>
      </c>
      <c r="AN61" s="14" t="s">
        <v>36</v>
      </c>
      <c r="AO61" s="14" t="s">
        <v>201</v>
      </c>
      <c r="AP61" s="14" t="s">
        <v>37</v>
      </c>
      <c r="AQ61" s="14" t="s">
        <v>184</v>
      </c>
      <c r="AR61" s="14" t="s">
        <v>4</v>
      </c>
      <c r="AS61" s="14">
        <v>0</v>
      </c>
      <c r="AT61" s="14">
        <v>0</v>
      </c>
      <c r="AU61" s="14">
        <v>0</v>
      </c>
      <c r="AV61" s="14">
        <v>0</v>
      </c>
      <c r="AW61" s="14"/>
      <c r="AX61" s="14"/>
      <c r="AY61" s="14"/>
      <c r="AZ61" s="14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</row>
    <row r="62" spans="1:66" s="2" customFormat="1" ht="12" customHeight="1" x14ac:dyDescent="0.25">
      <c r="A62" s="9">
        <f t="shared" si="0"/>
        <v>1</v>
      </c>
      <c r="B62" s="6"/>
      <c r="C62" s="6"/>
      <c r="D62" s="24"/>
      <c r="E62" s="12" t="s">
        <v>38</v>
      </c>
      <c r="F62" s="25">
        <v>0</v>
      </c>
      <c r="G62" s="12" t="s">
        <v>202</v>
      </c>
      <c r="H62" s="12">
        <v>0</v>
      </c>
      <c r="I62" s="12">
        <v>0</v>
      </c>
      <c r="J62" s="12">
        <v>0</v>
      </c>
      <c r="K62" s="12">
        <v>0</v>
      </c>
      <c r="L62" s="13">
        <v>0</v>
      </c>
      <c r="M62" s="13">
        <v>0</v>
      </c>
      <c r="N62" s="12">
        <v>0</v>
      </c>
      <c r="O62" s="12">
        <v>0</v>
      </c>
      <c r="P62" s="12">
        <v>0</v>
      </c>
      <c r="Q62" s="14">
        <v>0</v>
      </c>
      <c r="R62" s="15">
        <v>582585.09</v>
      </c>
      <c r="S62" s="16">
        <v>582585.09</v>
      </c>
      <c r="T62" s="15">
        <v>407286.98</v>
      </c>
      <c r="U62" s="16">
        <v>0</v>
      </c>
      <c r="V62" s="15">
        <v>175298.11</v>
      </c>
      <c r="W62" s="16">
        <v>0</v>
      </c>
      <c r="X62" s="15">
        <v>0</v>
      </c>
      <c r="Y62" s="16">
        <v>0</v>
      </c>
      <c r="Z62" s="15">
        <v>0</v>
      </c>
      <c r="AA62" s="16">
        <v>0</v>
      </c>
      <c r="AB62" s="15">
        <v>0</v>
      </c>
      <c r="AC62" s="16">
        <v>0</v>
      </c>
      <c r="AD62" s="15">
        <v>0</v>
      </c>
      <c r="AE62" s="16">
        <v>0</v>
      </c>
      <c r="AF62" s="15">
        <v>0</v>
      </c>
      <c r="AG62" s="16">
        <v>0</v>
      </c>
      <c r="AH62" s="15">
        <v>0</v>
      </c>
      <c r="AI62" s="15" t="s">
        <v>203</v>
      </c>
      <c r="AJ62" s="14">
        <v>0.52326388888888886</v>
      </c>
      <c r="AK62" s="17">
        <v>43231</v>
      </c>
      <c r="AL62" s="18" t="s">
        <v>40</v>
      </c>
      <c r="AM62" s="14" t="s">
        <v>43</v>
      </c>
      <c r="AN62" s="14" t="s">
        <v>36</v>
      </c>
      <c r="AO62" s="14" t="s">
        <v>204</v>
      </c>
      <c r="AP62" s="14" t="s">
        <v>37</v>
      </c>
      <c r="AQ62" s="14" t="s">
        <v>184</v>
      </c>
      <c r="AR62" s="14" t="s">
        <v>4</v>
      </c>
      <c r="AS62" s="14">
        <v>0</v>
      </c>
      <c r="AT62" s="14">
        <v>0</v>
      </c>
      <c r="AU62" s="14">
        <v>0</v>
      </c>
      <c r="AV62" s="14">
        <v>0</v>
      </c>
      <c r="AW62" s="14"/>
      <c r="AX62" s="14"/>
      <c r="AY62" s="14"/>
      <c r="AZ62" s="14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</row>
    <row r="63" spans="1:66" s="2" customFormat="1" ht="12" customHeight="1" x14ac:dyDescent="0.25">
      <c r="A63" s="9">
        <f t="shared" si="0"/>
        <v>1</v>
      </c>
      <c r="B63" s="6"/>
      <c r="C63" s="6"/>
      <c r="D63" s="24"/>
      <c r="E63" s="12" t="s">
        <v>38</v>
      </c>
      <c r="F63" s="25">
        <v>0</v>
      </c>
      <c r="G63" s="12" t="s">
        <v>205</v>
      </c>
      <c r="H63" s="12">
        <v>0</v>
      </c>
      <c r="I63" s="12">
        <v>0</v>
      </c>
      <c r="J63" s="12">
        <v>0</v>
      </c>
      <c r="K63" s="12">
        <v>0</v>
      </c>
      <c r="L63" s="13">
        <v>0</v>
      </c>
      <c r="M63" s="13">
        <v>0</v>
      </c>
      <c r="N63" s="12">
        <v>0</v>
      </c>
      <c r="O63" s="12">
        <v>0</v>
      </c>
      <c r="P63" s="12">
        <v>0</v>
      </c>
      <c r="Q63" s="14">
        <v>0</v>
      </c>
      <c r="R63" s="15">
        <v>596982.08999999985</v>
      </c>
      <c r="S63" s="16">
        <v>596982.08999999985</v>
      </c>
      <c r="T63" s="15">
        <v>415618.97999999992</v>
      </c>
      <c r="U63" s="16">
        <v>0</v>
      </c>
      <c r="V63" s="15">
        <v>181363.11</v>
      </c>
      <c r="W63" s="16">
        <v>0</v>
      </c>
      <c r="X63" s="15">
        <v>0</v>
      </c>
      <c r="Y63" s="16">
        <v>0</v>
      </c>
      <c r="Z63" s="15">
        <v>0</v>
      </c>
      <c r="AA63" s="16">
        <v>0</v>
      </c>
      <c r="AB63" s="15">
        <v>0</v>
      </c>
      <c r="AC63" s="16">
        <v>0</v>
      </c>
      <c r="AD63" s="15">
        <v>0</v>
      </c>
      <c r="AE63" s="16">
        <v>0</v>
      </c>
      <c r="AF63" s="15">
        <v>0</v>
      </c>
      <c r="AG63" s="16">
        <v>0</v>
      </c>
      <c r="AH63" s="15">
        <v>0</v>
      </c>
      <c r="AI63" s="15" t="s">
        <v>206</v>
      </c>
      <c r="AJ63" s="14">
        <v>0.52046296296296302</v>
      </c>
      <c r="AK63" s="17">
        <v>43231</v>
      </c>
      <c r="AL63" s="18" t="s">
        <v>40</v>
      </c>
      <c r="AM63" s="14" t="s">
        <v>43</v>
      </c>
      <c r="AN63" s="14" t="s">
        <v>36</v>
      </c>
      <c r="AO63" s="14" t="s">
        <v>207</v>
      </c>
      <c r="AP63" s="14" t="s">
        <v>37</v>
      </c>
      <c r="AQ63" s="14" t="s">
        <v>184</v>
      </c>
      <c r="AR63" s="14" t="s">
        <v>4</v>
      </c>
      <c r="AS63" s="14">
        <v>0</v>
      </c>
      <c r="AT63" s="14">
        <v>0</v>
      </c>
      <c r="AU63" s="14">
        <v>0</v>
      </c>
      <c r="AV63" s="14">
        <v>0</v>
      </c>
      <c r="AW63" s="14"/>
      <c r="AX63" s="14"/>
      <c r="AY63" s="14"/>
      <c r="AZ63" s="14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</row>
    <row r="64" spans="1:66" s="2" customFormat="1" ht="12" customHeight="1" x14ac:dyDescent="0.25">
      <c r="A64" s="9">
        <f t="shared" si="0"/>
        <v>1</v>
      </c>
      <c r="B64" s="6"/>
      <c r="C64" s="6"/>
      <c r="D64" s="24"/>
      <c r="E64" s="12" t="s">
        <v>38</v>
      </c>
      <c r="F64" s="25">
        <v>0</v>
      </c>
      <c r="G64" s="12" t="s">
        <v>208</v>
      </c>
      <c r="H64" s="12">
        <v>0</v>
      </c>
      <c r="I64" s="12">
        <v>0</v>
      </c>
      <c r="J64" s="12">
        <v>0</v>
      </c>
      <c r="K64" s="12">
        <v>0</v>
      </c>
      <c r="L64" s="13">
        <v>0</v>
      </c>
      <c r="M64" s="13">
        <v>0</v>
      </c>
      <c r="N64" s="12">
        <v>0</v>
      </c>
      <c r="O64" s="12">
        <v>0</v>
      </c>
      <c r="P64" s="12">
        <v>0</v>
      </c>
      <c r="Q64" s="14">
        <v>0</v>
      </c>
      <c r="R64" s="15">
        <v>238922.85</v>
      </c>
      <c r="S64" s="16">
        <v>238922.85</v>
      </c>
      <c r="T64" s="15">
        <v>180660</v>
      </c>
      <c r="U64" s="16">
        <v>0</v>
      </c>
      <c r="V64" s="15">
        <v>0</v>
      </c>
      <c r="W64" s="16">
        <v>0</v>
      </c>
      <c r="X64" s="15">
        <v>27099</v>
      </c>
      <c r="Y64" s="16">
        <v>0</v>
      </c>
      <c r="Z64" s="15">
        <v>0</v>
      </c>
      <c r="AA64" s="16">
        <v>0</v>
      </c>
      <c r="AB64" s="15">
        <v>31163.85</v>
      </c>
      <c r="AC64" s="16">
        <v>0</v>
      </c>
      <c r="AD64" s="15">
        <v>0</v>
      </c>
      <c r="AE64" s="16">
        <v>0</v>
      </c>
      <c r="AF64" s="15">
        <v>0</v>
      </c>
      <c r="AG64" s="16">
        <v>0</v>
      </c>
      <c r="AH64" s="15">
        <v>0</v>
      </c>
      <c r="AI64" s="15" t="s">
        <v>209</v>
      </c>
      <c r="AJ64" s="14">
        <v>0.41601851851851851</v>
      </c>
      <c r="AK64" s="17">
        <v>43213</v>
      </c>
      <c r="AL64" s="18" t="s">
        <v>40</v>
      </c>
      <c r="AM64" s="14" t="s">
        <v>43</v>
      </c>
      <c r="AN64" s="14" t="s">
        <v>36</v>
      </c>
      <c r="AO64" s="14" t="s">
        <v>210</v>
      </c>
      <c r="AP64" s="14" t="s">
        <v>37</v>
      </c>
      <c r="AQ64" s="14" t="s">
        <v>184</v>
      </c>
      <c r="AR64" s="14" t="s">
        <v>4</v>
      </c>
      <c r="AS64" s="14">
        <v>0</v>
      </c>
      <c r="AT64" s="14">
        <v>0</v>
      </c>
      <c r="AU64" s="14">
        <v>0</v>
      </c>
      <c r="AV64" s="14">
        <v>0</v>
      </c>
      <c r="AW64" s="14"/>
      <c r="AX64" s="14"/>
      <c r="AY64" s="14"/>
      <c r="AZ64" s="14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</row>
    <row r="65" spans="1:66" s="2" customFormat="1" ht="12" customHeight="1" x14ac:dyDescent="0.25">
      <c r="A65" s="9">
        <f t="shared" si="0"/>
        <v>1</v>
      </c>
      <c r="B65" s="6"/>
      <c r="C65" s="6"/>
      <c r="D65" s="24"/>
      <c r="E65" s="12" t="s">
        <v>38</v>
      </c>
      <c r="F65" s="25">
        <v>0</v>
      </c>
      <c r="G65" s="12" t="s">
        <v>211</v>
      </c>
      <c r="H65" s="12">
        <v>0</v>
      </c>
      <c r="I65" s="12">
        <v>0</v>
      </c>
      <c r="J65" s="12">
        <v>0</v>
      </c>
      <c r="K65" s="12">
        <v>0</v>
      </c>
      <c r="L65" s="13">
        <v>0</v>
      </c>
      <c r="M65" s="13">
        <v>0</v>
      </c>
      <c r="N65" s="12">
        <v>0</v>
      </c>
      <c r="O65" s="12">
        <v>0</v>
      </c>
      <c r="P65" s="12">
        <v>0</v>
      </c>
      <c r="Q65" s="14">
        <v>0</v>
      </c>
      <c r="R65" s="15">
        <v>19780.437299999998</v>
      </c>
      <c r="S65" s="16">
        <v>19780.437299999998</v>
      </c>
      <c r="T65" s="15">
        <v>10001</v>
      </c>
      <c r="U65" s="16">
        <v>0</v>
      </c>
      <c r="V65" s="15">
        <v>6800</v>
      </c>
      <c r="W65" s="16">
        <v>0</v>
      </c>
      <c r="X65" s="15">
        <v>1209.3900000000001</v>
      </c>
      <c r="Y65" s="16">
        <v>0</v>
      </c>
      <c r="Z65" s="15">
        <v>476.00000000000006</v>
      </c>
      <c r="AA65" s="16">
        <v>0</v>
      </c>
      <c r="AB65" s="15">
        <v>1294.0473000000002</v>
      </c>
      <c r="AC65" s="16">
        <v>0</v>
      </c>
      <c r="AD65" s="15">
        <v>0</v>
      </c>
      <c r="AE65" s="16">
        <v>0</v>
      </c>
      <c r="AF65" s="15">
        <v>0</v>
      </c>
      <c r="AG65" s="16">
        <v>0</v>
      </c>
      <c r="AH65" s="15">
        <v>0</v>
      </c>
      <c r="AI65" s="15" t="s">
        <v>212</v>
      </c>
      <c r="AJ65" s="14">
        <v>0.38951388888888888</v>
      </c>
      <c r="AK65" s="17">
        <v>43217</v>
      </c>
      <c r="AL65" s="18" t="s">
        <v>40</v>
      </c>
      <c r="AM65" s="14" t="s">
        <v>43</v>
      </c>
      <c r="AN65" s="14" t="s">
        <v>36</v>
      </c>
      <c r="AO65" s="14" t="s">
        <v>213</v>
      </c>
      <c r="AP65" s="14" t="s">
        <v>37</v>
      </c>
      <c r="AQ65" s="14" t="s">
        <v>184</v>
      </c>
      <c r="AR65" s="14" t="s">
        <v>4</v>
      </c>
      <c r="AS65" s="14">
        <v>0</v>
      </c>
      <c r="AT65" s="14">
        <v>0</v>
      </c>
      <c r="AU65" s="14">
        <v>0</v>
      </c>
      <c r="AV65" s="14">
        <v>0</v>
      </c>
      <c r="AW65" s="14"/>
      <c r="AX65" s="14"/>
      <c r="AY65" s="14"/>
      <c r="AZ65" s="14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</row>
    <row r="66" spans="1:66" s="2" customFormat="1" ht="12" customHeight="1" x14ac:dyDescent="0.25">
      <c r="A66" s="9">
        <f t="shared" si="0"/>
        <v>1</v>
      </c>
      <c r="B66" s="6"/>
      <c r="C66" s="6"/>
      <c r="D66" s="24"/>
      <c r="E66" s="12" t="s">
        <v>38</v>
      </c>
      <c r="F66" s="25">
        <v>0</v>
      </c>
      <c r="G66" s="12" t="s">
        <v>214</v>
      </c>
      <c r="H66" s="12">
        <v>0</v>
      </c>
      <c r="I66" s="12">
        <v>0</v>
      </c>
      <c r="J66" s="12">
        <v>0</v>
      </c>
      <c r="K66" s="12">
        <v>0</v>
      </c>
      <c r="L66" s="13">
        <v>0</v>
      </c>
      <c r="M66" s="13">
        <v>0</v>
      </c>
      <c r="N66" s="12">
        <v>0</v>
      </c>
      <c r="O66" s="12">
        <v>0</v>
      </c>
      <c r="P66" s="12">
        <v>0</v>
      </c>
      <c r="Q66" s="14">
        <v>0</v>
      </c>
      <c r="R66" s="15">
        <v>163097.508</v>
      </c>
      <c r="S66" s="16">
        <v>163097.508</v>
      </c>
      <c r="T66" s="15">
        <v>65728.5</v>
      </c>
      <c r="U66" s="16">
        <v>0</v>
      </c>
      <c r="V66" s="15">
        <v>58000</v>
      </c>
      <c r="W66" s="16">
        <v>0</v>
      </c>
      <c r="X66" s="15">
        <v>15195.42</v>
      </c>
      <c r="Y66" s="16">
        <v>0</v>
      </c>
      <c r="Z66" s="15">
        <v>2900</v>
      </c>
      <c r="AA66" s="16">
        <v>0</v>
      </c>
      <c r="AB66" s="15">
        <v>21273.588</v>
      </c>
      <c r="AC66" s="16">
        <v>0</v>
      </c>
      <c r="AD66" s="15">
        <v>0</v>
      </c>
      <c r="AE66" s="16">
        <v>0</v>
      </c>
      <c r="AF66" s="15">
        <v>0</v>
      </c>
      <c r="AG66" s="16">
        <v>0</v>
      </c>
      <c r="AH66" s="15">
        <v>0</v>
      </c>
      <c r="AI66" s="15" t="s">
        <v>215</v>
      </c>
      <c r="AJ66" s="14">
        <v>0.42670138888888887</v>
      </c>
      <c r="AK66" s="17">
        <v>43223</v>
      </c>
      <c r="AL66" s="18" t="s">
        <v>40</v>
      </c>
      <c r="AM66" s="14" t="s">
        <v>43</v>
      </c>
      <c r="AN66" s="14" t="s">
        <v>36</v>
      </c>
      <c r="AO66" s="14" t="s">
        <v>216</v>
      </c>
      <c r="AP66" s="14" t="s">
        <v>37</v>
      </c>
      <c r="AQ66" s="14" t="s">
        <v>184</v>
      </c>
      <c r="AR66" s="14" t="s">
        <v>4</v>
      </c>
      <c r="AS66" s="14">
        <v>0</v>
      </c>
      <c r="AT66" s="14">
        <v>0</v>
      </c>
      <c r="AU66" s="14">
        <v>0</v>
      </c>
      <c r="AV66" s="14">
        <v>0</v>
      </c>
      <c r="AW66" s="14"/>
      <c r="AX66" s="14"/>
      <c r="AY66" s="14"/>
      <c r="AZ66" s="14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</row>
    <row r="67" spans="1:66" s="2" customFormat="1" ht="12" customHeight="1" x14ac:dyDescent="0.25">
      <c r="A67" s="9">
        <f t="shared" si="0"/>
        <v>1</v>
      </c>
      <c r="B67" s="6"/>
      <c r="C67" s="6"/>
      <c r="D67" s="24"/>
      <c r="E67" s="12" t="s">
        <v>38</v>
      </c>
      <c r="F67" s="25">
        <v>0</v>
      </c>
      <c r="G67" s="12" t="s">
        <v>217</v>
      </c>
      <c r="H67" s="12">
        <v>0</v>
      </c>
      <c r="I67" s="12">
        <v>0</v>
      </c>
      <c r="J67" s="12">
        <v>0</v>
      </c>
      <c r="K67" s="12">
        <v>0</v>
      </c>
      <c r="L67" s="13">
        <v>0</v>
      </c>
      <c r="M67" s="13">
        <v>0</v>
      </c>
      <c r="N67" s="12">
        <v>0</v>
      </c>
      <c r="O67" s="12">
        <v>0</v>
      </c>
      <c r="P67" s="12">
        <v>0</v>
      </c>
      <c r="Q67" s="14">
        <v>0</v>
      </c>
      <c r="R67" s="15">
        <v>0</v>
      </c>
      <c r="S67" s="16">
        <v>0</v>
      </c>
      <c r="T67" s="15">
        <v>0</v>
      </c>
      <c r="U67" s="16">
        <v>0</v>
      </c>
      <c r="V67" s="15">
        <v>0</v>
      </c>
      <c r="W67" s="16">
        <v>0</v>
      </c>
      <c r="X67" s="15">
        <v>0</v>
      </c>
      <c r="Y67" s="16">
        <v>0</v>
      </c>
      <c r="Z67" s="15">
        <v>0</v>
      </c>
      <c r="AA67" s="16">
        <v>0</v>
      </c>
      <c r="AB67" s="15">
        <v>0</v>
      </c>
      <c r="AC67" s="16">
        <v>0</v>
      </c>
      <c r="AD67" s="15">
        <v>0</v>
      </c>
      <c r="AE67" s="16">
        <v>0</v>
      </c>
      <c r="AF67" s="15">
        <v>0</v>
      </c>
      <c r="AG67" s="16">
        <v>0</v>
      </c>
      <c r="AH67" s="15">
        <v>0</v>
      </c>
      <c r="AI67" s="15" t="s">
        <v>218</v>
      </c>
      <c r="AJ67" s="14">
        <v>0.64684027777777775</v>
      </c>
      <c r="AK67" s="17">
        <v>43235</v>
      </c>
      <c r="AL67" s="18" t="s">
        <v>40</v>
      </c>
      <c r="AM67" s="14" t="s">
        <v>43</v>
      </c>
      <c r="AN67" s="14" t="s">
        <v>36</v>
      </c>
      <c r="AO67" s="14" t="s">
        <v>219</v>
      </c>
      <c r="AP67" s="14" t="s">
        <v>37</v>
      </c>
      <c r="AQ67" s="14" t="s">
        <v>184</v>
      </c>
      <c r="AR67" s="14" t="s">
        <v>4</v>
      </c>
      <c r="AS67" s="14">
        <v>0</v>
      </c>
      <c r="AT67" s="14">
        <v>0</v>
      </c>
      <c r="AU67" s="14">
        <v>0</v>
      </c>
      <c r="AV67" s="14">
        <v>0</v>
      </c>
      <c r="AW67" s="14"/>
      <c r="AX67" s="14"/>
      <c r="AY67" s="14"/>
      <c r="AZ67" s="14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</row>
    <row r="68" spans="1:66" s="2" customFormat="1" ht="12" customHeight="1" x14ac:dyDescent="0.25">
      <c r="A68" s="9">
        <f t="shared" si="0"/>
        <v>1</v>
      </c>
      <c r="B68" s="6"/>
      <c r="C68" s="6"/>
      <c r="D68" s="24"/>
      <c r="E68" s="12" t="s">
        <v>38</v>
      </c>
      <c r="F68" s="25">
        <v>0</v>
      </c>
      <c r="G68" s="12" t="s">
        <v>220</v>
      </c>
      <c r="H68" s="12">
        <v>0</v>
      </c>
      <c r="I68" s="12">
        <v>0</v>
      </c>
      <c r="J68" s="12">
        <v>0</v>
      </c>
      <c r="K68" s="12">
        <v>0</v>
      </c>
      <c r="L68" s="13">
        <v>0</v>
      </c>
      <c r="M68" s="13">
        <v>0</v>
      </c>
      <c r="N68" s="12">
        <v>0</v>
      </c>
      <c r="O68" s="12">
        <v>0</v>
      </c>
      <c r="P68" s="12">
        <v>0</v>
      </c>
      <c r="Q68" s="14">
        <v>0</v>
      </c>
      <c r="R68" s="15">
        <v>149961.38</v>
      </c>
      <c r="S68" s="16">
        <v>149961.38</v>
      </c>
      <c r="T68" s="15">
        <v>61301.38</v>
      </c>
      <c r="U68" s="16">
        <v>0</v>
      </c>
      <c r="V68" s="15">
        <v>88660</v>
      </c>
      <c r="W68" s="16">
        <v>0</v>
      </c>
      <c r="X68" s="15">
        <v>0</v>
      </c>
      <c r="Y68" s="16">
        <v>0</v>
      </c>
      <c r="Z68" s="15">
        <v>0</v>
      </c>
      <c r="AA68" s="16">
        <v>0</v>
      </c>
      <c r="AB68" s="15">
        <v>0</v>
      </c>
      <c r="AC68" s="16">
        <v>0</v>
      </c>
      <c r="AD68" s="15">
        <v>0</v>
      </c>
      <c r="AE68" s="16">
        <v>0</v>
      </c>
      <c r="AF68" s="15">
        <v>0</v>
      </c>
      <c r="AG68" s="16">
        <v>0</v>
      </c>
      <c r="AH68" s="15">
        <v>0</v>
      </c>
      <c r="AI68" s="15" t="s">
        <v>221</v>
      </c>
      <c r="AJ68" s="14">
        <v>0.69017361111111108</v>
      </c>
      <c r="AK68" s="17">
        <v>43271</v>
      </c>
      <c r="AL68" s="18" t="s">
        <v>40</v>
      </c>
      <c r="AM68" s="14" t="s">
        <v>43</v>
      </c>
      <c r="AN68" s="14" t="s">
        <v>36</v>
      </c>
      <c r="AO68" s="14" t="s">
        <v>222</v>
      </c>
      <c r="AP68" s="14" t="s">
        <v>37</v>
      </c>
      <c r="AQ68" s="14" t="s">
        <v>184</v>
      </c>
      <c r="AR68" s="14" t="s">
        <v>4</v>
      </c>
      <c r="AS68" s="14">
        <v>0</v>
      </c>
      <c r="AT68" s="14">
        <v>0</v>
      </c>
      <c r="AU68" s="14">
        <v>0</v>
      </c>
      <c r="AV68" s="14">
        <v>0</v>
      </c>
      <c r="AW68" s="14"/>
      <c r="AX68" s="14"/>
      <c r="AY68" s="14"/>
      <c r="AZ68" s="14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</row>
    <row r="69" spans="1:66" s="2" customFormat="1" ht="12" customHeight="1" x14ac:dyDescent="0.25">
      <c r="A69" s="9">
        <f t="shared" si="0"/>
        <v>1</v>
      </c>
      <c r="B69" s="6"/>
      <c r="C69" s="6"/>
      <c r="D69" s="24"/>
      <c r="E69" s="12" t="s">
        <v>38</v>
      </c>
      <c r="F69" s="25">
        <v>0</v>
      </c>
      <c r="G69" s="12" t="s">
        <v>223</v>
      </c>
      <c r="H69" s="12">
        <v>0</v>
      </c>
      <c r="I69" s="12">
        <v>0</v>
      </c>
      <c r="J69" s="12">
        <v>0</v>
      </c>
      <c r="K69" s="12">
        <v>0</v>
      </c>
      <c r="L69" s="13">
        <v>0</v>
      </c>
      <c r="M69" s="13">
        <v>0</v>
      </c>
      <c r="N69" s="12">
        <v>0</v>
      </c>
      <c r="O69" s="12">
        <v>0</v>
      </c>
      <c r="P69" s="12">
        <v>0</v>
      </c>
      <c r="Q69" s="14">
        <v>0</v>
      </c>
      <c r="R69" s="15">
        <v>245370</v>
      </c>
      <c r="S69" s="16">
        <v>245370</v>
      </c>
      <c r="T69" s="15">
        <v>181500</v>
      </c>
      <c r="U69" s="16">
        <v>0</v>
      </c>
      <c r="V69" s="15">
        <v>63870</v>
      </c>
      <c r="W69" s="16">
        <v>0</v>
      </c>
      <c r="X69" s="15">
        <v>0</v>
      </c>
      <c r="Y69" s="16">
        <v>0</v>
      </c>
      <c r="Z69" s="15">
        <v>0</v>
      </c>
      <c r="AA69" s="16">
        <v>0</v>
      </c>
      <c r="AB69" s="15">
        <v>0</v>
      </c>
      <c r="AC69" s="16">
        <v>0</v>
      </c>
      <c r="AD69" s="15">
        <v>0</v>
      </c>
      <c r="AE69" s="16">
        <v>0</v>
      </c>
      <c r="AF69" s="15">
        <v>0</v>
      </c>
      <c r="AG69" s="16">
        <v>0</v>
      </c>
      <c r="AH69" s="15">
        <v>0</v>
      </c>
      <c r="AI69" s="15" t="s">
        <v>224</v>
      </c>
      <c r="AJ69" s="14">
        <v>0.35193287037037035</v>
      </c>
      <c r="AK69" s="17">
        <v>43293</v>
      </c>
      <c r="AL69" s="18" t="s">
        <v>40</v>
      </c>
      <c r="AM69" s="14" t="s">
        <v>43</v>
      </c>
      <c r="AN69" s="14" t="s">
        <v>36</v>
      </c>
      <c r="AO69" s="14" t="s">
        <v>225</v>
      </c>
      <c r="AP69" s="14" t="s">
        <v>37</v>
      </c>
      <c r="AQ69" s="14" t="s">
        <v>184</v>
      </c>
      <c r="AR69" s="14" t="s">
        <v>4</v>
      </c>
      <c r="AS69" s="14">
        <v>0</v>
      </c>
      <c r="AT69" s="14">
        <v>0</v>
      </c>
      <c r="AU69" s="14">
        <v>0</v>
      </c>
      <c r="AV69" s="14">
        <v>0</v>
      </c>
      <c r="AW69" s="14"/>
      <c r="AX69" s="14"/>
      <c r="AY69" s="14"/>
      <c r="AZ69" s="14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</row>
    <row r="70" spans="1:66" s="2" customFormat="1" ht="12" customHeight="1" x14ac:dyDescent="0.25">
      <c r="A70" s="9">
        <f t="shared" si="0"/>
        <v>1</v>
      </c>
      <c r="B70" s="6"/>
      <c r="C70" s="6"/>
      <c r="D70" s="24"/>
      <c r="E70" s="12" t="s">
        <v>38</v>
      </c>
      <c r="F70" s="25">
        <v>0</v>
      </c>
      <c r="G70" s="12" t="s">
        <v>226</v>
      </c>
      <c r="H70" s="12">
        <v>0</v>
      </c>
      <c r="I70" s="12">
        <v>0</v>
      </c>
      <c r="J70" s="12">
        <v>0</v>
      </c>
      <c r="K70" s="12">
        <v>0</v>
      </c>
      <c r="L70" s="13">
        <v>0</v>
      </c>
      <c r="M70" s="13">
        <v>0</v>
      </c>
      <c r="N70" s="12">
        <v>0</v>
      </c>
      <c r="O70" s="12">
        <v>0</v>
      </c>
      <c r="P70" s="12">
        <v>0</v>
      </c>
      <c r="Q70" s="14">
        <v>0</v>
      </c>
      <c r="R70" s="15">
        <v>670590.3899999999</v>
      </c>
      <c r="S70" s="16">
        <v>670590.3899999999</v>
      </c>
      <c r="T70" s="15">
        <v>464587.27999999997</v>
      </c>
      <c r="U70" s="16">
        <v>0</v>
      </c>
      <c r="V70" s="15">
        <v>206003.11</v>
      </c>
      <c r="W70" s="16">
        <v>0</v>
      </c>
      <c r="X70" s="15">
        <v>0</v>
      </c>
      <c r="Y70" s="16">
        <v>0</v>
      </c>
      <c r="Z70" s="15">
        <v>0</v>
      </c>
      <c r="AA70" s="16">
        <v>0</v>
      </c>
      <c r="AB70" s="15">
        <v>0</v>
      </c>
      <c r="AC70" s="16">
        <v>0</v>
      </c>
      <c r="AD70" s="15">
        <v>0</v>
      </c>
      <c r="AE70" s="16">
        <v>0</v>
      </c>
      <c r="AF70" s="15">
        <v>0</v>
      </c>
      <c r="AG70" s="16">
        <v>0</v>
      </c>
      <c r="AH70" s="15">
        <v>0</v>
      </c>
      <c r="AI70" s="15" t="s">
        <v>227</v>
      </c>
      <c r="AJ70" s="14">
        <v>0.56167824074074069</v>
      </c>
      <c r="AK70" s="17">
        <v>43315</v>
      </c>
      <c r="AL70" s="18" t="s">
        <v>291</v>
      </c>
      <c r="AM70" s="14" t="s">
        <v>292</v>
      </c>
      <c r="AN70" s="14" t="s">
        <v>36</v>
      </c>
      <c r="AO70" s="14" t="s">
        <v>228</v>
      </c>
      <c r="AP70" s="14" t="s">
        <v>37</v>
      </c>
      <c r="AQ70" s="14" t="s">
        <v>184</v>
      </c>
      <c r="AR70" s="14" t="s">
        <v>4</v>
      </c>
      <c r="AS70" s="14">
        <v>0</v>
      </c>
      <c r="AT70" s="14">
        <v>0</v>
      </c>
      <c r="AU70" s="14">
        <v>0</v>
      </c>
      <c r="AV70" s="14">
        <v>0</v>
      </c>
      <c r="AW70" s="14"/>
      <c r="AX70" s="14"/>
      <c r="AY70" s="14"/>
      <c r="AZ70" s="14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</row>
    <row r="71" spans="1:66" s="2" customFormat="1" ht="12" customHeight="1" x14ac:dyDescent="0.25">
      <c r="A71" s="9">
        <f t="shared" si="0"/>
        <v>1</v>
      </c>
      <c r="B71" s="6"/>
      <c r="C71" s="6"/>
      <c r="D71" s="24"/>
      <c r="E71" s="12" t="s">
        <v>38</v>
      </c>
      <c r="F71" s="25">
        <v>0</v>
      </c>
      <c r="G71" s="12" t="s">
        <v>229</v>
      </c>
      <c r="H71" s="12">
        <v>0</v>
      </c>
      <c r="I71" s="12">
        <v>0</v>
      </c>
      <c r="J71" s="12">
        <v>0</v>
      </c>
      <c r="K71" s="12">
        <v>0</v>
      </c>
      <c r="L71" s="13">
        <v>0</v>
      </c>
      <c r="M71" s="13">
        <v>0</v>
      </c>
      <c r="N71" s="12">
        <v>0</v>
      </c>
      <c r="O71" s="12">
        <v>0</v>
      </c>
      <c r="P71" s="12">
        <v>0</v>
      </c>
      <c r="Q71" s="14">
        <v>0</v>
      </c>
      <c r="R71" s="15">
        <v>680094.99</v>
      </c>
      <c r="S71" s="16">
        <v>680094.99</v>
      </c>
      <c r="T71" s="15">
        <v>465496.88</v>
      </c>
      <c r="U71" s="16">
        <v>0</v>
      </c>
      <c r="V71" s="15">
        <v>214598.11</v>
      </c>
      <c r="W71" s="16">
        <v>0</v>
      </c>
      <c r="X71" s="15">
        <v>0</v>
      </c>
      <c r="Y71" s="16">
        <v>0</v>
      </c>
      <c r="Z71" s="15">
        <v>0</v>
      </c>
      <c r="AA71" s="16">
        <v>0</v>
      </c>
      <c r="AB71" s="15">
        <v>0</v>
      </c>
      <c r="AC71" s="16">
        <v>0</v>
      </c>
      <c r="AD71" s="15">
        <v>0</v>
      </c>
      <c r="AE71" s="16">
        <v>0</v>
      </c>
      <c r="AF71" s="15">
        <v>0</v>
      </c>
      <c r="AG71" s="16">
        <v>0</v>
      </c>
      <c r="AH71" s="15">
        <v>0</v>
      </c>
      <c r="AI71" s="15" t="s">
        <v>230</v>
      </c>
      <c r="AJ71" s="14">
        <v>0.63395833333333329</v>
      </c>
      <c r="AK71" s="17">
        <v>43251</v>
      </c>
      <c r="AL71" s="18" t="s">
        <v>40</v>
      </c>
      <c r="AM71" s="14" t="s">
        <v>43</v>
      </c>
      <c r="AN71" s="14" t="s">
        <v>36</v>
      </c>
      <c r="AO71" s="14" t="s">
        <v>231</v>
      </c>
      <c r="AP71" s="14" t="s">
        <v>37</v>
      </c>
      <c r="AQ71" s="14" t="s">
        <v>184</v>
      </c>
      <c r="AR71" s="14" t="s">
        <v>4</v>
      </c>
      <c r="AS71" s="14">
        <v>0</v>
      </c>
      <c r="AT71" s="14">
        <v>0</v>
      </c>
      <c r="AU71" s="14">
        <v>0</v>
      </c>
      <c r="AV71" s="14">
        <v>0</v>
      </c>
      <c r="AW71" s="14"/>
      <c r="AX71" s="14"/>
      <c r="AY71" s="14"/>
      <c r="AZ71" s="14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</row>
    <row r="72" spans="1:66" s="2" customFormat="1" ht="12" customHeight="1" x14ac:dyDescent="0.25">
      <c r="A72" s="9">
        <f t="shared" si="0"/>
        <v>1</v>
      </c>
      <c r="B72" s="6"/>
      <c r="C72" s="6"/>
      <c r="D72" s="24"/>
      <c r="E72" s="12" t="s">
        <v>38</v>
      </c>
      <c r="F72" s="25">
        <v>0</v>
      </c>
      <c r="G72" s="12" t="s">
        <v>232</v>
      </c>
      <c r="H72" s="12">
        <v>0</v>
      </c>
      <c r="I72" s="12">
        <v>0</v>
      </c>
      <c r="J72" s="12">
        <v>0</v>
      </c>
      <c r="K72" s="12">
        <v>0</v>
      </c>
      <c r="L72" s="13">
        <v>0</v>
      </c>
      <c r="M72" s="13">
        <v>0</v>
      </c>
      <c r="N72" s="12">
        <v>0</v>
      </c>
      <c r="O72" s="12">
        <v>0</v>
      </c>
      <c r="P72" s="12">
        <v>0</v>
      </c>
      <c r="Q72" s="14">
        <v>0</v>
      </c>
      <c r="R72" s="15">
        <v>898592.72000000009</v>
      </c>
      <c r="S72" s="16">
        <v>898592.72000000009</v>
      </c>
      <c r="T72" s="15">
        <v>615664.6100000001</v>
      </c>
      <c r="U72" s="16">
        <v>0</v>
      </c>
      <c r="V72" s="15">
        <v>282928.11</v>
      </c>
      <c r="W72" s="16">
        <v>0</v>
      </c>
      <c r="X72" s="15">
        <v>0</v>
      </c>
      <c r="Y72" s="16">
        <v>0</v>
      </c>
      <c r="Z72" s="15">
        <v>0</v>
      </c>
      <c r="AA72" s="16">
        <v>0</v>
      </c>
      <c r="AB72" s="15">
        <v>0</v>
      </c>
      <c r="AC72" s="16">
        <v>0</v>
      </c>
      <c r="AD72" s="15">
        <v>0</v>
      </c>
      <c r="AE72" s="16">
        <v>0</v>
      </c>
      <c r="AF72" s="15">
        <v>0</v>
      </c>
      <c r="AG72" s="16">
        <v>0</v>
      </c>
      <c r="AH72" s="15">
        <v>0</v>
      </c>
      <c r="AI72" s="15" t="s">
        <v>233</v>
      </c>
      <c r="AJ72" s="14">
        <v>0.69636574074074076</v>
      </c>
      <c r="AK72" s="17">
        <v>43314</v>
      </c>
      <c r="AL72" s="18" t="s">
        <v>291</v>
      </c>
      <c r="AM72" s="14" t="s">
        <v>292</v>
      </c>
      <c r="AN72" s="14" t="s">
        <v>36</v>
      </c>
      <c r="AO72" s="14" t="s">
        <v>234</v>
      </c>
      <c r="AP72" s="14" t="s">
        <v>37</v>
      </c>
      <c r="AQ72" s="14" t="s">
        <v>184</v>
      </c>
      <c r="AR72" s="14" t="s">
        <v>4</v>
      </c>
      <c r="AS72" s="14">
        <v>0</v>
      </c>
      <c r="AT72" s="14">
        <v>0</v>
      </c>
      <c r="AU72" s="14">
        <v>0</v>
      </c>
      <c r="AV72" s="14">
        <v>0</v>
      </c>
      <c r="AW72" s="14"/>
      <c r="AX72" s="14"/>
      <c r="AY72" s="14"/>
      <c r="AZ72" s="14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</row>
    <row r="73" spans="1:66" s="2" customFormat="1" ht="12" customHeight="1" x14ac:dyDescent="0.25">
      <c r="A73" s="9">
        <f t="shared" si="0"/>
        <v>1</v>
      </c>
      <c r="B73" s="6"/>
      <c r="C73" s="6"/>
      <c r="D73" s="24"/>
      <c r="E73" s="12" t="s">
        <v>38</v>
      </c>
      <c r="F73" s="25">
        <v>0</v>
      </c>
      <c r="G73" s="12" t="s">
        <v>235</v>
      </c>
      <c r="H73" s="12">
        <v>0</v>
      </c>
      <c r="I73" s="12">
        <v>0</v>
      </c>
      <c r="J73" s="12">
        <v>0</v>
      </c>
      <c r="K73" s="12">
        <v>0</v>
      </c>
      <c r="L73" s="13">
        <v>0</v>
      </c>
      <c r="M73" s="13">
        <v>0</v>
      </c>
      <c r="N73" s="12">
        <v>0</v>
      </c>
      <c r="O73" s="12">
        <v>0</v>
      </c>
      <c r="P73" s="12">
        <v>0</v>
      </c>
      <c r="Q73" s="14">
        <v>0</v>
      </c>
      <c r="R73" s="15">
        <v>944255.22000000009</v>
      </c>
      <c r="S73" s="16">
        <v>944255.22000000009</v>
      </c>
      <c r="T73" s="15">
        <v>641337.1100000001</v>
      </c>
      <c r="U73" s="16">
        <v>0</v>
      </c>
      <c r="V73" s="15">
        <v>302918.11</v>
      </c>
      <c r="W73" s="16">
        <v>0</v>
      </c>
      <c r="X73" s="15">
        <v>0</v>
      </c>
      <c r="Y73" s="16">
        <v>0</v>
      </c>
      <c r="Z73" s="15">
        <v>0</v>
      </c>
      <c r="AA73" s="16">
        <v>0</v>
      </c>
      <c r="AB73" s="15">
        <v>0</v>
      </c>
      <c r="AC73" s="16">
        <v>0</v>
      </c>
      <c r="AD73" s="15">
        <v>0</v>
      </c>
      <c r="AE73" s="16">
        <v>0</v>
      </c>
      <c r="AF73" s="15">
        <v>0</v>
      </c>
      <c r="AG73" s="16">
        <v>0</v>
      </c>
      <c r="AH73" s="15">
        <v>0</v>
      </c>
      <c r="AI73" s="15" t="s">
        <v>236</v>
      </c>
      <c r="AJ73" s="14">
        <v>0.53531249999999997</v>
      </c>
      <c r="AK73" s="17">
        <v>43315</v>
      </c>
      <c r="AL73" s="18" t="s">
        <v>291</v>
      </c>
      <c r="AM73" s="14" t="s">
        <v>292</v>
      </c>
      <c r="AN73" s="14" t="s">
        <v>36</v>
      </c>
      <c r="AO73" s="14" t="s">
        <v>237</v>
      </c>
      <c r="AP73" s="14" t="s">
        <v>37</v>
      </c>
      <c r="AQ73" s="14" t="s">
        <v>184</v>
      </c>
      <c r="AR73" s="14" t="s">
        <v>4</v>
      </c>
      <c r="AS73" s="14">
        <v>0</v>
      </c>
      <c r="AT73" s="14">
        <v>0</v>
      </c>
      <c r="AU73" s="14">
        <v>0</v>
      </c>
      <c r="AV73" s="14">
        <v>0</v>
      </c>
      <c r="AW73" s="14"/>
      <c r="AX73" s="14"/>
      <c r="AY73" s="14"/>
      <c r="AZ73" s="14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</row>
    <row r="74" spans="1:66" s="2" customFormat="1" ht="12" customHeight="1" x14ac:dyDescent="0.25">
      <c r="A74" s="9">
        <f t="shared" si="0"/>
        <v>1</v>
      </c>
      <c r="B74" s="6"/>
      <c r="C74" s="6"/>
      <c r="D74" s="24"/>
      <c r="E74" s="12" t="s">
        <v>38</v>
      </c>
      <c r="F74" s="25">
        <v>0</v>
      </c>
      <c r="G74" s="12" t="s">
        <v>238</v>
      </c>
      <c r="H74" s="12">
        <v>0</v>
      </c>
      <c r="I74" s="12">
        <v>0</v>
      </c>
      <c r="J74" s="12">
        <v>0</v>
      </c>
      <c r="K74" s="12">
        <v>0</v>
      </c>
      <c r="L74" s="13">
        <v>0</v>
      </c>
      <c r="M74" s="13">
        <v>0</v>
      </c>
      <c r="N74" s="12">
        <v>0</v>
      </c>
      <c r="O74" s="12">
        <v>0</v>
      </c>
      <c r="P74" s="12">
        <v>0</v>
      </c>
      <c r="Q74" s="14">
        <v>0</v>
      </c>
      <c r="R74" s="15">
        <v>0</v>
      </c>
      <c r="S74" s="16">
        <v>0</v>
      </c>
      <c r="T74" s="15">
        <v>0</v>
      </c>
      <c r="U74" s="16">
        <v>0</v>
      </c>
      <c r="V74" s="15">
        <v>0</v>
      </c>
      <c r="W74" s="16">
        <v>0</v>
      </c>
      <c r="X74" s="15">
        <v>0</v>
      </c>
      <c r="Y74" s="16">
        <v>0</v>
      </c>
      <c r="Z74" s="15">
        <v>0</v>
      </c>
      <c r="AA74" s="16">
        <v>0</v>
      </c>
      <c r="AB74" s="15">
        <v>0</v>
      </c>
      <c r="AC74" s="16">
        <v>0</v>
      </c>
      <c r="AD74" s="15">
        <v>0</v>
      </c>
      <c r="AE74" s="16">
        <v>0</v>
      </c>
      <c r="AF74" s="15">
        <v>0</v>
      </c>
      <c r="AG74" s="16">
        <v>0</v>
      </c>
      <c r="AH74" s="15">
        <v>0</v>
      </c>
      <c r="AI74" s="15" t="s">
        <v>239</v>
      </c>
      <c r="AJ74" s="14">
        <v>0.39157407407407407</v>
      </c>
      <c r="AK74" s="17">
        <v>43251</v>
      </c>
      <c r="AL74" s="18" t="s">
        <v>3</v>
      </c>
      <c r="AM74" s="14" t="s">
        <v>41</v>
      </c>
      <c r="AN74" s="14" t="s">
        <v>36</v>
      </c>
      <c r="AO74" s="14" t="s">
        <v>240</v>
      </c>
      <c r="AP74" s="14" t="s">
        <v>37</v>
      </c>
      <c r="AQ74" s="14" t="s">
        <v>184</v>
      </c>
      <c r="AR74" s="14" t="s">
        <v>4</v>
      </c>
      <c r="AS74" s="14">
        <v>0</v>
      </c>
      <c r="AT74" s="14">
        <v>0</v>
      </c>
      <c r="AU74" s="14">
        <v>0</v>
      </c>
      <c r="AV74" s="14">
        <v>0</v>
      </c>
      <c r="AW74" s="14"/>
      <c r="AX74" s="14"/>
      <c r="AY74" s="14"/>
      <c r="AZ74" s="14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</row>
    <row r="75" spans="1:66" s="2" customFormat="1" ht="12" customHeight="1" x14ac:dyDescent="0.25">
      <c r="A75" s="9">
        <f t="shared" si="0"/>
        <v>1</v>
      </c>
      <c r="B75" s="6"/>
      <c r="C75" s="6"/>
      <c r="D75" s="24"/>
      <c r="E75" s="12" t="s">
        <v>38</v>
      </c>
      <c r="F75" s="25">
        <v>0</v>
      </c>
      <c r="G75" s="12" t="s">
        <v>241</v>
      </c>
      <c r="H75" s="12">
        <v>0</v>
      </c>
      <c r="I75" s="12">
        <v>0</v>
      </c>
      <c r="J75" s="12">
        <v>0</v>
      </c>
      <c r="K75" s="12">
        <v>0</v>
      </c>
      <c r="L75" s="13">
        <v>0</v>
      </c>
      <c r="M75" s="13">
        <v>0</v>
      </c>
      <c r="N75" s="12">
        <v>0</v>
      </c>
      <c r="O75" s="12">
        <v>0</v>
      </c>
      <c r="P75" s="12">
        <v>0</v>
      </c>
      <c r="Q75" s="14">
        <v>0</v>
      </c>
      <c r="R75" s="15">
        <v>0</v>
      </c>
      <c r="S75" s="16">
        <v>0</v>
      </c>
      <c r="T75" s="15">
        <v>0</v>
      </c>
      <c r="U75" s="16">
        <v>0</v>
      </c>
      <c r="V75" s="15">
        <v>0</v>
      </c>
      <c r="W75" s="16">
        <v>0</v>
      </c>
      <c r="X75" s="15">
        <v>0</v>
      </c>
      <c r="Y75" s="16">
        <v>0</v>
      </c>
      <c r="Z75" s="15">
        <v>0</v>
      </c>
      <c r="AA75" s="16">
        <v>0</v>
      </c>
      <c r="AB75" s="15">
        <v>0</v>
      </c>
      <c r="AC75" s="16">
        <v>0</v>
      </c>
      <c r="AD75" s="15">
        <v>0</v>
      </c>
      <c r="AE75" s="16">
        <v>0</v>
      </c>
      <c r="AF75" s="15">
        <v>0</v>
      </c>
      <c r="AG75" s="16">
        <v>0</v>
      </c>
      <c r="AH75" s="15">
        <v>0</v>
      </c>
      <c r="AI75" s="15" t="s">
        <v>242</v>
      </c>
      <c r="AJ75" s="14">
        <v>0.69334490740740751</v>
      </c>
      <c r="AK75" s="17">
        <v>43251</v>
      </c>
      <c r="AL75" s="18" t="s">
        <v>3</v>
      </c>
      <c r="AM75" s="14" t="s">
        <v>41</v>
      </c>
      <c r="AN75" s="14" t="s">
        <v>36</v>
      </c>
      <c r="AO75" s="14" t="s">
        <v>243</v>
      </c>
      <c r="AP75" s="14" t="s">
        <v>37</v>
      </c>
      <c r="AQ75" s="14" t="s">
        <v>184</v>
      </c>
      <c r="AR75" s="14" t="s">
        <v>4</v>
      </c>
      <c r="AS75" s="14">
        <v>0</v>
      </c>
      <c r="AT75" s="14">
        <v>0</v>
      </c>
      <c r="AU75" s="14">
        <v>0</v>
      </c>
      <c r="AV75" s="14">
        <v>0</v>
      </c>
      <c r="AW75" s="14"/>
      <c r="AX75" s="14"/>
      <c r="AY75" s="14"/>
      <c r="AZ75" s="14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</row>
    <row r="76" spans="1:66" s="2" customFormat="1" ht="12" customHeight="1" x14ac:dyDescent="0.25">
      <c r="A76" s="9">
        <f t="shared" ref="A76:A139" si="1">IF(G76&gt;0,1,0)</f>
        <v>1</v>
      </c>
      <c r="B76" s="6"/>
      <c r="C76" s="6"/>
      <c r="D76" s="24"/>
      <c r="E76" s="12" t="s">
        <v>38</v>
      </c>
      <c r="F76" s="25">
        <v>0</v>
      </c>
      <c r="G76" s="12" t="s">
        <v>244</v>
      </c>
      <c r="H76" s="12">
        <v>0</v>
      </c>
      <c r="I76" s="12">
        <v>0</v>
      </c>
      <c r="J76" s="12">
        <v>0</v>
      </c>
      <c r="K76" s="12">
        <v>0</v>
      </c>
      <c r="L76" s="13">
        <v>0</v>
      </c>
      <c r="M76" s="13">
        <v>0</v>
      </c>
      <c r="N76" s="12">
        <v>0</v>
      </c>
      <c r="O76" s="12">
        <v>0</v>
      </c>
      <c r="P76" s="12">
        <v>0</v>
      </c>
      <c r="Q76" s="14">
        <v>0</v>
      </c>
      <c r="R76" s="15">
        <v>0</v>
      </c>
      <c r="S76" s="16">
        <v>0</v>
      </c>
      <c r="T76" s="15">
        <v>0</v>
      </c>
      <c r="U76" s="16">
        <v>0</v>
      </c>
      <c r="V76" s="15">
        <v>0</v>
      </c>
      <c r="W76" s="16">
        <v>0</v>
      </c>
      <c r="X76" s="15">
        <v>0</v>
      </c>
      <c r="Y76" s="16">
        <v>0</v>
      </c>
      <c r="Z76" s="15">
        <v>0</v>
      </c>
      <c r="AA76" s="16">
        <v>0</v>
      </c>
      <c r="AB76" s="15">
        <v>0</v>
      </c>
      <c r="AC76" s="16">
        <v>0</v>
      </c>
      <c r="AD76" s="15">
        <v>0</v>
      </c>
      <c r="AE76" s="16">
        <v>0</v>
      </c>
      <c r="AF76" s="15">
        <v>0</v>
      </c>
      <c r="AG76" s="16">
        <v>0</v>
      </c>
      <c r="AH76" s="15">
        <v>0</v>
      </c>
      <c r="AI76" s="15" t="s">
        <v>245</v>
      </c>
      <c r="AJ76" s="14">
        <v>0.49425925925925923</v>
      </c>
      <c r="AK76" s="17">
        <v>43256</v>
      </c>
      <c r="AL76" s="18" t="s">
        <v>3</v>
      </c>
      <c r="AM76" s="14" t="s">
        <v>41</v>
      </c>
      <c r="AN76" s="14" t="s">
        <v>36</v>
      </c>
      <c r="AO76" s="14" t="s">
        <v>246</v>
      </c>
      <c r="AP76" s="14" t="s">
        <v>37</v>
      </c>
      <c r="AQ76" s="14" t="s">
        <v>184</v>
      </c>
      <c r="AR76" s="14" t="s">
        <v>4</v>
      </c>
      <c r="AS76" s="14">
        <v>0</v>
      </c>
      <c r="AT76" s="14">
        <v>0</v>
      </c>
      <c r="AU76" s="14">
        <v>0</v>
      </c>
      <c r="AV76" s="14">
        <v>0</v>
      </c>
      <c r="AW76" s="14"/>
      <c r="AX76" s="14"/>
      <c r="AY76" s="14"/>
      <c r="AZ76" s="14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</row>
    <row r="77" spans="1:66" s="2" customFormat="1" ht="12" customHeight="1" x14ac:dyDescent="0.25">
      <c r="A77" s="9">
        <f t="shared" si="1"/>
        <v>1</v>
      </c>
      <c r="B77" s="6"/>
      <c r="C77" s="6"/>
      <c r="D77" s="24"/>
      <c r="E77" s="12" t="s">
        <v>38</v>
      </c>
      <c r="F77" s="25">
        <v>0</v>
      </c>
      <c r="G77" s="12" t="s">
        <v>247</v>
      </c>
      <c r="H77" s="12">
        <v>0</v>
      </c>
      <c r="I77" s="12">
        <v>0</v>
      </c>
      <c r="J77" s="12">
        <v>0</v>
      </c>
      <c r="K77" s="12">
        <v>0</v>
      </c>
      <c r="L77" s="13">
        <v>0</v>
      </c>
      <c r="M77" s="13">
        <v>0</v>
      </c>
      <c r="N77" s="12">
        <v>0</v>
      </c>
      <c r="O77" s="12">
        <v>0</v>
      </c>
      <c r="P77" s="12">
        <v>0</v>
      </c>
      <c r="Q77" s="14">
        <v>0</v>
      </c>
      <c r="R77" s="15">
        <v>0</v>
      </c>
      <c r="S77" s="16">
        <v>0</v>
      </c>
      <c r="T77" s="15">
        <v>0</v>
      </c>
      <c r="U77" s="16">
        <v>0</v>
      </c>
      <c r="V77" s="15">
        <v>0</v>
      </c>
      <c r="W77" s="16">
        <v>0</v>
      </c>
      <c r="X77" s="15">
        <v>0</v>
      </c>
      <c r="Y77" s="16">
        <v>0</v>
      </c>
      <c r="Z77" s="15">
        <v>0</v>
      </c>
      <c r="AA77" s="16">
        <v>0</v>
      </c>
      <c r="AB77" s="15">
        <v>0</v>
      </c>
      <c r="AC77" s="16">
        <v>0</v>
      </c>
      <c r="AD77" s="15">
        <v>0</v>
      </c>
      <c r="AE77" s="16">
        <v>0</v>
      </c>
      <c r="AF77" s="15">
        <v>0</v>
      </c>
      <c r="AG77" s="16">
        <v>0</v>
      </c>
      <c r="AH77" s="15">
        <v>0</v>
      </c>
      <c r="AI77" s="15" t="s">
        <v>248</v>
      </c>
      <c r="AJ77" s="14">
        <v>0.4944560185185185</v>
      </c>
      <c r="AK77" s="17">
        <v>43256</v>
      </c>
      <c r="AL77" s="18" t="s">
        <v>3</v>
      </c>
      <c r="AM77" s="14" t="s">
        <v>41</v>
      </c>
      <c r="AN77" s="14" t="s">
        <v>36</v>
      </c>
      <c r="AO77" s="14" t="s">
        <v>249</v>
      </c>
      <c r="AP77" s="14" t="s">
        <v>37</v>
      </c>
      <c r="AQ77" s="14" t="s">
        <v>184</v>
      </c>
      <c r="AR77" s="14" t="s">
        <v>4</v>
      </c>
      <c r="AS77" s="14">
        <v>0</v>
      </c>
      <c r="AT77" s="14">
        <v>0</v>
      </c>
      <c r="AU77" s="14">
        <v>0</v>
      </c>
      <c r="AV77" s="14">
        <v>0</v>
      </c>
      <c r="AW77" s="14"/>
      <c r="AX77" s="14"/>
      <c r="AY77" s="14"/>
      <c r="AZ77" s="14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</row>
    <row r="78" spans="1:66" s="2" customFormat="1" ht="12" customHeight="1" x14ac:dyDescent="0.25">
      <c r="A78" s="9">
        <f t="shared" si="1"/>
        <v>1</v>
      </c>
      <c r="B78" s="6"/>
      <c r="C78" s="6"/>
      <c r="D78" s="24"/>
      <c r="E78" s="12" t="s">
        <v>38</v>
      </c>
      <c r="F78" s="25">
        <v>0</v>
      </c>
      <c r="G78" s="12" t="s">
        <v>250</v>
      </c>
      <c r="H78" s="12">
        <v>0</v>
      </c>
      <c r="I78" s="12">
        <v>0</v>
      </c>
      <c r="J78" s="12">
        <v>0</v>
      </c>
      <c r="K78" s="12">
        <v>0</v>
      </c>
      <c r="L78" s="13">
        <v>0</v>
      </c>
      <c r="M78" s="13">
        <v>0</v>
      </c>
      <c r="N78" s="12">
        <v>0</v>
      </c>
      <c r="O78" s="12">
        <v>0</v>
      </c>
      <c r="P78" s="12">
        <v>0</v>
      </c>
      <c r="Q78" s="14">
        <v>0</v>
      </c>
      <c r="R78" s="15">
        <v>11150.5</v>
      </c>
      <c r="S78" s="16">
        <v>11150.5</v>
      </c>
      <c r="T78" s="15">
        <v>6255.5</v>
      </c>
      <c r="U78" s="16">
        <v>0</v>
      </c>
      <c r="V78" s="15">
        <v>4895</v>
      </c>
      <c r="W78" s="16">
        <v>0</v>
      </c>
      <c r="X78" s="15">
        <v>0</v>
      </c>
      <c r="Y78" s="16">
        <v>0</v>
      </c>
      <c r="Z78" s="15">
        <v>0</v>
      </c>
      <c r="AA78" s="16">
        <v>0</v>
      </c>
      <c r="AB78" s="15">
        <v>0</v>
      </c>
      <c r="AC78" s="16">
        <v>0</v>
      </c>
      <c r="AD78" s="15">
        <v>0</v>
      </c>
      <c r="AE78" s="16">
        <v>0</v>
      </c>
      <c r="AF78" s="15">
        <v>0</v>
      </c>
      <c r="AG78" s="16">
        <v>0</v>
      </c>
      <c r="AH78" s="15">
        <v>0</v>
      </c>
      <c r="AI78" s="15" t="s">
        <v>251</v>
      </c>
      <c r="AJ78" s="14">
        <v>0.68815972222222221</v>
      </c>
      <c r="AK78" s="17">
        <v>43258</v>
      </c>
      <c r="AL78" s="18" t="s">
        <v>40</v>
      </c>
      <c r="AM78" s="14" t="s">
        <v>43</v>
      </c>
      <c r="AN78" s="14" t="s">
        <v>36</v>
      </c>
      <c r="AO78" s="14" t="s">
        <v>252</v>
      </c>
      <c r="AP78" s="14" t="s">
        <v>37</v>
      </c>
      <c r="AQ78" s="14" t="s">
        <v>184</v>
      </c>
      <c r="AR78" s="14" t="s">
        <v>4</v>
      </c>
      <c r="AS78" s="14">
        <v>0</v>
      </c>
      <c r="AT78" s="14">
        <v>0</v>
      </c>
      <c r="AU78" s="14">
        <v>0</v>
      </c>
      <c r="AV78" s="14">
        <v>0</v>
      </c>
      <c r="AW78" s="14"/>
      <c r="AX78" s="14"/>
      <c r="AY78" s="14"/>
      <c r="AZ78" s="14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</row>
    <row r="79" spans="1:66" s="2" customFormat="1" ht="12" customHeight="1" x14ac:dyDescent="0.25">
      <c r="A79" s="9">
        <f t="shared" si="1"/>
        <v>1</v>
      </c>
      <c r="B79" s="6"/>
      <c r="C79" s="6"/>
      <c r="D79" s="24"/>
      <c r="E79" s="12" t="s">
        <v>38</v>
      </c>
      <c r="F79" s="25">
        <v>0</v>
      </c>
      <c r="G79" s="12" t="s">
        <v>253</v>
      </c>
      <c r="H79" s="12">
        <v>0</v>
      </c>
      <c r="I79" s="12">
        <v>0</v>
      </c>
      <c r="J79" s="12">
        <v>0</v>
      </c>
      <c r="K79" s="12">
        <v>0</v>
      </c>
      <c r="L79" s="13">
        <v>0</v>
      </c>
      <c r="M79" s="13">
        <v>0</v>
      </c>
      <c r="N79" s="12">
        <v>0</v>
      </c>
      <c r="O79" s="12">
        <v>0</v>
      </c>
      <c r="P79" s="12">
        <v>0</v>
      </c>
      <c r="Q79" s="14">
        <v>0</v>
      </c>
      <c r="R79" s="15">
        <v>11150.5</v>
      </c>
      <c r="S79" s="16">
        <v>11150.5</v>
      </c>
      <c r="T79" s="15">
        <v>6255.5</v>
      </c>
      <c r="U79" s="16">
        <v>0</v>
      </c>
      <c r="V79" s="15">
        <v>4895</v>
      </c>
      <c r="W79" s="16">
        <v>0</v>
      </c>
      <c r="X79" s="15">
        <v>0</v>
      </c>
      <c r="Y79" s="16">
        <v>0</v>
      </c>
      <c r="Z79" s="15">
        <v>0</v>
      </c>
      <c r="AA79" s="16">
        <v>0</v>
      </c>
      <c r="AB79" s="15">
        <v>0</v>
      </c>
      <c r="AC79" s="16">
        <v>0</v>
      </c>
      <c r="AD79" s="15">
        <v>0</v>
      </c>
      <c r="AE79" s="16">
        <v>0</v>
      </c>
      <c r="AF79" s="15">
        <v>0</v>
      </c>
      <c r="AG79" s="16">
        <v>0</v>
      </c>
      <c r="AH79" s="15">
        <v>0</v>
      </c>
      <c r="AI79" s="15" t="s">
        <v>254</v>
      </c>
      <c r="AJ79" s="14">
        <v>0.68747685185185192</v>
      </c>
      <c r="AK79" s="17">
        <v>43258</v>
      </c>
      <c r="AL79" s="18" t="s">
        <v>40</v>
      </c>
      <c r="AM79" s="14" t="s">
        <v>43</v>
      </c>
      <c r="AN79" s="14" t="s">
        <v>36</v>
      </c>
      <c r="AO79" s="14" t="s">
        <v>255</v>
      </c>
      <c r="AP79" s="14" t="s">
        <v>37</v>
      </c>
      <c r="AQ79" s="14" t="s">
        <v>184</v>
      </c>
      <c r="AR79" s="14" t="s">
        <v>4</v>
      </c>
      <c r="AS79" s="14">
        <v>0</v>
      </c>
      <c r="AT79" s="14">
        <v>0</v>
      </c>
      <c r="AU79" s="14">
        <v>0</v>
      </c>
      <c r="AV79" s="14">
        <v>0</v>
      </c>
      <c r="AW79" s="14"/>
      <c r="AX79" s="14"/>
      <c r="AY79" s="14"/>
      <c r="AZ79" s="14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</row>
    <row r="80" spans="1:66" s="2" customFormat="1" ht="12" customHeight="1" x14ac:dyDescent="0.25">
      <c r="A80" s="9">
        <f t="shared" si="1"/>
        <v>1</v>
      </c>
      <c r="B80" s="6"/>
      <c r="C80" s="6"/>
      <c r="D80" s="24"/>
      <c r="E80" s="12" t="s">
        <v>38</v>
      </c>
      <c r="F80" s="25">
        <v>0</v>
      </c>
      <c r="G80" s="12" t="s">
        <v>256</v>
      </c>
      <c r="H80" s="12">
        <v>0</v>
      </c>
      <c r="I80" s="12">
        <v>0</v>
      </c>
      <c r="J80" s="12">
        <v>0</v>
      </c>
      <c r="K80" s="12">
        <v>0</v>
      </c>
      <c r="L80" s="13">
        <v>0</v>
      </c>
      <c r="M80" s="13">
        <v>0</v>
      </c>
      <c r="N80" s="12">
        <v>0</v>
      </c>
      <c r="O80" s="12">
        <v>0</v>
      </c>
      <c r="P80" s="12">
        <v>0</v>
      </c>
      <c r="Q80" s="14">
        <v>0</v>
      </c>
      <c r="R80" s="15">
        <v>20984.870000000003</v>
      </c>
      <c r="S80" s="16">
        <v>20984.870000000003</v>
      </c>
      <c r="T80" s="15">
        <v>14089.87</v>
      </c>
      <c r="U80" s="16">
        <v>0</v>
      </c>
      <c r="V80" s="15">
        <v>6895</v>
      </c>
      <c r="W80" s="16">
        <v>0</v>
      </c>
      <c r="X80" s="15">
        <v>0</v>
      </c>
      <c r="Y80" s="16">
        <v>0</v>
      </c>
      <c r="Z80" s="15">
        <v>0</v>
      </c>
      <c r="AA80" s="16">
        <v>0</v>
      </c>
      <c r="AB80" s="15">
        <v>0</v>
      </c>
      <c r="AC80" s="16">
        <v>0</v>
      </c>
      <c r="AD80" s="15">
        <v>0</v>
      </c>
      <c r="AE80" s="16">
        <v>0</v>
      </c>
      <c r="AF80" s="15">
        <v>0</v>
      </c>
      <c r="AG80" s="16">
        <v>0</v>
      </c>
      <c r="AH80" s="15">
        <v>0</v>
      </c>
      <c r="AI80" s="15" t="s">
        <v>257</v>
      </c>
      <c r="AJ80" s="14">
        <v>0.68666666666666665</v>
      </c>
      <c r="AK80" s="17">
        <v>43258</v>
      </c>
      <c r="AL80" s="18" t="s">
        <v>40</v>
      </c>
      <c r="AM80" s="14" t="s">
        <v>43</v>
      </c>
      <c r="AN80" s="14" t="s">
        <v>36</v>
      </c>
      <c r="AO80" s="14" t="s">
        <v>258</v>
      </c>
      <c r="AP80" s="14" t="s">
        <v>37</v>
      </c>
      <c r="AQ80" s="14" t="s">
        <v>184</v>
      </c>
      <c r="AR80" s="14" t="s">
        <v>4</v>
      </c>
      <c r="AS80" s="14">
        <v>0</v>
      </c>
      <c r="AT80" s="14">
        <v>0</v>
      </c>
      <c r="AU80" s="14">
        <v>0</v>
      </c>
      <c r="AV80" s="14">
        <v>0</v>
      </c>
      <c r="AW80" s="14"/>
      <c r="AX80" s="14"/>
      <c r="AY80" s="14"/>
      <c r="AZ80" s="14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</row>
    <row r="81" spans="1:66" s="2" customFormat="1" ht="12" customHeight="1" x14ac:dyDescent="0.25">
      <c r="A81" s="9">
        <f t="shared" si="1"/>
        <v>1</v>
      </c>
      <c r="B81" s="6"/>
      <c r="C81" s="6"/>
      <c r="D81" s="24"/>
      <c r="E81" s="12" t="s">
        <v>38</v>
      </c>
      <c r="F81" s="25">
        <v>0</v>
      </c>
      <c r="G81" s="12" t="s">
        <v>259</v>
      </c>
      <c r="H81" s="12">
        <v>0</v>
      </c>
      <c r="I81" s="12">
        <v>0</v>
      </c>
      <c r="J81" s="12">
        <v>0</v>
      </c>
      <c r="K81" s="12">
        <v>0</v>
      </c>
      <c r="L81" s="13">
        <v>0</v>
      </c>
      <c r="M81" s="13">
        <v>0</v>
      </c>
      <c r="N81" s="12">
        <v>0</v>
      </c>
      <c r="O81" s="12">
        <v>0</v>
      </c>
      <c r="P81" s="12">
        <v>0</v>
      </c>
      <c r="Q81" s="14">
        <v>0</v>
      </c>
      <c r="R81" s="15">
        <v>16399.739999999998</v>
      </c>
      <c r="S81" s="16">
        <v>16399.739999999998</v>
      </c>
      <c r="T81" s="15">
        <v>11129.74</v>
      </c>
      <c r="U81" s="16">
        <v>0</v>
      </c>
      <c r="V81" s="15">
        <v>5270</v>
      </c>
      <c r="W81" s="16">
        <v>0</v>
      </c>
      <c r="X81" s="15">
        <v>0</v>
      </c>
      <c r="Y81" s="16">
        <v>0</v>
      </c>
      <c r="Z81" s="15">
        <v>0</v>
      </c>
      <c r="AA81" s="16">
        <v>0</v>
      </c>
      <c r="AB81" s="15">
        <v>0</v>
      </c>
      <c r="AC81" s="16">
        <v>0</v>
      </c>
      <c r="AD81" s="15">
        <v>0</v>
      </c>
      <c r="AE81" s="16">
        <v>0</v>
      </c>
      <c r="AF81" s="15">
        <v>0</v>
      </c>
      <c r="AG81" s="16">
        <v>0</v>
      </c>
      <c r="AH81" s="15">
        <v>0</v>
      </c>
      <c r="AI81" s="15" t="s">
        <v>260</v>
      </c>
      <c r="AJ81" s="14">
        <v>0.68489583333333337</v>
      </c>
      <c r="AK81" s="17">
        <v>43258</v>
      </c>
      <c r="AL81" s="18" t="s">
        <v>40</v>
      </c>
      <c r="AM81" s="14" t="s">
        <v>43</v>
      </c>
      <c r="AN81" s="14" t="s">
        <v>36</v>
      </c>
      <c r="AO81" s="14" t="s">
        <v>261</v>
      </c>
      <c r="AP81" s="14" t="s">
        <v>37</v>
      </c>
      <c r="AQ81" s="14" t="s">
        <v>184</v>
      </c>
      <c r="AR81" s="14" t="s">
        <v>4</v>
      </c>
      <c r="AS81" s="14">
        <v>0</v>
      </c>
      <c r="AT81" s="14">
        <v>0</v>
      </c>
      <c r="AU81" s="14">
        <v>0</v>
      </c>
      <c r="AV81" s="14">
        <v>0</v>
      </c>
      <c r="AW81" s="14"/>
      <c r="AX81" s="14"/>
      <c r="AY81" s="14"/>
      <c r="AZ81" s="14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</row>
    <row r="82" spans="1:66" s="2" customFormat="1" ht="12" customHeight="1" x14ac:dyDescent="0.25">
      <c r="A82" s="9">
        <f t="shared" si="1"/>
        <v>1</v>
      </c>
      <c r="B82" s="6"/>
      <c r="C82" s="6"/>
      <c r="D82" s="24"/>
      <c r="E82" s="12" t="s">
        <v>38</v>
      </c>
      <c r="F82" s="25">
        <v>0</v>
      </c>
      <c r="G82" s="12" t="s">
        <v>262</v>
      </c>
      <c r="H82" s="12">
        <v>0</v>
      </c>
      <c r="I82" s="12">
        <v>0</v>
      </c>
      <c r="J82" s="12">
        <v>0</v>
      </c>
      <c r="K82" s="12">
        <v>0</v>
      </c>
      <c r="L82" s="13">
        <v>0</v>
      </c>
      <c r="M82" s="13">
        <v>0</v>
      </c>
      <c r="N82" s="12">
        <v>0</v>
      </c>
      <c r="O82" s="12">
        <v>0</v>
      </c>
      <c r="P82" s="12">
        <v>0</v>
      </c>
      <c r="Q82" s="14">
        <v>0</v>
      </c>
      <c r="R82" s="15">
        <v>543816.35</v>
      </c>
      <c r="S82" s="16">
        <v>543816.35</v>
      </c>
      <c r="T82" s="15">
        <v>249323</v>
      </c>
      <c r="U82" s="16">
        <v>0</v>
      </c>
      <c r="V82" s="15">
        <v>181920</v>
      </c>
      <c r="W82" s="16">
        <v>0</v>
      </c>
      <c r="X82" s="15">
        <v>44943.5</v>
      </c>
      <c r="Y82" s="16">
        <v>0</v>
      </c>
      <c r="Z82" s="15">
        <v>18192</v>
      </c>
      <c r="AA82" s="16">
        <v>0</v>
      </c>
      <c r="AB82" s="15">
        <v>49437.850000000006</v>
      </c>
      <c r="AC82" s="16">
        <v>0</v>
      </c>
      <c r="AD82" s="15">
        <v>0</v>
      </c>
      <c r="AE82" s="16">
        <v>0</v>
      </c>
      <c r="AF82" s="15">
        <v>0</v>
      </c>
      <c r="AG82" s="16">
        <v>0</v>
      </c>
      <c r="AH82" s="15">
        <v>0</v>
      </c>
      <c r="AI82" s="15" t="s">
        <v>263</v>
      </c>
      <c r="AJ82" s="14">
        <v>0.51444444444444448</v>
      </c>
      <c r="AK82" s="17">
        <v>43260</v>
      </c>
      <c r="AL82" s="18" t="s">
        <v>40</v>
      </c>
      <c r="AM82" s="14" t="s">
        <v>43</v>
      </c>
      <c r="AN82" s="14" t="s">
        <v>36</v>
      </c>
      <c r="AO82" s="14" t="s">
        <v>264</v>
      </c>
      <c r="AP82" s="14" t="s">
        <v>37</v>
      </c>
      <c r="AQ82" s="14" t="s">
        <v>184</v>
      </c>
      <c r="AR82" s="14" t="s">
        <v>4</v>
      </c>
      <c r="AS82" s="14">
        <v>0</v>
      </c>
      <c r="AT82" s="14">
        <v>0</v>
      </c>
      <c r="AU82" s="14">
        <v>0</v>
      </c>
      <c r="AV82" s="14">
        <v>0</v>
      </c>
      <c r="AW82" s="14"/>
      <c r="AX82" s="14"/>
      <c r="AY82" s="14"/>
      <c r="AZ82" s="14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</row>
    <row r="83" spans="1:66" s="2" customFormat="1" ht="12" customHeight="1" x14ac:dyDescent="0.25">
      <c r="A83" s="9">
        <f t="shared" si="1"/>
        <v>1</v>
      </c>
      <c r="B83" s="6"/>
      <c r="C83" s="6"/>
      <c r="D83" s="24"/>
      <c r="E83" s="12" t="s">
        <v>38</v>
      </c>
      <c r="F83" s="25">
        <v>0</v>
      </c>
      <c r="G83" s="12" t="s">
        <v>265</v>
      </c>
      <c r="H83" s="12">
        <v>0</v>
      </c>
      <c r="I83" s="12">
        <v>0</v>
      </c>
      <c r="J83" s="12">
        <v>0</v>
      </c>
      <c r="K83" s="12">
        <v>0</v>
      </c>
      <c r="L83" s="13">
        <v>0</v>
      </c>
      <c r="M83" s="13">
        <v>0</v>
      </c>
      <c r="N83" s="12">
        <v>0</v>
      </c>
      <c r="O83" s="12">
        <v>0</v>
      </c>
      <c r="P83" s="12">
        <v>0</v>
      </c>
      <c r="Q83" s="14">
        <v>0</v>
      </c>
      <c r="R83" s="15">
        <v>124153.9488</v>
      </c>
      <c r="S83" s="16">
        <v>124153.9488</v>
      </c>
      <c r="T83" s="15">
        <v>73575</v>
      </c>
      <c r="U83" s="16">
        <v>0</v>
      </c>
      <c r="V83" s="15">
        <v>28580</v>
      </c>
      <c r="W83" s="16">
        <v>0</v>
      </c>
      <c r="X83" s="15">
        <v>8515.36</v>
      </c>
      <c r="Y83" s="16">
        <v>0</v>
      </c>
      <c r="Z83" s="15">
        <v>4287</v>
      </c>
      <c r="AA83" s="16">
        <v>0</v>
      </c>
      <c r="AB83" s="15">
        <v>9196.5887999999995</v>
      </c>
      <c r="AC83" s="16">
        <v>0</v>
      </c>
      <c r="AD83" s="15">
        <v>0</v>
      </c>
      <c r="AE83" s="16">
        <v>0</v>
      </c>
      <c r="AF83" s="15">
        <v>0</v>
      </c>
      <c r="AG83" s="16">
        <v>0</v>
      </c>
      <c r="AH83" s="15">
        <v>0</v>
      </c>
      <c r="AI83" s="15" t="s">
        <v>266</v>
      </c>
      <c r="AJ83" s="14">
        <v>0.59214120370370371</v>
      </c>
      <c r="AK83" s="17">
        <v>43294</v>
      </c>
      <c r="AL83" s="18" t="s">
        <v>40</v>
      </c>
      <c r="AM83" s="14" t="s">
        <v>43</v>
      </c>
      <c r="AN83" s="14" t="s">
        <v>36</v>
      </c>
      <c r="AO83" s="14" t="s">
        <v>267</v>
      </c>
      <c r="AP83" s="14" t="s">
        <v>37</v>
      </c>
      <c r="AQ83" s="14" t="s">
        <v>184</v>
      </c>
      <c r="AR83" s="14" t="s">
        <v>4</v>
      </c>
      <c r="AS83" s="14">
        <v>0</v>
      </c>
      <c r="AT83" s="14">
        <v>0</v>
      </c>
      <c r="AU83" s="14">
        <v>0</v>
      </c>
      <c r="AV83" s="14">
        <v>0</v>
      </c>
      <c r="AW83" s="14"/>
      <c r="AX83" s="14"/>
      <c r="AY83" s="14"/>
      <c r="AZ83" s="14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</row>
    <row r="84" spans="1:66" s="2" customFormat="1" ht="12" customHeight="1" x14ac:dyDescent="0.25">
      <c r="A84" s="9">
        <f t="shared" si="1"/>
        <v>1</v>
      </c>
      <c r="B84" s="6"/>
      <c r="C84" s="6"/>
      <c r="D84" s="24"/>
      <c r="E84" s="12" t="s">
        <v>38</v>
      </c>
      <c r="F84" s="25">
        <v>0</v>
      </c>
      <c r="G84" s="12" t="s">
        <v>268</v>
      </c>
      <c r="H84" s="12">
        <v>0</v>
      </c>
      <c r="I84" s="12">
        <v>0</v>
      </c>
      <c r="J84" s="12">
        <v>0</v>
      </c>
      <c r="K84" s="12">
        <v>0</v>
      </c>
      <c r="L84" s="13">
        <v>0</v>
      </c>
      <c r="M84" s="13">
        <v>0</v>
      </c>
      <c r="N84" s="12">
        <v>0</v>
      </c>
      <c r="O84" s="12">
        <v>0</v>
      </c>
      <c r="P84" s="12">
        <v>0</v>
      </c>
      <c r="Q84" s="14">
        <v>0</v>
      </c>
      <c r="R84" s="15">
        <v>24296.799999999999</v>
      </c>
      <c r="S84" s="16">
        <v>24296.799999999999</v>
      </c>
      <c r="T84" s="15">
        <v>8970</v>
      </c>
      <c r="U84" s="16">
        <v>0</v>
      </c>
      <c r="V84" s="15">
        <v>10100</v>
      </c>
      <c r="W84" s="16">
        <v>0</v>
      </c>
      <c r="X84" s="15">
        <v>2008</v>
      </c>
      <c r="Y84" s="16">
        <v>0</v>
      </c>
      <c r="Z84" s="15">
        <v>1010</v>
      </c>
      <c r="AA84" s="16">
        <v>0</v>
      </c>
      <c r="AB84" s="15">
        <v>2208.8000000000002</v>
      </c>
      <c r="AC84" s="16">
        <v>0</v>
      </c>
      <c r="AD84" s="15">
        <v>0</v>
      </c>
      <c r="AE84" s="16">
        <v>0</v>
      </c>
      <c r="AF84" s="15">
        <v>0</v>
      </c>
      <c r="AG84" s="16">
        <v>0</v>
      </c>
      <c r="AH84" s="15">
        <v>0</v>
      </c>
      <c r="AI84" s="15" t="s">
        <v>269</v>
      </c>
      <c r="AJ84" s="14">
        <v>0.66217592592592589</v>
      </c>
      <c r="AK84" s="17">
        <v>43279</v>
      </c>
      <c r="AL84" s="18" t="s">
        <v>40</v>
      </c>
      <c r="AM84" s="14" t="s">
        <v>43</v>
      </c>
      <c r="AN84" s="14" t="s">
        <v>36</v>
      </c>
      <c r="AO84" s="14" t="s">
        <v>270</v>
      </c>
      <c r="AP84" s="14" t="s">
        <v>37</v>
      </c>
      <c r="AQ84" s="14" t="s">
        <v>184</v>
      </c>
      <c r="AR84" s="14" t="s">
        <v>4</v>
      </c>
      <c r="AS84" s="14">
        <v>0</v>
      </c>
      <c r="AT84" s="14">
        <v>0</v>
      </c>
      <c r="AU84" s="14">
        <v>0</v>
      </c>
      <c r="AV84" s="14">
        <v>0</v>
      </c>
      <c r="AW84" s="14"/>
      <c r="AX84" s="14"/>
      <c r="AY84" s="14"/>
      <c r="AZ84" s="14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</row>
    <row r="85" spans="1:66" s="2" customFormat="1" ht="12" customHeight="1" x14ac:dyDescent="0.25">
      <c r="A85" s="9">
        <f t="shared" si="1"/>
        <v>1</v>
      </c>
      <c r="B85" s="6"/>
      <c r="C85" s="6"/>
      <c r="D85" s="24"/>
      <c r="E85" s="12" t="s">
        <v>38</v>
      </c>
      <c r="F85" s="25">
        <v>0</v>
      </c>
      <c r="G85" s="12" t="s">
        <v>271</v>
      </c>
      <c r="H85" s="12">
        <v>0</v>
      </c>
      <c r="I85" s="12">
        <v>0</v>
      </c>
      <c r="J85" s="12">
        <v>0</v>
      </c>
      <c r="K85" s="12">
        <v>0</v>
      </c>
      <c r="L85" s="13">
        <v>0</v>
      </c>
      <c r="M85" s="13">
        <v>0</v>
      </c>
      <c r="N85" s="12">
        <v>0</v>
      </c>
      <c r="O85" s="12">
        <v>0</v>
      </c>
      <c r="P85" s="12">
        <v>0</v>
      </c>
      <c r="Q85" s="14">
        <v>0</v>
      </c>
      <c r="R85" s="15">
        <v>1151029.8085</v>
      </c>
      <c r="S85" s="16">
        <v>1151029.8085</v>
      </c>
      <c r="T85" s="15">
        <v>637515</v>
      </c>
      <c r="U85" s="16">
        <v>0</v>
      </c>
      <c r="V85" s="15">
        <v>295850</v>
      </c>
      <c r="W85" s="16">
        <v>0</v>
      </c>
      <c r="X85" s="15">
        <v>86399.235000000001</v>
      </c>
      <c r="Y85" s="16">
        <v>0</v>
      </c>
      <c r="Z85" s="15">
        <v>26626.5</v>
      </c>
      <c r="AA85" s="16">
        <v>0</v>
      </c>
      <c r="AB85" s="15">
        <v>104639.0735</v>
      </c>
      <c r="AC85" s="16">
        <v>0</v>
      </c>
      <c r="AD85" s="15">
        <v>0</v>
      </c>
      <c r="AE85" s="16">
        <v>0</v>
      </c>
      <c r="AF85" s="15">
        <v>0</v>
      </c>
      <c r="AG85" s="16">
        <v>0</v>
      </c>
      <c r="AH85" s="15">
        <v>0</v>
      </c>
      <c r="AI85" s="15" t="s">
        <v>272</v>
      </c>
      <c r="AJ85" s="14">
        <v>0.41673611111111114</v>
      </c>
      <c r="AK85" s="17">
        <v>43284</v>
      </c>
      <c r="AL85" s="18" t="s">
        <v>40</v>
      </c>
      <c r="AM85" s="14" t="s">
        <v>43</v>
      </c>
      <c r="AN85" s="14" t="s">
        <v>36</v>
      </c>
      <c r="AO85" s="14" t="s">
        <v>273</v>
      </c>
      <c r="AP85" s="14" t="s">
        <v>37</v>
      </c>
      <c r="AQ85" s="14" t="s">
        <v>184</v>
      </c>
      <c r="AR85" s="14" t="s">
        <v>4</v>
      </c>
      <c r="AS85" s="14">
        <v>0</v>
      </c>
      <c r="AT85" s="14">
        <v>0</v>
      </c>
      <c r="AU85" s="14">
        <v>0</v>
      </c>
      <c r="AV85" s="14">
        <v>0</v>
      </c>
      <c r="AW85" s="14"/>
      <c r="AX85" s="14"/>
      <c r="AY85" s="14"/>
      <c r="AZ85" s="14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</row>
    <row r="86" spans="1:66" s="2" customFormat="1" ht="12" customHeight="1" x14ac:dyDescent="0.25">
      <c r="A86" s="9">
        <f t="shared" si="1"/>
        <v>1</v>
      </c>
      <c r="B86" s="6"/>
      <c r="C86" s="6"/>
      <c r="D86" s="24"/>
      <c r="E86" s="12" t="s">
        <v>38</v>
      </c>
      <c r="F86" s="25">
        <v>0</v>
      </c>
      <c r="G86" s="12" t="s">
        <v>274</v>
      </c>
      <c r="H86" s="12">
        <v>0</v>
      </c>
      <c r="I86" s="12">
        <v>0</v>
      </c>
      <c r="J86" s="12">
        <v>0</v>
      </c>
      <c r="K86" s="12">
        <v>0</v>
      </c>
      <c r="L86" s="13">
        <v>0</v>
      </c>
      <c r="M86" s="13">
        <v>0</v>
      </c>
      <c r="N86" s="12">
        <v>0</v>
      </c>
      <c r="O86" s="12">
        <v>0</v>
      </c>
      <c r="P86" s="12">
        <v>0</v>
      </c>
      <c r="Q86" s="14">
        <v>0</v>
      </c>
      <c r="R86" s="15">
        <v>1512674.59</v>
      </c>
      <c r="S86" s="16">
        <v>1512674.59</v>
      </c>
      <c r="T86" s="15">
        <v>1346275</v>
      </c>
      <c r="U86" s="16">
        <v>0</v>
      </c>
      <c r="V86" s="15">
        <v>0</v>
      </c>
      <c r="W86" s="16">
        <v>0</v>
      </c>
      <c r="X86" s="15">
        <v>80776.5</v>
      </c>
      <c r="Y86" s="16">
        <v>0</v>
      </c>
      <c r="Z86" s="15">
        <v>0</v>
      </c>
      <c r="AA86" s="16">
        <v>0</v>
      </c>
      <c r="AB86" s="15">
        <v>85623.09</v>
      </c>
      <c r="AC86" s="16">
        <v>0</v>
      </c>
      <c r="AD86" s="15">
        <v>0</v>
      </c>
      <c r="AE86" s="16">
        <v>0</v>
      </c>
      <c r="AF86" s="15">
        <v>0</v>
      </c>
      <c r="AG86" s="16">
        <v>0</v>
      </c>
      <c r="AH86" s="15">
        <v>0</v>
      </c>
      <c r="AI86" s="15" t="s">
        <v>275</v>
      </c>
      <c r="AJ86" s="14">
        <v>0.49429398148148151</v>
      </c>
      <c r="AK86" s="17">
        <v>43287</v>
      </c>
      <c r="AL86" s="18" t="s">
        <v>40</v>
      </c>
      <c r="AM86" s="14" t="s">
        <v>43</v>
      </c>
      <c r="AN86" s="14" t="s">
        <v>36</v>
      </c>
      <c r="AO86" s="14" t="s">
        <v>276</v>
      </c>
      <c r="AP86" s="14" t="s">
        <v>37</v>
      </c>
      <c r="AQ86" s="14" t="s">
        <v>184</v>
      </c>
      <c r="AR86" s="14" t="s">
        <v>4</v>
      </c>
      <c r="AS86" s="14">
        <v>0</v>
      </c>
      <c r="AT86" s="14">
        <v>0</v>
      </c>
      <c r="AU86" s="14">
        <v>0</v>
      </c>
      <c r="AV86" s="14">
        <v>0</v>
      </c>
      <c r="AW86" s="14"/>
      <c r="AX86" s="14"/>
      <c r="AY86" s="14"/>
      <c r="AZ86" s="14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</row>
    <row r="87" spans="1:66" s="2" customFormat="1" ht="12" customHeight="1" x14ac:dyDescent="0.25">
      <c r="A87" s="9">
        <f t="shared" si="1"/>
        <v>1</v>
      </c>
      <c r="B87" s="6"/>
      <c r="C87" s="6"/>
      <c r="D87" s="24"/>
      <c r="E87" s="12" t="s">
        <v>38</v>
      </c>
      <c r="F87" s="25">
        <v>0</v>
      </c>
      <c r="G87" s="12" t="s">
        <v>277</v>
      </c>
      <c r="H87" s="12">
        <v>0</v>
      </c>
      <c r="I87" s="12">
        <v>0</v>
      </c>
      <c r="J87" s="12">
        <v>0</v>
      </c>
      <c r="K87" s="12">
        <v>0</v>
      </c>
      <c r="L87" s="13">
        <v>0</v>
      </c>
      <c r="M87" s="13">
        <v>0</v>
      </c>
      <c r="N87" s="12">
        <v>0</v>
      </c>
      <c r="O87" s="12">
        <v>0</v>
      </c>
      <c r="P87" s="12">
        <v>0</v>
      </c>
      <c r="Q87" s="14">
        <v>0</v>
      </c>
      <c r="R87" s="15">
        <v>89990.725000000006</v>
      </c>
      <c r="S87" s="16">
        <v>89990.725000000006</v>
      </c>
      <c r="T87" s="15">
        <v>21737.5</v>
      </c>
      <c r="U87" s="16">
        <v>0</v>
      </c>
      <c r="V87" s="15">
        <v>47850</v>
      </c>
      <c r="W87" s="16">
        <v>0</v>
      </c>
      <c r="X87" s="15">
        <v>7437.25</v>
      </c>
      <c r="Y87" s="16">
        <v>0</v>
      </c>
      <c r="Z87" s="15">
        <v>4785</v>
      </c>
      <c r="AA87" s="16">
        <v>0</v>
      </c>
      <c r="AB87" s="15">
        <v>8180.9750000000004</v>
      </c>
      <c r="AC87" s="16">
        <v>0</v>
      </c>
      <c r="AD87" s="15">
        <v>0</v>
      </c>
      <c r="AE87" s="16">
        <v>0</v>
      </c>
      <c r="AF87" s="15">
        <v>0</v>
      </c>
      <c r="AG87" s="16">
        <v>0</v>
      </c>
      <c r="AH87" s="15">
        <v>0</v>
      </c>
      <c r="AI87" s="15" t="s">
        <v>278</v>
      </c>
      <c r="AJ87" s="14">
        <v>0.70511574074074079</v>
      </c>
      <c r="AK87" s="17">
        <v>43287</v>
      </c>
      <c r="AL87" s="18" t="s">
        <v>40</v>
      </c>
      <c r="AM87" s="14" t="s">
        <v>43</v>
      </c>
      <c r="AN87" s="14" t="s">
        <v>36</v>
      </c>
      <c r="AO87" s="14" t="s">
        <v>279</v>
      </c>
      <c r="AP87" s="14" t="s">
        <v>37</v>
      </c>
      <c r="AQ87" s="14" t="s">
        <v>184</v>
      </c>
      <c r="AR87" s="14" t="s">
        <v>4</v>
      </c>
      <c r="AS87" s="14">
        <v>0</v>
      </c>
      <c r="AT87" s="14">
        <v>0</v>
      </c>
      <c r="AU87" s="14">
        <v>0</v>
      </c>
      <c r="AV87" s="14">
        <v>0</v>
      </c>
      <c r="AW87" s="14"/>
      <c r="AX87" s="14"/>
      <c r="AY87" s="14"/>
      <c r="AZ87" s="14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</row>
    <row r="88" spans="1:66" s="2" customFormat="1" ht="12" customHeight="1" x14ac:dyDescent="0.25">
      <c r="A88" s="9">
        <f t="shared" si="1"/>
        <v>1</v>
      </c>
      <c r="B88" s="6"/>
      <c r="C88" s="6"/>
      <c r="D88" s="24"/>
      <c r="E88" s="12" t="s">
        <v>38</v>
      </c>
      <c r="F88" s="25">
        <v>0</v>
      </c>
      <c r="G88" s="12" t="s">
        <v>280</v>
      </c>
      <c r="H88" s="12">
        <v>0</v>
      </c>
      <c r="I88" s="12">
        <v>0</v>
      </c>
      <c r="J88" s="12">
        <v>0</v>
      </c>
      <c r="K88" s="12">
        <v>0</v>
      </c>
      <c r="L88" s="13">
        <v>0</v>
      </c>
      <c r="M88" s="13">
        <v>0</v>
      </c>
      <c r="N88" s="12">
        <v>0</v>
      </c>
      <c r="O88" s="12">
        <v>0</v>
      </c>
      <c r="P88" s="12">
        <v>0</v>
      </c>
      <c r="Q88" s="14">
        <v>0</v>
      </c>
      <c r="R88" s="15">
        <v>550012.18752000004</v>
      </c>
      <c r="S88" s="16">
        <v>550012.18752000004</v>
      </c>
      <c r="T88" s="15">
        <v>333458</v>
      </c>
      <c r="U88" s="16">
        <v>0</v>
      </c>
      <c r="V88" s="15">
        <v>127860</v>
      </c>
      <c r="W88" s="16">
        <v>0</v>
      </c>
      <c r="X88" s="15">
        <v>37723.743999999999</v>
      </c>
      <c r="Y88" s="16">
        <v>0</v>
      </c>
      <c r="Z88" s="15">
        <v>10228.800000000001</v>
      </c>
      <c r="AA88" s="16">
        <v>0</v>
      </c>
      <c r="AB88" s="15">
        <v>40741.643519999998</v>
      </c>
      <c r="AC88" s="16">
        <v>0</v>
      </c>
      <c r="AD88" s="15">
        <v>0</v>
      </c>
      <c r="AE88" s="16">
        <v>0</v>
      </c>
      <c r="AF88" s="15">
        <v>0</v>
      </c>
      <c r="AG88" s="16">
        <v>0</v>
      </c>
      <c r="AH88" s="15">
        <v>0</v>
      </c>
      <c r="AI88" s="15" t="s">
        <v>281</v>
      </c>
      <c r="AJ88" s="14">
        <v>0.48732638888888885</v>
      </c>
      <c r="AK88" s="17">
        <v>43305</v>
      </c>
      <c r="AL88" s="18" t="s">
        <v>291</v>
      </c>
      <c r="AM88" s="14" t="s">
        <v>292</v>
      </c>
      <c r="AN88" s="14" t="s">
        <v>36</v>
      </c>
      <c r="AO88" s="14" t="s">
        <v>282</v>
      </c>
      <c r="AP88" s="14" t="s">
        <v>37</v>
      </c>
      <c r="AQ88" s="14" t="s">
        <v>184</v>
      </c>
      <c r="AR88" s="14" t="s">
        <v>4</v>
      </c>
      <c r="AS88" s="14">
        <v>0</v>
      </c>
      <c r="AT88" s="14">
        <v>0</v>
      </c>
      <c r="AU88" s="14">
        <v>0</v>
      </c>
      <c r="AV88" s="14">
        <v>0</v>
      </c>
      <c r="AW88" s="14"/>
      <c r="AX88" s="14"/>
      <c r="AY88" s="14"/>
      <c r="AZ88" s="14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</row>
    <row r="89" spans="1:66" s="2" customFormat="1" ht="12" customHeight="1" x14ac:dyDescent="0.25">
      <c r="A89" s="9">
        <f t="shared" si="1"/>
        <v>1</v>
      </c>
      <c r="B89" s="6"/>
      <c r="C89" s="6"/>
      <c r="D89" s="24"/>
      <c r="E89" s="12" t="s">
        <v>38</v>
      </c>
      <c r="F89" s="25">
        <v>0</v>
      </c>
      <c r="G89" s="12" t="s">
        <v>283</v>
      </c>
      <c r="H89" s="12">
        <v>0</v>
      </c>
      <c r="I89" s="12">
        <v>0</v>
      </c>
      <c r="J89" s="12">
        <v>0</v>
      </c>
      <c r="K89" s="12">
        <v>0</v>
      </c>
      <c r="L89" s="13">
        <v>0</v>
      </c>
      <c r="M89" s="13">
        <v>0</v>
      </c>
      <c r="N89" s="12">
        <v>0</v>
      </c>
      <c r="O89" s="12">
        <v>0</v>
      </c>
      <c r="P89" s="12">
        <v>0</v>
      </c>
      <c r="Q89" s="14">
        <v>0</v>
      </c>
      <c r="R89" s="15">
        <v>443860.06500000006</v>
      </c>
      <c r="S89" s="16">
        <v>443860.06500000006</v>
      </c>
      <c r="T89" s="15">
        <v>189369</v>
      </c>
      <c r="U89" s="16">
        <v>0</v>
      </c>
      <c r="V89" s="15">
        <v>161325</v>
      </c>
      <c r="W89" s="16">
        <v>0</v>
      </c>
      <c r="X89" s="15">
        <v>36682.65</v>
      </c>
      <c r="Y89" s="16">
        <v>0</v>
      </c>
      <c r="Z89" s="15">
        <v>16132.5</v>
      </c>
      <c r="AA89" s="16">
        <v>0</v>
      </c>
      <c r="AB89" s="15">
        <v>40350.915000000008</v>
      </c>
      <c r="AC89" s="16">
        <v>0</v>
      </c>
      <c r="AD89" s="15">
        <v>0</v>
      </c>
      <c r="AE89" s="16">
        <v>0</v>
      </c>
      <c r="AF89" s="15">
        <v>0</v>
      </c>
      <c r="AG89" s="16">
        <v>0</v>
      </c>
      <c r="AH89" s="15">
        <v>0</v>
      </c>
      <c r="AI89" s="15" t="s">
        <v>284</v>
      </c>
      <c r="AJ89" s="14">
        <v>0.68916666666666659</v>
      </c>
      <c r="AK89" s="17">
        <v>43292</v>
      </c>
      <c r="AL89" s="18" t="s">
        <v>40</v>
      </c>
      <c r="AM89" s="14" t="s">
        <v>43</v>
      </c>
      <c r="AN89" s="14" t="s">
        <v>36</v>
      </c>
      <c r="AO89" s="14" t="s">
        <v>285</v>
      </c>
      <c r="AP89" s="14" t="s">
        <v>37</v>
      </c>
      <c r="AQ89" s="14" t="s">
        <v>184</v>
      </c>
      <c r="AR89" s="14" t="s">
        <v>4</v>
      </c>
      <c r="AS89" s="14">
        <v>0</v>
      </c>
      <c r="AT89" s="14">
        <v>0</v>
      </c>
      <c r="AU89" s="14">
        <v>0</v>
      </c>
      <c r="AV89" s="14">
        <v>0</v>
      </c>
      <c r="AW89" s="14"/>
      <c r="AX89" s="14"/>
      <c r="AY89" s="14"/>
      <c r="AZ89" s="14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</row>
    <row r="90" spans="1:66" s="2" customFormat="1" ht="12" customHeight="1" x14ac:dyDescent="0.25">
      <c r="A90" s="9">
        <f t="shared" si="1"/>
        <v>1</v>
      </c>
      <c r="B90" s="6"/>
      <c r="C90" s="6"/>
      <c r="D90" s="24"/>
      <c r="E90" s="12" t="s">
        <v>38</v>
      </c>
      <c r="F90" s="25">
        <v>0</v>
      </c>
      <c r="G90" s="12" t="s">
        <v>286</v>
      </c>
      <c r="H90" s="12">
        <v>0</v>
      </c>
      <c r="I90" s="12">
        <v>0</v>
      </c>
      <c r="J90" s="12">
        <v>0</v>
      </c>
      <c r="K90" s="12">
        <v>0</v>
      </c>
      <c r="L90" s="13">
        <v>0</v>
      </c>
      <c r="M90" s="13">
        <v>0</v>
      </c>
      <c r="N90" s="12">
        <v>0</v>
      </c>
      <c r="O90" s="12">
        <v>0</v>
      </c>
      <c r="P90" s="12">
        <v>0</v>
      </c>
      <c r="Q90" s="14">
        <v>0</v>
      </c>
      <c r="R90" s="15">
        <v>2078664.8235640002</v>
      </c>
      <c r="S90" s="16">
        <v>2078664.8235640002</v>
      </c>
      <c r="T90" s="15">
        <v>1043316</v>
      </c>
      <c r="U90" s="16">
        <v>0</v>
      </c>
      <c r="V90" s="15">
        <v>721748</v>
      </c>
      <c r="W90" s="16">
        <v>0</v>
      </c>
      <c r="X90" s="15">
        <v>127091.04520000002</v>
      </c>
      <c r="Y90" s="16">
        <v>0</v>
      </c>
      <c r="Z90" s="15">
        <v>50522.360000000008</v>
      </c>
      <c r="AA90" s="16">
        <v>0</v>
      </c>
      <c r="AB90" s="15">
        <v>135987.41836400001</v>
      </c>
      <c r="AC90" s="16">
        <v>0</v>
      </c>
      <c r="AD90" s="15">
        <v>0</v>
      </c>
      <c r="AE90" s="16">
        <v>0</v>
      </c>
      <c r="AF90" s="15">
        <v>0</v>
      </c>
      <c r="AG90" s="16">
        <v>0</v>
      </c>
      <c r="AH90" s="15">
        <v>0</v>
      </c>
      <c r="AI90" s="15" t="s">
        <v>287</v>
      </c>
      <c r="AJ90" s="14">
        <v>0.40214120370370371</v>
      </c>
      <c r="AK90" s="17">
        <v>43524</v>
      </c>
      <c r="AL90" s="18" t="s">
        <v>291</v>
      </c>
      <c r="AM90" s="14" t="s">
        <v>292</v>
      </c>
      <c r="AN90" s="14" t="s">
        <v>36</v>
      </c>
      <c r="AO90" s="14" t="s">
        <v>288</v>
      </c>
      <c r="AP90" s="14" t="s">
        <v>37</v>
      </c>
      <c r="AQ90" s="14" t="s">
        <v>184</v>
      </c>
      <c r="AR90" s="14" t="s">
        <v>4</v>
      </c>
      <c r="AS90" s="14">
        <v>0</v>
      </c>
      <c r="AT90" s="14">
        <v>0</v>
      </c>
      <c r="AU90" s="14">
        <v>0</v>
      </c>
      <c r="AV90" s="14">
        <v>0</v>
      </c>
      <c r="AW90" s="14"/>
      <c r="AX90" s="14"/>
      <c r="AY90" s="14"/>
      <c r="AZ90" s="14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</row>
    <row r="91" spans="1:66" s="2" customFormat="1" ht="12" customHeight="1" x14ac:dyDescent="0.25">
      <c r="A91" s="9">
        <f t="shared" si="1"/>
        <v>1</v>
      </c>
      <c r="B91" s="6"/>
      <c r="C91" s="6"/>
      <c r="D91" s="24"/>
      <c r="E91" s="12" t="s">
        <v>38</v>
      </c>
      <c r="F91" s="25">
        <v>0</v>
      </c>
      <c r="G91" s="12" t="s">
        <v>289</v>
      </c>
      <c r="H91" s="12">
        <v>0</v>
      </c>
      <c r="I91" s="12">
        <v>0</v>
      </c>
      <c r="J91" s="12">
        <v>0</v>
      </c>
      <c r="K91" s="12">
        <v>0</v>
      </c>
      <c r="L91" s="13">
        <v>0</v>
      </c>
      <c r="M91" s="13">
        <v>0</v>
      </c>
      <c r="N91" s="12">
        <v>0</v>
      </c>
      <c r="O91" s="12">
        <v>0</v>
      </c>
      <c r="P91" s="12">
        <v>0</v>
      </c>
      <c r="Q91" s="14">
        <v>0</v>
      </c>
      <c r="R91" s="15">
        <v>527112.37296000007</v>
      </c>
      <c r="S91" s="16">
        <v>527112.37296000007</v>
      </c>
      <c r="T91" s="15">
        <v>256617.5</v>
      </c>
      <c r="U91" s="16">
        <v>0</v>
      </c>
      <c r="V91" s="15">
        <v>180830</v>
      </c>
      <c r="W91" s="16">
        <v>0</v>
      </c>
      <c r="X91" s="15">
        <v>36153.112000000001</v>
      </c>
      <c r="Y91" s="16">
        <v>0</v>
      </c>
      <c r="Z91" s="15">
        <v>14466.4</v>
      </c>
      <c r="AA91" s="16">
        <v>0</v>
      </c>
      <c r="AB91" s="15">
        <v>39045.360960000005</v>
      </c>
      <c r="AC91" s="16">
        <v>0</v>
      </c>
      <c r="AD91" s="15">
        <v>0</v>
      </c>
      <c r="AE91" s="16">
        <v>0</v>
      </c>
      <c r="AF91" s="15">
        <v>0</v>
      </c>
      <c r="AG91" s="16">
        <v>0</v>
      </c>
      <c r="AH91" s="15">
        <v>0</v>
      </c>
      <c r="AI91" s="15" t="s">
        <v>290</v>
      </c>
      <c r="AJ91" s="14">
        <v>0.41892361111111115</v>
      </c>
      <c r="AK91" s="17">
        <v>43384</v>
      </c>
      <c r="AL91" s="18" t="s">
        <v>291</v>
      </c>
      <c r="AM91" s="14" t="s">
        <v>292</v>
      </c>
      <c r="AN91" s="14" t="s">
        <v>36</v>
      </c>
      <c r="AO91" s="14" t="s">
        <v>293</v>
      </c>
      <c r="AP91" s="14" t="s">
        <v>37</v>
      </c>
      <c r="AQ91" s="14" t="s">
        <v>184</v>
      </c>
      <c r="AR91" s="14" t="s">
        <v>4</v>
      </c>
      <c r="AS91" s="14">
        <v>0</v>
      </c>
      <c r="AT91" s="14">
        <v>0</v>
      </c>
      <c r="AU91" s="14">
        <v>0</v>
      </c>
      <c r="AV91" s="14">
        <v>0</v>
      </c>
      <c r="AW91" s="14"/>
      <c r="AX91" s="14"/>
      <c r="AY91" s="14"/>
      <c r="AZ91" s="14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</row>
    <row r="92" spans="1:66" s="2" customFormat="1" ht="12" customHeight="1" x14ac:dyDescent="0.25">
      <c r="A92" s="9">
        <f t="shared" si="1"/>
        <v>1</v>
      </c>
      <c r="B92" s="6"/>
      <c r="C92" s="6"/>
      <c r="D92" s="24"/>
      <c r="E92" s="12" t="s">
        <v>38</v>
      </c>
      <c r="F92" s="25">
        <v>0</v>
      </c>
      <c r="G92" s="12" t="s">
        <v>294</v>
      </c>
      <c r="H92" s="12">
        <v>0</v>
      </c>
      <c r="I92" s="12">
        <v>0</v>
      </c>
      <c r="J92" s="12">
        <v>0</v>
      </c>
      <c r="K92" s="12">
        <v>0</v>
      </c>
      <c r="L92" s="13">
        <v>0</v>
      </c>
      <c r="M92" s="13">
        <v>0</v>
      </c>
      <c r="N92" s="12">
        <v>0</v>
      </c>
      <c r="O92" s="12">
        <v>0</v>
      </c>
      <c r="P92" s="12">
        <v>0</v>
      </c>
      <c r="Q92" s="14">
        <v>0</v>
      </c>
      <c r="R92" s="15">
        <v>540329.90111999994</v>
      </c>
      <c r="S92" s="16">
        <v>540329.90111999994</v>
      </c>
      <c r="T92" s="15">
        <v>272669</v>
      </c>
      <c r="U92" s="16">
        <v>0</v>
      </c>
      <c r="V92" s="15">
        <v>176460</v>
      </c>
      <c r="W92" s="16">
        <v>0</v>
      </c>
      <c r="X92" s="15">
        <v>37059.663999999997</v>
      </c>
      <c r="Y92" s="16">
        <v>0</v>
      </c>
      <c r="Z92" s="15">
        <v>14116.800000000001</v>
      </c>
      <c r="AA92" s="16">
        <v>0</v>
      </c>
      <c r="AB92" s="15">
        <v>40024.437120000002</v>
      </c>
      <c r="AC92" s="16">
        <v>0</v>
      </c>
      <c r="AD92" s="15">
        <v>0</v>
      </c>
      <c r="AE92" s="16">
        <v>0</v>
      </c>
      <c r="AF92" s="15">
        <v>0</v>
      </c>
      <c r="AG92" s="16">
        <v>0</v>
      </c>
      <c r="AH92" s="15">
        <v>0</v>
      </c>
      <c r="AI92" s="15" t="s">
        <v>295</v>
      </c>
      <c r="AJ92" s="14">
        <v>0.47528935185185189</v>
      </c>
      <c r="AK92" s="17">
        <v>43311</v>
      </c>
      <c r="AL92" s="18" t="s">
        <v>291</v>
      </c>
      <c r="AM92" s="14" t="s">
        <v>292</v>
      </c>
      <c r="AN92" s="14" t="s">
        <v>36</v>
      </c>
      <c r="AO92" s="14" t="s">
        <v>296</v>
      </c>
      <c r="AP92" s="14" t="s">
        <v>37</v>
      </c>
      <c r="AQ92" s="14" t="s">
        <v>184</v>
      </c>
      <c r="AR92" s="14" t="s">
        <v>4</v>
      </c>
      <c r="AS92" s="14">
        <v>0</v>
      </c>
      <c r="AT92" s="14">
        <v>0</v>
      </c>
      <c r="AU92" s="14">
        <v>0</v>
      </c>
      <c r="AV92" s="14">
        <v>0</v>
      </c>
      <c r="AW92" s="14"/>
      <c r="AX92" s="14"/>
      <c r="AY92" s="14"/>
      <c r="AZ92" s="14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</row>
    <row r="93" spans="1:66" s="2" customFormat="1" ht="12" customHeight="1" x14ac:dyDescent="0.25">
      <c r="A93" s="9">
        <f t="shared" si="1"/>
        <v>1</v>
      </c>
      <c r="B93" s="6"/>
      <c r="C93" s="6"/>
      <c r="D93" s="24"/>
      <c r="E93" s="12" t="s">
        <v>38</v>
      </c>
      <c r="F93" s="25">
        <v>0</v>
      </c>
      <c r="G93" s="12" t="s">
        <v>297</v>
      </c>
      <c r="H93" s="12">
        <v>0</v>
      </c>
      <c r="I93" s="12">
        <v>0</v>
      </c>
      <c r="J93" s="12">
        <v>0</v>
      </c>
      <c r="K93" s="12">
        <v>0</v>
      </c>
      <c r="L93" s="13">
        <v>0</v>
      </c>
      <c r="M93" s="13">
        <v>0</v>
      </c>
      <c r="N93" s="12">
        <v>0</v>
      </c>
      <c r="O93" s="12">
        <v>0</v>
      </c>
      <c r="P93" s="12">
        <v>0</v>
      </c>
      <c r="Q93" s="14">
        <v>0</v>
      </c>
      <c r="R93" s="15">
        <v>1230651.0525000002</v>
      </c>
      <c r="S93" s="16">
        <v>1230651.0525000002</v>
      </c>
      <c r="T93" s="15">
        <v>775414</v>
      </c>
      <c r="U93" s="16">
        <v>0</v>
      </c>
      <c r="V93" s="15">
        <v>134900</v>
      </c>
      <c r="W93" s="16">
        <v>0</v>
      </c>
      <c r="X93" s="15">
        <v>139582.35</v>
      </c>
      <c r="Y93" s="16">
        <v>0</v>
      </c>
      <c r="Z93" s="15">
        <v>20235</v>
      </c>
      <c r="AA93" s="16">
        <v>0</v>
      </c>
      <c r="AB93" s="15">
        <v>160519.70250000001</v>
      </c>
      <c r="AC93" s="16">
        <v>0</v>
      </c>
      <c r="AD93" s="15">
        <v>0</v>
      </c>
      <c r="AE93" s="16">
        <v>0</v>
      </c>
      <c r="AF93" s="15">
        <v>0</v>
      </c>
      <c r="AG93" s="16">
        <v>0</v>
      </c>
      <c r="AH93" s="15">
        <v>0</v>
      </c>
      <c r="AI93" s="15" t="s">
        <v>298</v>
      </c>
      <c r="AJ93" s="14">
        <v>0.69006944444444451</v>
      </c>
      <c r="AK93" s="17">
        <v>43307</v>
      </c>
      <c r="AL93" s="18" t="s">
        <v>291</v>
      </c>
      <c r="AM93" s="14" t="s">
        <v>292</v>
      </c>
      <c r="AN93" s="14" t="s">
        <v>36</v>
      </c>
      <c r="AO93" s="14" t="s">
        <v>299</v>
      </c>
      <c r="AP93" s="14" t="s">
        <v>37</v>
      </c>
      <c r="AQ93" s="14" t="s">
        <v>184</v>
      </c>
      <c r="AR93" s="14" t="s">
        <v>4</v>
      </c>
      <c r="AS93" s="14">
        <v>0</v>
      </c>
      <c r="AT93" s="14">
        <v>0</v>
      </c>
      <c r="AU93" s="14">
        <v>0</v>
      </c>
      <c r="AV93" s="14">
        <v>0</v>
      </c>
      <c r="AW93" s="14"/>
      <c r="AX93" s="14"/>
      <c r="AY93" s="14"/>
      <c r="AZ93" s="14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</row>
    <row r="94" spans="1:66" s="2" customFormat="1" ht="12" customHeight="1" x14ac:dyDescent="0.25">
      <c r="A94" s="9">
        <f t="shared" si="1"/>
        <v>1</v>
      </c>
      <c r="B94" s="6"/>
      <c r="C94" s="6"/>
      <c r="D94" s="24"/>
      <c r="E94" s="12" t="s">
        <v>38</v>
      </c>
      <c r="F94" s="25">
        <v>0</v>
      </c>
      <c r="G94" s="12" t="s">
        <v>300</v>
      </c>
      <c r="H94" s="12">
        <v>0</v>
      </c>
      <c r="I94" s="12">
        <v>0</v>
      </c>
      <c r="J94" s="12">
        <v>0</v>
      </c>
      <c r="K94" s="12">
        <v>0</v>
      </c>
      <c r="L94" s="13">
        <v>0</v>
      </c>
      <c r="M94" s="13">
        <v>0</v>
      </c>
      <c r="N94" s="12">
        <v>0</v>
      </c>
      <c r="O94" s="12">
        <v>0</v>
      </c>
      <c r="P94" s="12">
        <v>0</v>
      </c>
      <c r="Q94" s="14">
        <v>0</v>
      </c>
      <c r="R94" s="15">
        <v>3098870.9042249997</v>
      </c>
      <c r="S94" s="16">
        <v>3098870.9042249997</v>
      </c>
      <c r="T94" s="15">
        <v>2343191.61</v>
      </c>
      <c r="U94" s="16">
        <v>0</v>
      </c>
      <c r="V94" s="15">
        <v>0</v>
      </c>
      <c r="W94" s="16">
        <v>0</v>
      </c>
      <c r="X94" s="15">
        <v>351478.74149999995</v>
      </c>
      <c r="Y94" s="16">
        <v>0</v>
      </c>
      <c r="Z94" s="15">
        <v>0</v>
      </c>
      <c r="AA94" s="16">
        <v>0</v>
      </c>
      <c r="AB94" s="15">
        <v>404200.55272499996</v>
      </c>
      <c r="AC94" s="16">
        <v>0</v>
      </c>
      <c r="AD94" s="15">
        <v>0</v>
      </c>
      <c r="AE94" s="16">
        <v>0</v>
      </c>
      <c r="AF94" s="15">
        <v>0</v>
      </c>
      <c r="AG94" s="16">
        <v>0</v>
      </c>
      <c r="AH94" s="15">
        <v>0</v>
      </c>
      <c r="AI94" s="15" t="s">
        <v>301</v>
      </c>
      <c r="AJ94" s="14">
        <v>0.70204861111111105</v>
      </c>
      <c r="AK94" s="17">
        <v>43313</v>
      </c>
      <c r="AL94" s="18" t="s">
        <v>291</v>
      </c>
      <c r="AM94" s="14" t="s">
        <v>292</v>
      </c>
      <c r="AN94" s="14" t="s">
        <v>36</v>
      </c>
      <c r="AO94" s="14" t="s">
        <v>302</v>
      </c>
      <c r="AP94" s="14" t="s">
        <v>37</v>
      </c>
      <c r="AQ94" s="14" t="s">
        <v>184</v>
      </c>
      <c r="AR94" s="14" t="s">
        <v>4</v>
      </c>
      <c r="AS94" s="14">
        <v>0</v>
      </c>
      <c r="AT94" s="14">
        <v>0</v>
      </c>
      <c r="AU94" s="14">
        <v>0</v>
      </c>
      <c r="AV94" s="14">
        <v>0</v>
      </c>
      <c r="AW94" s="14"/>
      <c r="AX94" s="14"/>
      <c r="AY94" s="14"/>
      <c r="AZ94" s="14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</row>
    <row r="95" spans="1:66" s="2" customFormat="1" ht="12" customHeight="1" x14ac:dyDescent="0.25">
      <c r="A95" s="9">
        <f t="shared" si="1"/>
        <v>1</v>
      </c>
      <c r="B95" s="6"/>
      <c r="C95" s="6"/>
      <c r="D95" s="24"/>
      <c r="E95" s="12" t="s">
        <v>38</v>
      </c>
      <c r="F95" s="25">
        <v>0</v>
      </c>
      <c r="G95" s="12" t="s">
        <v>303</v>
      </c>
      <c r="H95" s="12">
        <v>0</v>
      </c>
      <c r="I95" s="12">
        <v>0</v>
      </c>
      <c r="J95" s="12">
        <v>0</v>
      </c>
      <c r="K95" s="12">
        <v>0</v>
      </c>
      <c r="L95" s="13">
        <v>0</v>
      </c>
      <c r="M95" s="13">
        <v>0</v>
      </c>
      <c r="N95" s="12">
        <v>0</v>
      </c>
      <c r="O95" s="12">
        <v>0</v>
      </c>
      <c r="P95" s="12">
        <v>0</v>
      </c>
      <c r="Q95" s="14">
        <v>0</v>
      </c>
      <c r="R95" s="15">
        <v>0</v>
      </c>
      <c r="S95" s="16">
        <v>0</v>
      </c>
      <c r="T95" s="15">
        <v>0</v>
      </c>
      <c r="U95" s="16">
        <v>0</v>
      </c>
      <c r="V95" s="15">
        <v>0</v>
      </c>
      <c r="W95" s="16">
        <v>0</v>
      </c>
      <c r="X95" s="15">
        <v>0</v>
      </c>
      <c r="Y95" s="16">
        <v>0</v>
      </c>
      <c r="Z95" s="15">
        <v>0</v>
      </c>
      <c r="AA95" s="16">
        <v>0</v>
      </c>
      <c r="AB95" s="15">
        <v>0</v>
      </c>
      <c r="AC95" s="16">
        <v>0</v>
      </c>
      <c r="AD95" s="15">
        <v>0</v>
      </c>
      <c r="AE95" s="16">
        <v>0</v>
      </c>
      <c r="AF95" s="15">
        <v>0</v>
      </c>
      <c r="AG95" s="16">
        <v>0</v>
      </c>
      <c r="AH95" s="15">
        <v>0</v>
      </c>
      <c r="AI95" s="15" t="s">
        <v>304</v>
      </c>
      <c r="AJ95" s="14">
        <v>0.64743055555555562</v>
      </c>
      <c r="AK95" s="17">
        <v>43313</v>
      </c>
      <c r="AL95" s="18" t="s">
        <v>3</v>
      </c>
      <c r="AM95" s="14" t="s">
        <v>41</v>
      </c>
      <c r="AN95" s="14" t="s">
        <v>36</v>
      </c>
      <c r="AO95" s="14" t="s">
        <v>305</v>
      </c>
      <c r="AP95" s="14" t="s">
        <v>37</v>
      </c>
      <c r="AQ95" s="14" t="s">
        <v>184</v>
      </c>
      <c r="AR95" s="14" t="s">
        <v>4</v>
      </c>
      <c r="AS95" s="14">
        <v>0</v>
      </c>
      <c r="AT95" s="14">
        <v>0</v>
      </c>
      <c r="AU95" s="14">
        <v>0</v>
      </c>
      <c r="AV95" s="14">
        <v>0</v>
      </c>
      <c r="AW95" s="14"/>
      <c r="AX95" s="14"/>
      <c r="AY95" s="14"/>
      <c r="AZ95" s="14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</row>
    <row r="96" spans="1:66" s="2" customFormat="1" ht="12" customHeight="1" x14ac:dyDescent="0.25">
      <c r="A96" s="9">
        <f t="shared" si="1"/>
        <v>1</v>
      </c>
      <c r="B96" s="6"/>
      <c r="C96" s="6"/>
      <c r="D96" s="24"/>
      <c r="E96" s="12" t="s">
        <v>38</v>
      </c>
      <c r="F96" s="25">
        <v>0</v>
      </c>
      <c r="G96" s="12" t="s">
        <v>306</v>
      </c>
      <c r="H96" s="12">
        <v>0</v>
      </c>
      <c r="I96" s="12">
        <v>0</v>
      </c>
      <c r="J96" s="12">
        <v>0</v>
      </c>
      <c r="K96" s="12">
        <v>0</v>
      </c>
      <c r="L96" s="13">
        <v>0</v>
      </c>
      <c r="M96" s="13">
        <v>0</v>
      </c>
      <c r="N96" s="12">
        <v>0</v>
      </c>
      <c r="O96" s="12">
        <v>0</v>
      </c>
      <c r="P96" s="12">
        <v>0</v>
      </c>
      <c r="Q96" s="14">
        <v>0</v>
      </c>
      <c r="R96" s="15">
        <v>641329.18999999994</v>
      </c>
      <c r="S96" s="16">
        <v>641329.18999999994</v>
      </c>
      <c r="T96" s="15">
        <v>439671.07999999996</v>
      </c>
      <c r="U96" s="16">
        <v>0</v>
      </c>
      <c r="V96" s="15">
        <v>201658.11</v>
      </c>
      <c r="W96" s="16">
        <v>0</v>
      </c>
      <c r="X96" s="15">
        <v>0</v>
      </c>
      <c r="Y96" s="16">
        <v>0</v>
      </c>
      <c r="Z96" s="15">
        <v>0</v>
      </c>
      <c r="AA96" s="16">
        <v>0</v>
      </c>
      <c r="AB96" s="15">
        <v>0</v>
      </c>
      <c r="AC96" s="16">
        <v>0</v>
      </c>
      <c r="AD96" s="15">
        <v>0</v>
      </c>
      <c r="AE96" s="16">
        <v>0</v>
      </c>
      <c r="AF96" s="15">
        <v>0</v>
      </c>
      <c r="AG96" s="16">
        <v>0</v>
      </c>
      <c r="AH96" s="15">
        <v>0</v>
      </c>
      <c r="AI96" s="15" t="s">
        <v>307</v>
      </c>
      <c r="AJ96" s="14">
        <v>0.6834837962962963</v>
      </c>
      <c r="AK96" s="17">
        <v>43320</v>
      </c>
      <c r="AL96" s="18" t="s">
        <v>291</v>
      </c>
      <c r="AM96" s="14" t="s">
        <v>292</v>
      </c>
      <c r="AN96" s="14" t="s">
        <v>36</v>
      </c>
      <c r="AO96" s="14" t="s">
        <v>308</v>
      </c>
      <c r="AP96" s="14" t="s">
        <v>37</v>
      </c>
      <c r="AQ96" s="14" t="s">
        <v>184</v>
      </c>
      <c r="AR96" s="14" t="s">
        <v>4</v>
      </c>
      <c r="AS96" s="14">
        <v>0</v>
      </c>
      <c r="AT96" s="14">
        <v>0</v>
      </c>
      <c r="AU96" s="14">
        <v>0</v>
      </c>
      <c r="AV96" s="14">
        <v>0</v>
      </c>
      <c r="AW96" s="14"/>
      <c r="AX96" s="14"/>
      <c r="AY96" s="14"/>
      <c r="AZ96" s="14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</row>
    <row r="97" spans="1:66" s="2" customFormat="1" ht="12" customHeight="1" x14ac:dyDescent="0.25">
      <c r="A97" s="9">
        <f t="shared" si="1"/>
        <v>1</v>
      </c>
      <c r="B97" s="6"/>
      <c r="C97" s="6"/>
      <c r="D97" s="24"/>
      <c r="E97" s="12" t="s">
        <v>38</v>
      </c>
      <c r="F97" s="25">
        <v>0</v>
      </c>
      <c r="G97" s="12" t="s">
        <v>309</v>
      </c>
      <c r="H97" s="12">
        <v>0</v>
      </c>
      <c r="I97" s="12">
        <v>0</v>
      </c>
      <c r="J97" s="12">
        <v>0</v>
      </c>
      <c r="K97" s="12">
        <v>0</v>
      </c>
      <c r="L97" s="13">
        <v>0</v>
      </c>
      <c r="M97" s="13">
        <v>0</v>
      </c>
      <c r="N97" s="12">
        <v>0</v>
      </c>
      <c r="O97" s="12">
        <v>0</v>
      </c>
      <c r="P97" s="12">
        <v>0</v>
      </c>
      <c r="Q97" s="14">
        <v>0</v>
      </c>
      <c r="R97" s="15">
        <v>917033.52</v>
      </c>
      <c r="S97" s="16">
        <v>917033.52</v>
      </c>
      <c r="T97" s="15">
        <v>626025.41</v>
      </c>
      <c r="U97" s="16">
        <v>0</v>
      </c>
      <c r="V97" s="15">
        <v>291008.11</v>
      </c>
      <c r="W97" s="16">
        <v>0</v>
      </c>
      <c r="X97" s="15">
        <v>0</v>
      </c>
      <c r="Y97" s="16">
        <v>0</v>
      </c>
      <c r="Z97" s="15">
        <v>0</v>
      </c>
      <c r="AA97" s="16">
        <v>0</v>
      </c>
      <c r="AB97" s="15">
        <v>0</v>
      </c>
      <c r="AC97" s="16">
        <v>0</v>
      </c>
      <c r="AD97" s="15">
        <v>0</v>
      </c>
      <c r="AE97" s="16">
        <v>0</v>
      </c>
      <c r="AF97" s="15">
        <v>0</v>
      </c>
      <c r="AG97" s="16">
        <v>0</v>
      </c>
      <c r="AH97" s="15">
        <v>0</v>
      </c>
      <c r="AI97" s="15" t="s">
        <v>310</v>
      </c>
      <c r="AJ97" s="14">
        <v>0.68624999999999992</v>
      </c>
      <c r="AK97" s="17">
        <v>43320</v>
      </c>
      <c r="AL97" s="18" t="s">
        <v>291</v>
      </c>
      <c r="AM97" s="14" t="s">
        <v>292</v>
      </c>
      <c r="AN97" s="14" t="s">
        <v>36</v>
      </c>
      <c r="AO97" s="14" t="s">
        <v>311</v>
      </c>
      <c r="AP97" s="14" t="s">
        <v>37</v>
      </c>
      <c r="AQ97" s="14" t="s">
        <v>184</v>
      </c>
      <c r="AR97" s="14" t="s">
        <v>4</v>
      </c>
      <c r="AS97" s="14">
        <v>0</v>
      </c>
      <c r="AT97" s="14">
        <v>0</v>
      </c>
      <c r="AU97" s="14">
        <v>0</v>
      </c>
      <c r="AV97" s="14">
        <v>0</v>
      </c>
      <c r="AW97" s="14"/>
      <c r="AX97" s="14"/>
      <c r="AY97" s="14"/>
      <c r="AZ97" s="14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</row>
    <row r="98" spans="1:66" s="2" customFormat="1" ht="12" customHeight="1" x14ac:dyDescent="0.25">
      <c r="A98" s="9">
        <f t="shared" si="1"/>
        <v>1</v>
      </c>
      <c r="B98" s="6"/>
      <c r="C98" s="6"/>
      <c r="D98" s="24"/>
      <c r="E98" s="12" t="s">
        <v>38</v>
      </c>
      <c r="F98" s="25">
        <v>0</v>
      </c>
      <c r="G98" s="12" t="s">
        <v>312</v>
      </c>
      <c r="H98" s="12">
        <v>0</v>
      </c>
      <c r="I98" s="12">
        <v>0</v>
      </c>
      <c r="J98" s="12">
        <v>0</v>
      </c>
      <c r="K98" s="12">
        <v>0</v>
      </c>
      <c r="L98" s="13">
        <v>0</v>
      </c>
      <c r="M98" s="13">
        <v>0</v>
      </c>
      <c r="N98" s="12">
        <v>0</v>
      </c>
      <c r="O98" s="12">
        <v>0</v>
      </c>
      <c r="P98" s="12">
        <v>0</v>
      </c>
      <c r="Q98" s="14">
        <v>0</v>
      </c>
      <c r="R98" s="15">
        <v>750697.00999999989</v>
      </c>
      <c r="S98" s="16">
        <v>750697.00999999989</v>
      </c>
      <c r="T98" s="15">
        <v>480036.65999999992</v>
      </c>
      <c r="U98" s="16">
        <v>0</v>
      </c>
      <c r="V98" s="15">
        <v>270660.34999999998</v>
      </c>
      <c r="W98" s="16">
        <v>0</v>
      </c>
      <c r="X98" s="15">
        <v>0</v>
      </c>
      <c r="Y98" s="16">
        <v>0</v>
      </c>
      <c r="Z98" s="15">
        <v>0</v>
      </c>
      <c r="AA98" s="16">
        <v>0</v>
      </c>
      <c r="AB98" s="15">
        <v>0</v>
      </c>
      <c r="AC98" s="16">
        <v>0</v>
      </c>
      <c r="AD98" s="15">
        <v>0</v>
      </c>
      <c r="AE98" s="16">
        <v>0</v>
      </c>
      <c r="AF98" s="15">
        <v>0</v>
      </c>
      <c r="AG98" s="16">
        <v>0</v>
      </c>
      <c r="AH98" s="15">
        <v>0</v>
      </c>
      <c r="AI98" s="15" t="s">
        <v>313</v>
      </c>
      <c r="AJ98" s="14">
        <v>0.58611111111111114</v>
      </c>
      <c r="AK98" s="17">
        <v>43397</v>
      </c>
      <c r="AL98" s="18" t="s">
        <v>291</v>
      </c>
      <c r="AM98" s="14" t="s">
        <v>292</v>
      </c>
      <c r="AN98" s="14" t="s">
        <v>36</v>
      </c>
      <c r="AO98" s="14" t="s">
        <v>314</v>
      </c>
      <c r="AP98" s="14" t="s">
        <v>37</v>
      </c>
      <c r="AQ98" s="14" t="s">
        <v>184</v>
      </c>
      <c r="AR98" s="14" t="s">
        <v>4</v>
      </c>
      <c r="AS98" s="14">
        <v>0</v>
      </c>
      <c r="AT98" s="14">
        <v>0</v>
      </c>
      <c r="AU98" s="14">
        <v>0</v>
      </c>
      <c r="AV98" s="14">
        <v>0</v>
      </c>
      <c r="AW98" s="14"/>
      <c r="AX98" s="14"/>
      <c r="AY98" s="14"/>
      <c r="AZ98" s="14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</row>
    <row r="99" spans="1:66" s="2" customFormat="1" ht="12" customHeight="1" x14ac:dyDescent="0.25">
      <c r="A99" s="9">
        <f t="shared" si="1"/>
        <v>1</v>
      </c>
      <c r="B99" s="6"/>
      <c r="C99" s="6"/>
      <c r="D99" s="24"/>
      <c r="E99" s="12" t="s">
        <v>38</v>
      </c>
      <c r="F99" s="25">
        <v>0</v>
      </c>
      <c r="G99" s="12" t="s">
        <v>315</v>
      </c>
      <c r="H99" s="12">
        <v>0</v>
      </c>
      <c r="I99" s="12">
        <v>0</v>
      </c>
      <c r="J99" s="12">
        <v>0</v>
      </c>
      <c r="K99" s="12">
        <v>0</v>
      </c>
      <c r="L99" s="13">
        <v>0</v>
      </c>
      <c r="M99" s="13">
        <v>0</v>
      </c>
      <c r="N99" s="12">
        <v>0</v>
      </c>
      <c r="O99" s="12">
        <v>0</v>
      </c>
      <c r="P99" s="12">
        <v>0</v>
      </c>
      <c r="Q99" s="14">
        <v>0</v>
      </c>
      <c r="R99" s="15">
        <v>170663.16999999998</v>
      </c>
      <c r="S99" s="16">
        <v>170663.16999999998</v>
      </c>
      <c r="T99" s="15">
        <v>73013.17</v>
      </c>
      <c r="U99" s="16">
        <v>0</v>
      </c>
      <c r="V99" s="15">
        <v>97650</v>
      </c>
      <c r="W99" s="16">
        <v>0</v>
      </c>
      <c r="X99" s="15">
        <v>0</v>
      </c>
      <c r="Y99" s="16">
        <v>0</v>
      </c>
      <c r="Z99" s="15">
        <v>0</v>
      </c>
      <c r="AA99" s="16">
        <v>0</v>
      </c>
      <c r="AB99" s="15">
        <v>0</v>
      </c>
      <c r="AC99" s="16">
        <v>0</v>
      </c>
      <c r="AD99" s="15">
        <v>0</v>
      </c>
      <c r="AE99" s="16">
        <v>0</v>
      </c>
      <c r="AF99" s="15">
        <v>0</v>
      </c>
      <c r="AG99" s="16">
        <v>0</v>
      </c>
      <c r="AH99" s="15">
        <v>0</v>
      </c>
      <c r="AI99" s="15" t="s">
        <v>316</v>
      </c>
      <c r="AJ99" s="14">
        <v>0.40188657407407408</v>
      </c>
      <c r="AK99" s="17">
        <v>43320</v>
      </c>
      <c r="AL99" s="18" t="s">
        <v>291</v>
      </c>
      <c r="AM99" s="14" t="s">
        <v>292</v>
      </c>
      <c r="AN99" s="14" t="s">
        <v>36</v>
      </c>
      <c r="AO99" s="14" t="s">
        <v>317</v>
      </c>
      <c r="AP99" s="14" t="s">
        <v>37</v>
      </c>
      <c r="AQ99" s="14" t="s">
        <v>184</v>
      </c>
      <c r="AR99" s="14" t="s">
        <v>4</v>
      </c>
      <c r="AS99" s="14">
        <v>0</v>
      </c>
      <c r="AT99" s="14">
        <v>0</v>
      </c>
      <c r="AU99" s="14">
        <v>0</v>
      </c>
      <c r="AV99" s="14">
        <v>0</v>
      </c>
      <c r="AW99" s="14"/>
      <c r="AX99" s="14"/>
      <c r="AY99" s="14"/>
      <c r="AZ99" s="14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</row>
    <row r="100" spans="1:66" s="2" customFormat="1" ht="12" customHeight="1" x14ac:dyDescent="0.25">
      <c r="A100" s="9">
        <f t="shared" si="1"/>
        <v>1</v>
      </c>
      <c r="B100" s="6"/>
      <c r="C100" s="6"/>
      <c r="D100" s="24"/>
      <c r="E100" s="12" t="s">
        <v>38</v>
      </c>
      <c r="F100" s="25">
        <v>0</v>
      </c>
      <c r="G100" s="12" t="s">
        <v>318</v>
      </c>
      <c r="H100" s="12">
        <v>0</v>
      </c>
      <c r="I100" s="12">
        <v>0</v>
      </c>
      <c r="J100" s="12">
        <v>0</v>
      </c>
      <c r="K100" s="12">
        <v>0</v>
      </c>
      <c r="L100" s="13">
        <v>0</v>
      </c>
      <c r="M100" s="13">
        <v>0</v>
      </c>
      <c r="N100" s="12">
        <v>0</v>
      </c>
      <c r="O100" s="12">
        <v>0</v>
      </c>
      <c r="P100" s="12">
        <v>0</v>
      </c>
      <c r="Q100" s="14">
        <v>0</v>
      </c>
      <c r="R100" s="15">
        <v>952907.65000000014</v>
      </c>
      <c r="S100" s="16">
        <v>952907.65000000014</v>
      </c>
      <c r="T100" s="15">
        <v>598781.60000000009</v>
      </c>
      <c r="U100" s="16">
        <v>0</v>
      </c>
      <c r="V100" s="15">
        <v>354126.05</v>
      </c>
      <c r="W100" s="16">
        <v>0</v>
      </c>
      <c r="X100" s="15">
        <v>0</v>
      </c>
      <c r="Y100" s="16">
        <v>0</v>
      </c>
      <c r="Z100" s="15">
        <v>0</v>
      </c>
      <c r="AA100" s="16">
        <v>0</v>
      </c>
      <c r="AB100" s="15">
        <v>0</v>
      </c>
      <c r="AC100" s="16">
        <v>0</v>
      </c>
      <c r="AD100" s="15">
        <v>0</v>
      </c>
      <c r="AE100" s="16">
        <v>0</v>
      </c>
      <c r="AF100" s="15">
        <v>0</v>
      </c>
      <c r="AG100" s="16">
        <v>0</v>
      </c>
      <c r="AH100" s="15">
        <v>0</v>
      </c>
      <c r="AI100" s="15" t="s">
        <v>319</v>
      </c>
      <c r="AJ100" s="14">
        <v>0.3821180555555555</v>
      </c>
      <c r="AK100" s="17">
        <v>43370</v>
      </c>
      <c r="AL100" s="18" t="s">
        <v>291</v>
      </c>
      <c r="AM100" s="14" t="s">
        <v>292</v>
      </c>
      <c r="AN100" s="14" t="s">
        <v>36</v>
      </c>
      <c r="AO100" s="14" t="s">
        <v>320</v>
      </c>
      <c r="AP100" s="14" t="s">
        <v>37</v>
      </c>
      <c r="AQ100" s="14" t="s">
        <v>184</v>
      </c>
      <c r="AR100" s="14" t="s">
        <v>4</v>
      </c>
      <c r="AS100" s="14">
        <v>0</v>
      </c>
      <c r="AT100" s="14">
        <v>0</v>
      </c>
      <c r="AU100" s="14">
        <v>0</v>
      </c>
      <c r="AV100" s="14">
        <v>0</v>
      </c>
      <c r="AW100" s="14"/>
      <c r="AX100" s="14"/>
      <c r="AY100" s="14"/>
      <c r="AZ100" s="14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</row>
    <row r="101" spans="1:66" s="2" customFormat="1" ht="12" customHeight="1" x14ac:dyDescent="0.25">
      <c r="A101" s="9">
        <f t="shared" si="1"/>
        <v>1</v>
      </c>
      <c r="B101" s="6"/>
      <c r="C101" s="6"/>
      <c r="D101" s="24"/>
      <c r="E101" s="12" t="s">
        <v>38</v>
      </c>
      <c r="F101" s="25">
        <v>0</v>
      </c>
      <c r="G101" s="12" t="s">
        <v>321</v>
      </c>
      <c r="H101" s="12">
        <v>0</v>
      </c>
      <c r="I101" s="12">
        <v>0</v>
      </c>
      <c r="J101" s="12">
        <v>0</v>
      </c>
      <c r="K101" s="12">
        <v>0</v>
      </c>
      <c r="L101" s="13">
        <v>0</v>
      </c>
      <c r="M101" s="13">
        <v>0</v>
      </c>
      <c r="N101" s="12">
        <v>0</v>
      </c>
      <c r="O101" s="12">
        <v>0</v>
      </c>
      <c r="P101" s="12">
        <v>0</v>
      </c>
      <c r="Q101" s="14">
        <v>0</v>
      </c>
      <c r="R101" s="15">
        <v>808728.77</v>
      </c>
      <c r="S101" s="16">
        <v>808728.77</v>
      </c>
      <c r="T101" s="15">
        <v>508466.17</v>
      </c>
      <c r="U101" s="16">
        <v>0</v>
      </c>
      <c r="V101" s="15">
        <v>300262.59999999998</v>
      </c>
      <c r="W101" s="16">
        <v>0</v>
      </c>
      <c r="X101" s="15">
        <v>0</v>
      </c>
      <c r="Y101" s="16">
        <v>0</v>
      </c>
      <c r="Z101" s="15">
        <v>0</v>
      </c>
      <c r="AA101" s="16">
        <v>0</v>
      </c>
      <c r="AB101" s="15">
        <v>0</v>
      </c>
      <c r="AC101" s="16">
        <v>0</v>
      </c>
      <c r="AD101" s="15">
        <v>0</v>
      </c>
      <c r="AE101" s="16">
        <v>0</v>
      </c>
      <c r="AF101" s="15">
        <v>0</v>
      </c>
      <c r="AG101" s="16">
        <v>0</v>
      </c>
      <c r="AH101" s="15">
        <v>0</v>
      </c>
      <c r="AI101" s="15" t="s">
        <v>322</v>
      </c>
      <c r="AJ101" s="14">
        <v>0.40781249999999997</v>
      </c>
      <c r="AK101" s="17">
        <v>43370</v>
      </c>
      <c r="AL101" s="18" t="s">
        <v>291</v>
      </c>
      <c r="AM101" s="14" t="s">
        <v>292</v>
      </c>
      <c r="AN101" s="14" t="s">
        <v>36</v>
      </c>
      <c r="AO101" s="14" t="s">
        <v>323</v>
      </c>
      <c r="AP101" s="14" t="s">
        <v>37</v>
      </c>
      <c r="AQ101" s="14" t="s">
        <v>184</v>
      </c>
      <c r="AR101" s="14" t="s">
        <v>4</v>
      </c>
      <c r="AS101" s="14">
        <v>0</v>
      </c>
      <c r="AT101" s="14">
        <v>0</v>
      </c>
      <c r="AU101" s="14">
        <v>0</v>
      </c>
      <c r="AV101" s="14">
        <v>0</v>
      </c>
      <c r="AW101" s="14"/>
      <c r="AX101" s="14"/>
      <c r="AY101" s="14"/>
      <c r="AZ101" s="14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</row>
    <row r="102" spans="1:66" s="2" customFormat="1" ht="12" customHeight="1" x14ac:dyDescent="0.25">
      <c r="A102" s="9">
        <f t="shared" si="1"/>
        <v>1</v>
      </c>
      <c r="B102" s="6"/>
      <c r="C102" s="6"/>
      <c r="D102" s="24"/>
      <c r="E102" s="12" t="s">
        <v>38</v>
      </c>
      <c r="F102" s="25">
        <v>0</v>
      </c>
      <c r="G102" s="12" t="s">
        <v>324</v>
      </c>
      <c r="H102" s="12">
        <v>0</v>
      </c>
      <c r="I102" s="12">
        <v>0</v>
      </c>
      <c r="J102" s="12">
        <v>0</v>
      </c>
      <c r="K102" s="12">
        <v>0</v>
      </c>
      <c r="L102" s="13">
        <v>0</v>
      </c>
      <c r="M102" s="13">
        <v>0</v>
      </c>
      <c r="N102" s="12">
        <v>0</v>
      </c>
      <c r="O102" s="12">
        <v>0</v>
      </c>
      <c r="P102" s="12">
        <v>0</v>
      </c>
      <c r="Q102" s="14">
        <v>0</v>
      </c>
      <c r="R102" s="15">
        <v>752343.22</v>
      </c>
      <c r="S102" s="16">
        <v>752343.22</v>
      </c>
      <c r="T102" s="15">
        <v>476234.97</v>
      </c>
      <c r="U102" s="16">
        <v>0</v>
      </c>
      <c r="V102" s="15">
        <v>276108.25</v>
      </c>
      <c r="W102" s="16">
        <v>0</v>
      </c>
      <c r="X102" s="15">
        <v>0</v>
      </c>
      <c r="Y102" s="16">
        <v>0</v>
      </c>
      <c r="Z102" s="15">
        <v>0</v>
      </c>
      <c r="AA102" s="16">
        <v>0</v>
      </c>
      <c r="AB102" s="15">
        <v>0</v>
      </c>
      <c r="AC102" s="16">
        <v>0</v>
      </c>
      <c r="AD102" s="15">
        <v>0</v>
      </c>
      <c r="AE102" s="16">
        <v>0</v>
      </c>
      <c r="AF102" s="15">
        <v>0</v>
      </c>
      <c r="AG102" s="16">
        <v>0</v>
      </c>
      <c r="AH102" s="15">
        <v>0</v>
      </c>
      <c r="AI102" s="15" t="s">
        <v>325</v>
      </c>
      <c r="AJ102" s="14">
        <v>0.40722222222222221</v>
      </c>
      <c r="AK102" s="17">
        <v>43370</v>
      </c>
      <c r="AL102" s="18" t="s">
        <v>291</v>
      </c>
      <c r="AM102" s="14" t="s">
        <v>292</v>
      </c>
      <c r="AN102" s="14" t="s">
        <v>36</v>
      </c>
      <c r="AO102" s="14" t="s">
        <v>326</v>
      </c>
      <c r="AP102" s="14" t="s">
        <v>37</v>
      </c>
      <c r="AQ102" s="14" t="s">
        <v>184</v>
      </c>
      <c r="AR102" s="14" t="s">
        <v>4</v>
      </c>
      <c r="AS102" s="14">
        <v>0</v>
      </c>
      <c r="AT102" s="14">
        <v>0</v>
      </c>
      <c r="AU102" s="14">
        <v>0</v>
      </c>
      <c r="AV102" s="14">
        <v>0</v>
      </c>
      <c r="AW102" s="14"/>
      <c r="AX102" s="14"/>
      <c r="AY102" s="14"/>
      <c r="AZ102" s="14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</row>
    <row r="103" spans="1:66" s="2" customFormat="1" ht="12" customHeight="1" x14ac:dyDescent="0.25">
      <c r="A103" s="9">
        <f t="shared" si="1"/>
        <v>1</v>
      </c>
      <c r="B103" s="6"/>
      <c r="C103" s="6"/>
      <c r="D103" s="24"/>
      <c r="E103" s="12" t="s">
        <v>38</v>
      </c>
      <c r="F103" s="25">
        <v>0</v>
      </c>
      <c r="G103" s="12" t="s">
        <v>327</v>
      </c>
      <c r="H103" s="12">
        <v>0</v>
      </c>
      <c r="I103" s="12">
        <v>0</v>
      </c>
      <c r="J103" s="12">
        <v>0</v>
      </c>
      <c r="K103" s="12">
        <v>0</v>
      </c>
      <c r="L103" s="13">
        <v>0</v>
      </c>
      <c r="M103" s="13">
        <v>0</v>
      </c>
      <c r="N103" s="12">
        <v>0</v>
      </c>
      <c r="O103" s="12">
        <v>0</v>
      </c>
      <c r="P103" s="12">
        <v>0</v>
      </c>
      <c r="Q103" s="14">
        <v>0</v>
      </c>
      <c r="R103" s="15">
        <v>117876.33216000001</v>
      </c>
      <c r="S103" s="16">
        <v>117876.33216000001</v>
      </c>
      <c r="T103" s="15">
        <v>71681.759999999995</v>
      </c>
      <c r="U103" s="16">
        <v>0</v>
      </c>
      <c r="V103" s="15">
        <v>19440</v>
      </c>
      <c r="W103" s="16">
        <v>0</v>
      </c>
      <c r="X103" s="15">
        <v>8463.3984</v>
      </c>
      <c r="Y103" s="16">
        <v>0</v>
      </c>
      <c r="Z103" s="15">
        <v>2916</v>
      </c>
      <c r="AA103" s="16">
        <v>0</v>
      </c>
      <c r="AB103" s="15">
        <v>15375.17376</v>
      </c>
      <c r="AC103" s="16">
        <v>0</v>
      </c>
      <c r="AD103" s="15">
        <v>0</v>
      </c>
      <c r="AE103" s="16">
        <v>0</v>
      </c>
      <c r="AF103" s="15">
        <v>0</v>
      </c>
      <c r="AG103" s="16">
        <v>0</v>
      </c>
      <c r="AH103" s="15">
        <v>0</v>
      </c>
      <c r="AI103" s="15" t="s">
        <v>328</v>
      </c>
      <c r="AJ103" s="14">
        <v>0.63091435185185185</v>
      </c>
      <c r="AK103" s="17">
        <v>43320</v>
      </c>
      <c r="AL103" s="18" t="s">
        <v>291</v>
      </c>
      <c r="AM103" s="14" t="s">
        <v>292</v>
      </c>
      <c r="AN103" s="14" t="s">
        <v>36</v>
      </c>
      <c r="AO103" s="14" t="s">
        <v>329</v>
      </c>
      <c r="AP103" s="14" t="s">
        <v>37</v>
      </c>
      <c r="AQ103" s="14" t="s">
        <v>184</v>
      </c>
      <c r="AR103" s="14" t="s">
        <v>4</v>
      </c>
      <c r="AS103" s="14">
        <v>0</v>
      </c>
      <c r="AT103" s="14">
        <v>0</v>
      </c>
      <c r="AU103" s="14">
        <v>0</v>
      </c>
      <c r="AV103" s="14">
        <v>0</v>
      </c>
      <c r="AW103" s="14"/>
      <c r="AX103" s="14"/>
      <c r="AY103" s="14"/>
      <c r="AZ103" s="14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</row>
    <row r="104" spans="1:66" s="2" customFormat="1" ht="12" customHeight="1" x14ac:dyDescent="0.25">
      <c r="A104" s="9">
        <f t="shared" si="1"/>
        <v>1</v>
      </c>
      <c r="B104" s="6"/>
      <c r="C104" s="6"/>
      <c r="D104" s="24"/>
      <c r="E104" s="12" t="s">
        <v>38</v>
      </c>
      <c r="F104" s="25">
        <v>0</v>
      </c>
      <c r="G104" s="12" t="s">
        <v>330</v>
      </c>
      <c r="H104" s="12">
        <v>0</v>
      </c>
      <c r="I104" s="12">
        <v>0</v>
      </c>
      <c r="J104" s="12">
        <v>0</v>
      </c>
      <c r="K104" s="12">
        <v>0</v>
      </c>
      <c r="L104" s="13">
        <v>0</v>
      </c>
      <c r="M104" s="13">
        <v>0</v>
      </c>
      <c r="N104" s="12">
        <v>0</v>
      </c>
      <c r="O104" s="12">
        <v>0</v>
      </c>
      <c r="P104" s="12">
        <v>0</v>
      </c>
      <c r="Q104" s="14">
        <v>0</v>
      </c>
      <c r="R104" s="15">
        <v>2411398.2287499998</v>
      </c>
      <c r="S104" s="16">
        <v>2411398.2287499998</v>
      </c>
      <c r="T104" s="15">
        <v>1095172</v>
      </c>
      <c r="U104" s="16">
        <v>0</v>
      </c>
      <c r="V104" s="15">
        <v>633210</v>
      </c>
      <c r="W104" s="16">
        <v>0</v>
      </c>
      <c r="X104" s="15">
        <v>273504.52499999997</v>
      </c>
      <c r="Y104" s="16">
        <v>0</v>
      </c>
      <c r="Z104" s="15">
        <v>94981.5</v>
      </c>
      <c r="AA104" s="16">
        <v>0</v>
      </c>
      <c r="AB104" s="15">
        <v>314530.20374999999</v>
      </c>
      <c r="AC104" s="16">
        <v>0</v>
      </c>
      <c r="AD104" s="15">
        <v>0</v>
      </c>
      <c r="AE104" s="16">
        <v>0</v>
      </c>
      <c r="AF104" s="15">
        <v>0</v>
      </c>
      <c r="AG104" s="16">
        <v>0</v>
      </c>
      <c r="AH104" s="15">
        <v>0</v>
      </c>
      <c r="AI104" s="15" t="s">
        <v>331</v>
      </c>
      <c r="AJ104" s="14">
        <v>0.65636574074074072</v>
      </c>
      <c r="AK104" s="17">
        <v>43321</v>
      </c>
      <c r="AL104" s="18" t="s">
        <v>291</v>
      </c>
      <c r="AM104" s="14" t="s">
        <v>292</v>
      </c>
      <c r="AN104" s="14" t="s">
        <v>36</v>
      </c>
      <c r="AO104" s="14" t="s">
        <v>332</v>
      </c>
      <c r="AP104" s="14" t="s">
        <v>37</v>
      </c>
      <c r="AQ104" s="14" t="s">
        <v>184</v>
      </c>
      <c r="AR104" s="14" t="s">
        <v>4</v>
      </c>
      <c r="AS104" s="14">
        <v>0</v>
      </c>
      <c r="AT104" s="14">
        <v>0</v>
      </c>
      <c r="AU104" s="14">
        <v>0</v>
      </c>
      <c r="AV104" s="14">
        <v>0</v>
      </c>
      <c r="AW104" s="14"/>
      <c r="AX104" s="14"/>
      <c r="AY104" s="14"/>
      <c r="AZ104" s="14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</row>
    <row r="105" spans="1:66" s="2" customFormat="1" ht="12" customHeight="1" x14ac:dyDescent="0.25">
      <c r="A105" s="9">
        <f t="shared" si="1"/>
        <v>1</v>
      </c>
      <c r="B105" s="6"/>
      <c r="C105" s="6"/>
      <c r="D105" s="24"/>
      <c r="E105" s="12" t="s">
        <v>38</v>
      </c>
      <c r="F105" s="25">
        <v>0</v>
      </c>
      <c r="G105" s="12" t="s">
        <v>333</v>
      </c>
      <c r="H105" s="12">
        <v>0</v>
      </c>
      <c r="I105" s="12">
        <v>0</v>
      </c>
      <c r="J105" s="12">
        <v>0</v>
      </c>
      <c r="K105" s="12">
        <v>0</v>
      </c>
      <c r="L105" s="13">
        <v>0</v>
      </c>
      <c r="M105" s="13">
        <v>0</v>
      </c>
      <c r="N105" s="12">
        <v>0</v>
      </c>
      <c r="O105" s="12">
        <v>0</v>
      </c>
      <c r="P105" s="12">
        <v>0</v>
      </c>
      <c r="Q105" s="14">
        <v>0</v>
      </c>
      <c r="R105" s="15">
        <v>23920.531199999998</v>
      </c>
      <c r="S105" s="16">
        <v>23920.531199999998</v>
      </c>
      <c r="T105" s="15">
        <v>5995</v>
      </c>
      <c r="U105" s="16">
        <v>0</v>
      </c>
      <c r="V105" s="15">
        <v>12620</v>
      </c>
      <c r="W105" s="16">
        <v>0</v>
      </c>
      <c r="X105" s="15">
        <v>1640.64</v>
      </c>
      <c r="Y105" s="16">
        <v>0</v>
      </c>
      <c r="Z105" s="15">
        <v>1893</v>
      </c>
      <c r="AA105" s="16">
        <v>0</v>
      </c>
      <c r="AB105" s="15">
        <v>1771.8912</v>
      </c>
      <c r="AC105" s="16">
        <v>0</v>
      </c>
      <c r="AD105" s="15">
        <v>0</v>
      </c>
      <c r="AE105" s="16">
        <v>0</v>
      </c>
      <c r="AF105" s="15">
        <v>0</v>
      </c>
      <c r="AG105" s="16">
        <v>0</v>
      </c>
      <c r="AH105" s="15">
        <v>0</v>
      </c>
      <c r="AI105" s="15" t="s">
        <v>334</v>
      </c>
      <c r="AJ105" s="14">
        <v>0.68740740740740736</v>
      </c>
      <c r="AK105" s="17">
        <v>43343</v>
      </c>
      <c r="AL105" s="18" t="s">
        <v>291</v>
      </c>
      <c r="AM105" s="14" t="s">
        <v>292</v>
      </c>
      <c r="AN105" s="14" t="s">
        <v>36</v>
      </c>
      <c r="AO105" s="14" t="s">
        <v>335</v>
      </c>
      <c r="AP105" s="14" t="s">
        <v>37</v>
      </c>
      <c r="AQ105" s="14" t="s">
        <v>184</v>
      </c>
      <c r="AR105" s="14" t="s">
        <v>4</v>
      </c>
      <c r="AS105" s="14">
        <v>0</v>
      </c>
      <c r="AT105" s="14">
        <v>0</v>
      </c>
      <c r="AU105" s="14">
        <v>0</v>
      </c>
      <c r="AV105" s="14">
        <v>0</v>
      </c>
      <c r="AW105" s="14"/>
      <c r="AX105" s="14"/>
      <c r="AY105" s="14"/>
      <c r="AZ105" s="14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</row>
    <row r="106" spans="1:66" s="2" customFormat="1" ht="12" customHeight="1" x14ac:dyDescent="0.25">
      <c r="A106" s="9">
        <f t="shared" si="1"/>
        <v>1</v>
      </c>
      <c r="B106" s="6"/>
      <c r="C106" s="6"/>
      <c r="D106" s="24"/>
      <c r="E106" s="12" t="s">
        <v>38</v>
      </c>
      <c r="F106" s="25">
        <v>0</v>
      </c>
      <c r="G106" s="12" t="s">
        <v>336</v>
      </c>
      <c r="H106" s="12">
        <v>0</v>
      </c>
      <c r="I106" s="12">
        <v>0</v>
      </c>
      <c r="J106" s="12">
        <v>0</v>
      </c>
      <c r="K106" s="12">
        <v>0</v>
      </c>
      <c r="L106" s="13">
        <v>0</v>
      </c>
      <c r="M106" s="13">
        <v>0</v>
      </c>
      <c r="N106" s="12">
        <v>0</v>
      </c>
      <c r="O106" s="12">
        <v>0</v>
      </c>
      <c r="P106" s="12">
        <v>0</v>
      </c>
      <c r="Q106" s="14">
        <v>0</v>
      </c>
      <c r="R106" s="15">
        <v>658537.42607999989</v>
      </c>
      <c r="S106" s="16">
        <v>658537.42607999989</v>
      </c>
      <c r="T106" s="15">
        <v>273810.5</v>
      </c>
      <c r="U106" s="16">
        <v>0</v>
      </c>
      <c r="V106" s="15">
        <v>269240</v>
      </c>
      <c r="W106" s="16">
        <v>0</v>
      </c>
      <c r="X106" s="15">
        <v>45167.175999999999</v>
      </c>
      <c r="Y106" s="16">
        <v>0</v>
      </c>
      <c r="Z106" s="15">
        <v>21539.200000000001</v>
      </c>
      <c r="AA106" s="16">
        <v>0</v>
      </c>
      <c r="AB106" s="15">
        <v>48780.550079999994</v>
      </c>
      <c r="AC106" s="16">
        <v>0</v>
      </c>
      <c r="AD106" s="15">
        <v>0</v>
      </c>
      <c r="AE106" s="16">
        <v>0</v>
      </c>
      <c r="AF106" s="15">
        <v>0</v>
      </c>
      <c r="AG106" s="16">
        <v>0</v>
      </c>
      <c r="AH106" s="15">
        <v>0</v>
      </c>
      <c r="AI106" s="15" t="s">
        <v>337</v>
      </c>
      <c r="AJ106" s="14">
        <v>0.65628472222222223</v>
      </c>
      <c r="AK106" s="17">
        <v>43353</v>
      </c>
      <c r="AL106" s="18" t="s">
        <v>291</v>
      </c>
      <c r="AM106" s="14" t="s">
        <v>292</v>
      </c>
      <c r="AN106" s="14" t="s">
        <v>36</v>
      </c>
      <c r="AO106" s="14" t="s">
        <v>338</v>
      </c>
      <c r="AP106" s="14" t="s">
        <v>37</v>
      </c>
      <c r="AQ106" s="14" t="s">
        <v>184</v>
      </c>
      <c r="AR106" s="14" t="s">
        <v>4</v>
      </c>
      <c r="AS106" s="14">
        <v>0</v>
      </c>
      <c r="AT106" s="14">
        <v>0</v>
      </c>
      <c r="AU106" s="14">
        <v>0</v>
      </c>
      <c r="AV106" s="14">
        <v>0</v>
      </c>
      <c r="AW106" s="14"/>
      <c r="AX106" s="14"/>
      <c r="AY106" s="14"/>
      <c r="AZ106" s="14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</row>
    <row r="107" spans="1:66" s="2" customFormat="1" ht="12" customHeight="1" x14ac:dyDescent="0.25">
      <c r="A107" s="9">
        <f t="shared" si="1"/>
        <v>1</v>
      </c>
      <c r="B107" s="6"/>
      <c r="C107" s="6"/>
      <c r="D107" s="24"/>
      <c r="E107" s="12" t="s">
        <v>38</v>
      </c>
      <c r="F107" s="25">
        <v>0</v>
      </c>
      <c r="G107" s="12" t="s">
        <v>339</v>
      </c>
      <c r="H107" s="12">
        <v>0</v>
      </c>
      <c r="I107" s="12">
        <v>0</v>
      </c>
      <c r="J107" s="12">
        <v>0</v>
      </c>
      <c r="K107" s="12">
        <v>0</v>
      </c>
      <c r="L107" s="13">
        <v>0</v>
      </c>
      <c r="M107" s="13">
        <v>0</v>
      </c>
      <c r="N107" s="12">
        <v>0</v>
      </c>
      <c r="O107" s="12">
        <v>0</v>
      </c>
      <c r="P107" s="12">
        <v>0</v>
      </c>
      <c r="Q107" s="14">
        <v>0</v>
      </c>
      <c r="R107" s="15">
        <v>68496.140159999995</v>
      </c>
      <c r="S107" s="16">
        <v>68496.140159999995</v>
      </c>
      <c r="T107" s="15">
        <v>18516</v>
      </c>
      <c r="U107" s="16">
        <v>0</v>
      </c>
      <c r="V107" s="15">
        <v>37230</v>
      </c>
      <c r="W107" s="16">
        <v>0</v>
      </c>
      <c r="X107" s="15">
        <v>4697.9520000000002</v>
      </c>
      <c r="Y107" s="16">
        <v>0</v>
      </c>
      <c r="Z107" s="15">
        <v>2978.4</v>
      </c>
      <c r="AA107" s="16">
        <v>0</v>
      </c>
      <c r="AB107" s="15">
        <v>5073.7881600000001</v>
      </c>
      <c r="AC107" s="16">
        <v>0</v>
      </c>
      <c r="AD107" s="15">
        <v>0</v>
      </c>
      <c r="AE107" s="16">
        <v>0</v>
      </c>
      <c r="AF107" s="15">
        <v>0</v>
      </c>
      <c r="AG107" s="16">
        <v>0</v>
      </c>
      <c r="AH107" s="15">
        <v>0</v>
      </c>
      <c r="AI107" s="15" t="s">
        <v>340</v>
      </c>
      <c r="AJ107" s="14">
        <v>0.64884259259259258</v>
      </c>
      <c r="AK107" s="17">
        <v>43348</v>
      </c>
      <c r="AL107" s="18" t="s">
        <v>291</v>
      </c>
      <c r="AM107" s="14" t="s">
        <v>292</v>
      </c>
      <c r="AN107" s="14" t="s">
        <v>36</v>
      </c>
      <c r="AO107" s="14" t="s">
        <v>341</v>
      </c>
      <c r="AP107" s="14" t="s">
        <v>37</v>
      </c>
      <c r="AQ107" s="14" t="s">
        <v>184</v>
      </c>
      <c r="AR107" s="14" t="s">
        <v>4</v>
      </c>
      <c r="AS107" s="14">
        <v>0</v>
      </c>
      <c r="AT107" s="14">
        <v>0</v>
      </c>
      <c r="AU107" s="14">
        <v>0</v>
      </c>
      <c r="AV107" s="14">
        <v>0</v>
      </c>
      <c r="AW107" s="14"/>
      <c r="AX107" s="14"/>
      <c r="AY107" s="14"/>
      <c r="AZ107" s="14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</row>
    <row r="108" spans="1:66" s="2" customFormat="1" ht="12" customHeight="1" x14ac:dyDescent="0.25">
      <c r="A108" s="9">
        <f t="shared" si="1"/>
        <v>1</v>
      </c>
      <c r="B108" s="6"/>
      <c r="C108" s="6"/>
      <c r="D108" s="24"/>
      <c r="E108" s="12" t="s">
        <v>38</v>
      </c>
      <c r="F108" s="25">
        <v>0</v>
      </c>
      <c r="G108" s="12" t="s">
        <v>342</v>
      </c>
      <c r="H108" s="12">
        <v>0</v>
      </c>
      <c r="I108" s="12">
        <v>0</v>
      </c>
      <c r="J108" s="12">
        <v>0</v>
      </c>
      <c r="K108" s="12">
        <v>0</v>
      </c>
      <c r="L108" s="13">
        <v>0</v>
      </c>
      <c r="M108" s="13">
        <v>0</v>
      </c>
      <c r="N108" s="12">
        <v>0</v>
      </c>
      <c r="O108" s="12">
        <v>0</v>
      </c>
      <c r="P108" s="12">
        <v>0</v>
      </c>
      <c r="Q108" s="14">
        <v>0</v>
      </c>
      <c r="R108" s="15">
        <v>748265.66208000004</v>
      </c>
      <c r="S108" s="16">
        <v>748265.66208000004</v>
      </c>
      <c r="T108" s="15">
        <v>464516</v>
      </c>
      <c r="U108" s="16">
        <v>0</v>
      </c>
      <c r="V108" s="15">
        <v>163890</v>
      </c>
      <c r="W108" s="16">
        <v>0</v>
      </c>
      <c r="X108" s="15">
        <v>51321.375999999997</v>
      </c>
      <c r="Y108" s="16">
        <v>0</v>
      </c>
      <c r="Z108" s="15">
        <v>13111.2</v>
      </c>
      <c r="AA108" s="16">
        <v>0</v>
      </c>
      <c r="AB108" s="15">
        <v>55427.086080000001</v>
      </c>
      <c r="AC108" s="16">
        <v>0</v>
      </c>
      <c r="AD108" s="15">
        <v>0</v>
      </c>
      <c r="AE108" s="16">
        <v>0</v>
      </c>
      <c r="AF108" s="15">
        <v>0</v>
      </c>
      <c r="AG108" s="16">
        <v>0</v>
      </c>
      <c r="AH108" s="15">
        <v>0</v>
      </c>
      <c r="AI108" s="15" t="s">
        <v>343</v>
      </c>
      <c r="AJ108" s="14">
        <v>0.50053240740740745</v>
      </c>
      <c r="AK108" s="17">
        <v>43378</v>
      </c>
      <c r="AL108" s="18" t="s">
        <v>291</v>
      </c>
      <c r="AM108" s="14" t="s">
        <v>292</v>
      </c>
      <c r="AN108" s="14" t="s">
        <v>36</v>
      </c>
      <c r="AO108" s="14" t="s">
        <v>344</v>
      </c>
      <c r="AP108" s="14" t="s">
        <v>37</v>
      </c>
      <c r="AQ108" s="14" t="s">
        <v>184</v>
      </c>
      <c r="AR108" s="14" t="s">
        <v>4</v>
      </c>
      <c r="AS108" s="14">
        <v>0</v>
      </c>
      <c r="AT108" s="14">
        <v>0</v>
      </c>
      <c r="AU108" s="14">
        <v>0</v>
      </c>
      <c r="AV108" s="14">
        <v>0</v>
      </c>
      <c r="AW108" s="14"/>
      <c r="AX108" s="14"/>
      <c r="AY108" s="14"/>
      <c r="AZ108" s="14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</row>
    <row r="109" spans="1:66" s="2" customFormat="1" ht="12" customHeight="1" x14ac:dyDescent="0.25">
      <c r="A109" s="9">
        <f t="shared" si="1"/>
        <v>1</v>
      </c>
      <c r="B109" s="6"/>
      <c r="C109" s="6"/>
      <c r="D109" s="24"/>
      <c r="E109" s="12" t="s">
        <v>38</v>
      </c>
      <c r="F109" s="25">
        <v>0</v>
      </c>
      <c r="G109" s="12" t="s">
        <v>345</v>
      </c>
      <c r="H109" s="12">
        <v>0</v>
      </c>
      <c r="I109" s="12">
        <v>0</v>
      </c>
      <c r="J109" s="12">
        <v>0</v>
      </c>
      <c r="K109" s="12">
        <v>0</v>
      </c>
      <c r="L109" s="13">
        <v>0</v>
      </c>
      <c r="M109" s="13">
        <v>0</v>
      </c>
      <c r="N109" s="12">
        <v>0</v>
      </c>
      <c r="O109" s="12">
        <v>0</v>
      </c>
      <c r="P109" s="12">
        <v>0</v>
      </c>
      <c r="Q109" s="14">
        <v>0</v>
      </c>
      <c r="R109" s="15">
        <v>6618.8700000000008</v>
      </c>
      <c r="S109" s="16">
        <v>6618.8700000000008</v>
      </c>
      <c r="T109" s="15">
        <v>3618.8700000000003</v>
      </c>
      <c r="U109" s="16">
        <v>0</v>
      </c>
      <c r="V109" s="15">
        <v>3000</v>
      </c>
      <c r="W109" s="16">
        <v>0</v>
      </c>
      <c r="X109" s="15">
        <v>0</v>
      </c>
      <c r="Y109" s="16">
        <v>0</v>
      </c>
      <c r="Z109" s="15">
        <v>0</v>
      </c>
      <c r="AA109" s="16">
        <v>0</v>
      </c>
      <c r="AB109" s="15">
        <v>0</v>
      </c>
      <c r="AC109" s="16">
        <v>0</v>
      </c>
      <c r="AD109" s="15">
        <v>0</v>
      </c>
      <c r="AE109" s="16">
        <v>0</v>
      </c>
      <c r="AF109" s="15">
        <v>0</v>
      </c>
      <c r="AG109" s="16">
        <v>0</v>
      </c>
      <c r="AH109" s="15">
        <v>0</v>
      </c>
      <c r="AI109" s="15" t="s">
        <v>346</v>
      </c>
      <c r="AJ109" s="14">
        <v>0.55533564814814818</v>
      </c>
      <c r="AK109" s="17">
        <v>43354</v>
      </c>
      <c r="AL109" s="18" t="s">
        <v>291</v>
      </c>
      <c r="AM109" s="14" t="s">
        <v>292</v>
      </c>
      <c r="AN109" s="14" t="s">
        <v>36</v>
      </c>
      <c r="AO109" s="14" t="s">
        <v>347</v>
      </c>
      <c r="AP109" s="14" t="s">
        <v>37</v>
      </c>
      <c r="AQ109" s="14" t="s">
        <v>184</v>
      </c>
      <c r="AR109" s="14" t="s">
        <v>4</v>
      </c>
      <c r="AS109" s="14">
        <v>0</v>
      </c>
      <c r="AT109" s="14">
        <v>0</v>
      </c>
      <c r="AU109" s="14">
        <v>0</v>
      </c>
      <c r="AV109" s="14">
        <v>0</v>
      </c>
      <c r="AW109" s="14"/>
      <c r="AX109" s="14"/>
      <c r="AY109" s="14"/>
      <c r="AZ109" s="14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</row>
    <row r="110" spans="1:66" s="2" customFormat="1" ht="12" customHeight="1" x14ac:dyDescent="0.25">
      <c r="A110" s="9">
        <f t="shared" si="1"/>
        <v>1</v>
      </c>
      <c r="B110" s="6"/>
      <c r="C110" s="6"/>
      <c r="D110" s="24"/>
      <c r="E110" s="12" t="s">
        <v>38</v>
      </c>
      <c r="F110" s="25">
        <v>0</v>
      </c>
      <c r="G110" s="12" t="s">
        <v>348</v>
      </c>
      <c r="H110" s="12">
        <v>0</v>
      </c>
      <c r="I110" s="12">
        <v>0</v>
      </c>
      <c r="J110" s="12">
        <v>0</v>
      </c>
      <c r="K110" s="12">
        <v>0</v>
      </c>
      <c r="L110" s="13">
        <v>0</v>
      </c>
      <c r="M110" s="13">
        <v>0</v>
      </c>
      <c r="N110" s="12">
        <v>0</v>
      </c>
      <c r="O110" s="12">
        <v>0</v>
      </c>
      <c r="P110" s="12">
        <v>0</v>
      </c>
      <c r="Q110" s="14">
        <v>0</v>
      </c>
      <c r="R110" s="15">
        <v>8825.16</v>
      </c>
      <c r="S110" s="16">
        <v>8825.16</v>
      </c>
      <c r="T110" s="15">
        <v>4825.16</v>
      </c>
      <c r="U110" s="16">
        <v>0</v>
      </c>
      <c r="V110" s="15">
        <v>4000</v>
      </c>
      <c r="W110" s="16">
        <v>0</v>
      </c>
      <c r="X110" s="15">
        <v>0</v>
      </c>
      <c r="Y110" s="16">
        <v>0</v>
      </c>
      <c r="Z110" s="15">
        <v>0</v>
      </c>
      <c r="AA110" s="16">
        <v>0</v>
      </c>
      <c r="AB110" s="15">
        <v>0</v>
      </c>
      <c r="AC110" s="16">
        <v>0</v>
      </c>
      <c r="AD110" s="15">
        <v>0</v>
      </c>
      <c r="AE110" s="16">
        <v>0</v>
      </c>
      <c r="AF110" s="15">
        <v>0</v>
      </c>
      <c r="AG110" s="16">
        <v>0</v>
      </c>
      <c r="AH110" s="15">
        <v>0</v>
      </c>
      <c r="AI110" s="15" t="s">
        <v>349</v>
      </c>
      <c r="AJ110" s="14">
        <v>0.55603009259259262</v>
      </c>
      <c r="AK110" s="17">
        <v>43354</v>
      </c>
      <c r="AL110" s="18" t="s">
        <v>291</v>
      </c>
      <c r="AM110" s="14" t="s">
        <v>292</v>
      </c>
      <c r="AN110" s="14" t="s">
        <v>36</v>
      </c>
      <c r="AO110" s="14" t="s">
        <v>350</v>
      </c>
      <c r="AP110" s="14" t="s">
        <v>37</v>
      </c>
      <c r="AQ110" s="14" t="s">
        <v>184</v>
      </c>
      <c r="AR110" s="14" t="s">
        <v>4</v>
      </c>
      <c r="AS110" s="14">
        <v>0</v>
      </c>
      <c r="AT110" s="14">
        <v>0</v>
      </c>
      <c r="AU110" s="14">
        <v>0</v>
      </c>
      <c r="AV110" s="14">
        <v>0</v>
      </c>
      <c r="AW110" s="14"/>
      <c r="AX110" s="14"/>
      <c r="AY110" s="14"/>
      <c r="AZ110" s="14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</row>
    <row r="111" spans="1:66" s="2" customFormat="1" ht="12" customHeight="1" x14ac:dyDescent="0.25">
      <c r="A111" s="9">
        <f t="shared" si="1"/>
        <v>1</v>
      </c>
      <c r="B111" s="6"/>
      <c r="C111" s="6"/>
      <c r="D111" s="24"/>
      <c r="E111" s="12" t="s">
        <v>38</v>
      </c>
      <c r="F111" s="25">
        <v>0</v>
      </c>
      <c r="G111" s="12" t="s">
        <v>351</v>
      </c>
      <c r="H111" s="12">
        <v>0</v>
      </c>
      <c r="I111" s="12">
        <v>0</v>
      </c>
      <c r="J111" s="12">
        <v>0</v>
      </c>
      <c r="K111" s="12">
        <v>0</v>
      </c>
      <c r="L111" s="13">
        <v>0</v>
      </c>
      <c r="M111" s="13">
        <v>0</v>
      </c>
      <c r="N111" s="12">
        <v>0</v>
      </c>
      <c r="O111" s="12">
        <v>0</v>
      </c>
      <c r="P111" s="12">
        <v>0</v>
      </c>
      <c r="Q111" s="14">
        <v>0</v>
      </c>
      <c r="R111" s="15">
        <v>561114.21600000001</v>
      </c>
      <c r="S111" s="16">
        <v>561114.21600000001</v>
      </c>
      <c r="T111" s="15">
        <v>232611</v>
      </c>
      <c r="U111" s="16">
        <v>0</v>
      </c>
      <c r="V111" s="15">
        <v>230050</v>
      </c>
      <c r="W111" s="16">
        <v>0</v>
      </c>
      <c r="X111" s="15">
        <v>38485.200000000004</v>
      </c>
      <c r="Y111" s="16">
        <v>0</v>
      </c>
      <c r="Z111" s="15">
        <v>18404</v>
      </c>
      <c r="AA111" s="16">
        <v>0</v>
      </c>
      <c r="AB111" s="15">
        <v>41564.016000000003</v>
      </c>
      <c r="AC111" s="16">
        <v>0</v>
      </c>
      <c r="AD111" s="15">
        <v>0</v>
      </c>
      <c r="AE111" s="16">
        <v>0</v>
      </c>
      <c r="AF111" s="15">
        <v>0</v>
      </c>
      <c r="AG111" s="16">
        <v>0</v>
      </c>
      <c r="AH111" s="15">
        <v>0</v>
      </c>
      <c r="AI111" s="15" t="s">
        <v>352</v>
      </c>
      <c r="AJ111" s="14">
        <v>0.36504629629629631</v>
      </c>
      <c r="AK111" s="17">
        <v>43368</v>
      </c>
      <c r="AL111" s="18" t="s">
        <v>291</v>
      </c>
      <c r="AM111" s="14" t="s">
        <v>292</v>
      </c>
      <c r="AN111" s="14" t="s">
        <v>36</v>
      </c>
      <c r="AO111" s="14" t="s">
        <v>353</v>
      </c>
      <c r="AP111" s="14" t="s">
        <v>37</v>
      </c>
      <c r="AQ111" s="14" t="s">
        <v>184</v>
      </c>
      <c r="AR111" s="14" t="s">
        <v>4</v>
      </c>
      <c r="AS111" s="14">
        <v>0</v>
      </c>
      <c r="AT111" s="14">
        <v>0</v>
      </c>
      <c r="AU111" s="14">
        <v>0</v>
      </c>
      <c r="AV111" s="14">
        <v>0</v>
      </c>
      <c r="AW111" s="14"/>
      <c r="AX111" s="14"/>
      <c r="AY111" s="14"/>
      <c r="AZ111" s="14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</row>
    <row r="112" spans="1:66" s="2" customFormat="1" ht="12" customHeight="1" x14ac:dyDescent="0.25">
      <c r="A112" s="9">
        <f t="shared" si="1"/>
        <v>1</v>
      </c>
      <c r="B112" s="6"/>
      <c r="C112" s="6"/>
      <c r="D112" s="24"/>
      <c r="E112" s="12" t="s">
        <v>38</v>
      </c>
      <c r="F112" s="25">
        <v>0</v>
      </c>
      <c r="G112" s="12" t="s">
        <v>354</v>
      </c>
      <c r="H112" s="12">
        <v>0</v>
      </c>
      <c r="I112" s="12">
        <v>0</v>
      </c>
      <c r="J112" s="12">
        <v>0</v>
      </c>
      <c r="K112" s="12">
        <v>0</v>
      </c>
      <c r="L112" s="13">
        <v>0</v>
      </c>
      <c r="M112" s="13">
        <v>0</v>
      </c>
      <c r="N112" s="12">
        <v>0</v>
      </c>
      <c r="O112" s="12">
        <v>0</v>
      </c>
      <c r="P112" s="12">
        <v>0</v>
      </c>
      <c r="Q112" s="14">
        <v>0</v>
      </c>
      <c r="R112" s="15">
        <v>42755</v>
      </c>
      <c r="S112" s="16">
        <v>42755</v>
      </c>
      <c r="T112" s="15">
        <v>36780</v>
      </c>
      <c r="U112" s="16">
        <v>0</v>
      </c>
      <c r="V112" s="15">
        <v>5975</v>
      </c>
      <c r="W112" s="16">
        <v>0</v>
      </c>
      <c r="X112" s="15">
        <v>0</v>
      </c>
      <c r="Y112" s="16">
        <v>0</v>
      </c>
      <c r="Z112" s="15">
        <v>0</v>
      </c>
      <c r="AA112" s="16">
        <v>0</v>
      </c>
      <c r="AB112" s="15">
        <v>0</v>
      </c>
      <c r="AC112" s="16">
        <v>0</v>
      </c>
      <c r="AD112" s="15">
        <v>0</v>
      </c>
      <c r="AE112" s="16">
        <v>0</v>
      </c>
      <c r="AF112" s="15">
        <v>0</v>
      </c>
      <c r="AG112" s="16">
        <v>0</v>
      </c>
      <c r="AH112" s="15">
        <v>0</v>
      </c>
      <c r="AI112" s="15" t="s">
        <v>355</v>
      </c>
      <c r="AJ112" s="14">
        <v>0.39886574074074077</v>
      </c>
      <c r="AK112" s="17">
        <v>43368</v>
      </c>
      <c r="AL112" s="18" t="s">
        <v>291</v>
      </c>
      <c r="AM112" s="14" t="s">
        <v>292</v>
      </c>
      <c r="AN112" s="14" t="s">
        <v>36</v>
      </c>
      <c r="AO112" s="14" t="s">
        <v>356</v>
      </c>
      <c r="AP112" s="14" t="s">
        <v>37</v>
      </c>
      <c r="AQ112" s="14" t="s">
        <v>184</v>
      </c>
      <c r="AR112" s="14" t="s">
        <v>4</v>
      </c>
      <c r="AS112" s="14">
        <v>0</v>
      </c>
      <c r="AT112" s="14">
        <v>0</v>
      </c>
      <c r="AU112" s="14">
        <v>0</v>
      </c>
      <c r="AV112" s="14">
        <v>0</v>
      </c>
      <c r="AW112" s="14"/>
      <c r="AX112" s="14"/>
      <c r="AY112" s="14"/>
      <c r="AZ112" s="14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</row>
    <row r="113" spans="1:66" s="2" customFormat="1" ht="12" customHeight="1" x14ac:dyDescent="0.25">
      <c r="A113" s="9">
        <f t="shared" si="1"/>
        <v>1</v>
      </c>
      <c r="B113" s="6"/>
      <c r="C113" s="6"/>
      <c r="D113" s="24"/>
      <c r="E113" s="12" t="s">
        <v>38</v>
      </c>
      <c r="F113" s="25">
        <v>0</v>
      </c>
      <c r="G113" s="12" t="s">
        <v>357</v>
      </c>
      <c r="H113" s="12">
        <v>0</v>
      </c>
      <c r="I113" s="12">
        <v>0</v>
      </c>
      <c r="J113" s="12">
        <v>0</v>
      </c>
      <c r="K113" s="12">
        <v>0</v>
      </c>
      <c r="L113" s="13">
        <v>0</v>
      </c>
      <c r="M113" s="13">
        <v>0</v>
      </c>
      <c r="N113" s="12">
        <v>0</v>
      </c>
      <c r="O113" s="12">
        <v>0</v>
      </c>
      <c r="P113" s="12">
        <v>0</v>
      </c>
      <c r="Q113" s="14">
        <v>0</v>
      </c>
      <c r="R113" s="15">
        <v>57630</v>
      </c>
      <c r="S113" s="16">
        <v>57630</v>
      </c>
      <c r="T113" s="15">
        <v>49580</v>
      </c>
      <c r="U113" s="16">
        <v>0</v>
      </c>
      <c r="V113" s="15">
        <v>8050</v>
      </c>
      <c r="W113" s="16">
        <v>0</v>
      </c>
      <c r="X113" s="15">
        <v>0</v>
      </c>
      <c r="Y113" s="16">
        <v>0</v>
      </c>
      <c r="Z113" s="15">
        <v>0</v>
      </c>
      <c r="AA113" s="16">
        <v>0</v>
      </c>
      <c r="AB113" s="15">
        <v>0</v>
      </c>
      <c r="AC113" s="16">
        <v>0</v>
      </c>
      <c r="AD113" s="15">
        <v>0</v>
      </c>
      <c r="AE113" s="16">
        <v>0</v>
      </c>
      <c r="AF113" s="15">
        <v>0</v>
      </c>
      <c r="AG113" s="16">
        <v>0</v>
      </c>
      <c r="AH113" s="15">
        <v>0</v>
      </c>
      <c r="AI113" s="15" t="s">
        <v>358</v>
      </c>
      <c r="AJ113" s="14">
        <v>0.40106481481481482</v>
      </c>
      <c r="AK113" s="17">
        <v>43368</v>
      </c>
      <c r="AL113" s="18" t="s">
        <v>291</v>
      </c>
      <c r="AM113" s="14" t="s">
        <v>292</v>
      </c>
      <c r="AN113" s="14" t="s">
        <v>36</v>
      </c>
      <c r="AO113" s="14" t="s">
        <v>359</v>
      </c>
      <c r="AP113" s="14" t="s">
        <v>37</v>
      </c>
      <c r="AQ113" s="14" t="s">
        <v>184</v>
      </c>
      <c r="AR113" s="14" t="s">
        <v>4</v>
      </c>
      <c r="AS113" s="14">
        <v>0</v>
      </c>
      <c r="AT113" s="14">
        <v>0</v>
      </c>
      <c r="AU113" s="14">
        <v>0</v>
      </c>
      <c r="AV113" s="14">
        <v>0</v>
      </c>
      <c r="AW113" s="14"/>
      <c r="AX113" s="14"/>
      <c r="AY113" s="14"/>
      <c r="AZ113" s="14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</row>
    <row r="114" spans="1:66" s="2" customFormat="1" ht="12" customHeight="1" x14ac:dyDescent="0.25">
      <c r="A114" s="9">
        <f t="shared" si="1"/>
        <v>1</v>
      </c>
      <c r="B114" s="6"/>
      <c r="C114" s="6"/>
      <c r="D114" s="24"/>
      <c r="E114" s="12" t="s">
        <v>38</v>
      </c>
      <c r="F114" s="25">
        <v>0</v>
      </c>
      <c r="G114" s="12" t="s">
        <v>360</v>
      </c>
      <c r="H114" s="12">
        <v>0</v>
      </c>
      <c r="I114" s="12">
        <v>0</v>
      </c>
      <c r="J114" s="12">
        <v>0</v>
      </c>
      <c r="K114" s="12">
        <v>0</v>
      </c>
      <c r="L114" s="13">
        <v>0</v>
      </c>
      <c r="M114" s="13">
        <v>0</v>
      </c>
      <c r="N114" s="12">
        <v>0</v>
      </c>
      <c r="O114" s="12">
        <v>0</v>
      </c>
      <c r="P114" s="12">
        <v>0</v>
      </c>
      <c r="Q114" s="14">
        <v>0</v>
      </c>
      <c r="R114" s="15">
        <v>0</v>
      </c>
      <c r="S114" s="16">
        <v>0</v>
      </c>
      <c r="T114" s="15">
        <v>0</v>
      </c>
      <c r="U114" s="16">
        <v>0</v>
      </c>
      <c r="V114" s="15">
        <v>0</v>
      </c>
      <c r="W114" s="16">
        <v>0</v>
      </c>
      <c r="X114" s="15">
        <v>0</v>
      </c>
      <c r="Y114" s="16">
        <v>0</v>
      </c>
      <c r="Z114" s="15">
        <v>0</v>
      </c>
      <c r="AA114" s="16">
        <v>0</v>
      </c>
      <c r="AB114" s="15">
        <v>0</v>
      </c>
      <c r="AC114" s="16">
        <v>0</v>
      </c>
      <c r="AD114" s="15">
        <v>0</v>
      </c>
      <c r="AE114" s="16">
        <v>0</v>
      </c>
      <c r="AF114" s="15">
        <v>0</v>
      </c>
      <c r="AG114" s="16">
        <v>0</v>
      </c>
      <c r="AH114" s="15">
        <v>0</v>
      </c>
      <c r="AI114" s="15" t="s">
        <v>361</v>
      </c>
      <c r="AJ114" s="14">
        <v>0.44766203703703705</v>
      </c>
      <c r="AK114" s="17">
        <v>43385</v>
      </c>
      <c r="AL114" s="18" t="s">
        <v>291</v>
      </c>
      <c r="AM114" s="14" t="s">
        <v>292</v>
      </c>
      <c r="AN114" s="14" t="s">
        <v>36</v>
      </c>
      <c r="AO114" s="14" t="s">
        <v>362</v>
      </c>
      <c r="AP114" s="14" t="s">
        <v>37</v>
      </c>
      <c r="AQ114" s="14" t="s">
        <v>184</v>
      </c>
      <c r="AR114" s="14" t="s">
        <v>4</v>
      </c>
      <c r="AS114" s="14">
        <v>0</v>
      </c>
      <c r="AT114" s="14">
        <v>0</v>
      </c>
      <c r="AU114" s="14">
        <v>0</v>
      </c>
      <c r="AV114" s="14">
        <v>0</v>
      </c>
      <c r="AW114" s="14"/>
      <c r="AX114" s="14"/>
      <c r="AY114" s="14"/>
      <c r="AZ114" s="14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</row>
    <row r="115" spans="1:66" s="2" customFormat="1" ht="12" customHeight="1" x14ac:dyDescent="0.25">
      <c r="A115" s="9">
        <f t="shared" si="1"/>
        <v>1</v>
      </c>
      <c r="B115" s="6"/>
      <c r="C115" s="6"/>
      <c r="D115" s="24"/>
      <c r="E115" s="12" t="s">
        <v>38</v>
      </c>
      <c r="F115" s="25">
        <v>0</v>
      </c>
      <c r="G115" s="12" t="s">
        <v>363</v>
      </c>
      <c r="H115" s="12">
        <v>0</v>
      </c>
      <c r="I115" s="12">
        <v>0</v>
      </c>
      <c r="J115" s="12">
        <v>0</v>
      </c>
      <c r="K115" s="12">
        <v>0</v>
      </c>
      <c r="L115" s="13">
        <v>0</v>
      </c>
      <c r="M115" s="13">
        <v>0</v>
      </c>
      <c r="N115" s="12">
        <v>0</v>
      </c>
      <c r="O115" s="12">
        <v>0</v>
      </c>
      <c r="P115" s="12">
        <v>0</v>
      </c>
      <c r="Q115" s="14">
        <v>0</v>
      </c>
      <c r="R115" s="15">
        <v>0</v>
      </c>
      <c r="S115" s="16">
        <v>0</v>
      </c>
      <c r="T115" s="15">
        <v>0</v>
      </c>
      <c r="U115" s="16">
        <v>0</v>
      </c>
      <c r="V115" s="15">
        <v>0</v>
      </c>
      <c r="W115" s="16">
        <v>0</v>
      </c>
      <c r="X115" s="15">
        <v>0</v>
      </c>
      <c r="Y115" s="16">
        <v>0</v>
      </c>
      <c r="Z115" s="15">
        <v>0</v>
      </c>
      <c r="AA115" s="16">
        <v>0</v>
      </c>
      <c r="AB115" s="15">
        <v>0</v>
      </c>
      <c r="AC115" s="16">
        <v>0</v>
      </c>
      <c r="AD115" s="15">
        <v>0</v>
      </c>
      <c r="AE115" s="16">
        <v>0</v>
      </c>
      <c r="AF115" s="15">
        <v>0</v>
      </c>
      <c r="AG115" s="16">
        <v>0</v>
      </c>
      <c r="AH115" s="15">
        <v>0</v>
      </c>
      <c r="AI115" s="15" t="s">
        <v>364</v>
      </c>
      <c r="AJ115" s="14">
        <v>0.45013888888888887</v>
      </c>
      <c r="AK115" s="17">
        <v>43385</v>
      </c>
      <c r="AL115" s="18" t="s">
        <v>291</v>
      </c>
      <c r="AM115" s="14" t="s">
        <v>292</v>
      </c>
      <c r="AN115" s="14" t="s">
        <v>36</v>
      </c>
      <c r="AO115" s="14" t="s">
        <v>365</v>
      </c>
      <c r="AP115" s="14" t="s">
        <v>37</v>
      </c>
      <c r="AQ115" s="14" t="s">
        <v>184</v>
      </c>
      <c r="AR115" s="14" t="s">
        <v>4</v>
      </c>
      <c r="AS115" s="14">
        <v>0</v>
      </c>
      <c r="AT115" s="14">
        <v>0</v>
      </c>
      <c r="AU115" s="14">
        <v>0</v>
      </c>
      <c r="AV115" s="14">
        <v>0</v>
      </c>
      <c r="AW115" s="14"/>
      <c r="AX115" s="14"/>
      <c r="AY115" s="14"/>
      <c r="AZ115" s="14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</row>
    <row r="116" spans="1:66" s="2" customFormat="1" ht="12" customHeight="1" x14ac:dyDescent="0.25">
      <c r="A116" s="9">
        <f t="shared" si="1"/>
        <v>1</v>
      </c>
      <c r="B116" s="6"/>
      <c r="C116" s="6"/>
      <c r="D116" s="24"/>
      <c r="E116" s="12" t="s">
        <v>38</v>
      </c>
      <c r="F116" s="25">
        <v>0</v>
      </c>
      <c r="G116" s="12" t="s">
        <v>366</v>
      </c>
      <c r="H116" s="12">
        <v>0</v>
      </c>
      <c r="I116" s="12">
        <v>0</v>
      </c>
      <c r="J116" s="12">
        <v>0</v>
      </c>
      <c r="K116" s="12">
        <v>0</v>
      </c>
      <c r="L116" s="13">
        <v>0</v>
      </c>
      <c r="M116" s="13">
        <v>0</v>
      </c>
      <c r="N116" s="12">
        <v>0</v>
      </c>
      <c r="O116" s="12">
        <v>0</v>
      </c>
      <c r="P116" s="12">
        <v>0</v>
      </c>
      <c r="Q116" s="14">
        <v>0</v>
      </c>
      <c r="R116" s="15">
        <v>3250468.6754399999</v>
      </c>
      <c r="S116" s="16">
        <v>3250468.6754399999</v>
      </c>
      <c r="T116" s="15">
        <v>1675849</v>
      </c>
      <c r="U116" s="16">
        <v>0</v>
      </c>
      <c r="V116" s="15">
        <v>1052730</v>
      </c>
      <c r="W116" s="16">
        <v>0</v>
      </c>
      <c r="X116" s="15">
        <v>225023.79199999999</v>
      </c>
      <c r="Y116" s="16">
        <v>0</v>
      </c>
      <c r="Z116" s="15">
        <v>84218.400000000009</v>
      </c>
      <c r="AA116" s="16">
        <v>0</v>
      </c>
      <c r="AB116" s="15">
        <v>212647.48344000001</v>
      </c>
      <c r="AC116" s="16">
        <v>0</v>
      </c>
      <c r="AD116" s="15">
        <v>0</v>
      </c>
      <c r="AE116" s="16">
        <v>0</v>
      </c>
      <c r="AF116" s="15">
        <v>0</v>
      </c>
      <c r="AG116" s="16">
        <v>0</v>
      </c>
      <c r="AH116" s="15">
        <v>0</v>
      </c>
      <c r="AI116" s="15" t="s">
        <v>367</v>
      </c>
      <c r="AJ116" s="14">
        <v>0.49762731481481487</v>
      </c>
      <c r="AK116" s="17">
        <v>43391</v>
      </c>
      <c r="AL116" s="18" t="s">
        <v>291</v>
      </c>
      <c r="AM116" s="14" t="s">
        <v>292</v>
      </c>
      <c r="AN116" s="14" t="s">
        <v>36</v>
      </c>
      <c r="AO116" s="14" t="s">
        <v>368</v>
      </c>
      <c r="AP116" s="14" t="s">
        <v>37</v>
      </c>
      <c r="AQ116" s="14" t="s">
        <v>184</v>
      </c>
      <c r="AR116" s="14" t="s">
        <v>4</v>
      </c>
      <c r="AS116" s="14">
        <v>0</v>
      </c>
      <c r="AT116" s="14">
        <v>0</v>
      </c>
      <c r="AU116" s="14">
        <v>0</v>
      </c>
      <c r="AV116" s="14">
        <v>0</v>
      </c>
      <c r="AW116" s="14"/>
      <c r="AX116" s="14"/>
      <c r="AY116" s="14"/>
      <c r="AZ116" s="14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</row>
    <row r="117" spans="1:66" s="2" customFormat="1" ht="12" customHeight="1" x14ac:dyDescent="0.25">
      <c r="A117" s="9">
        <f t="shared" si="1"/>
        <v>1</v>
      </c>
      <c r="B117" s="6"/>
      <c r="C117" s="6"/>
      <c r="D117" s="24"/>
      <c r="E117" s="12" t="s">
        <v>38</v>
      </c>
      <c r="F117" s="25">
        <v>0</v>
      </c>
      <c r="G117" s="12" t="s">
        <v>369</v>
      </c>
      <c r="H117" s="12">
        <v>0</v>
      </c>
      <c r="I117" s="12">
        <v>0</v>
      </c>
      <c r="J117" s="12">
        <v>0</v>
      </c>
      <c r="K117" s="12">
        <v>0</v>
      </c>
      <c r="L117" s="13">
        <v>0</v>
      </c>
      <c r="M117" s="13">
        <v>0</v>
      </c>
      <c r="N117" s="12">
        <v>0</v>
      </c>
      <c r="O117" s="12">
        <v>0</v>
      </c>
      <c r="P117" s="12">
        <v>0</v>
      </c>
      <c r="Q117" s="14">
        <v>0</v>
      </c>
      <c r="R117" s="15">
        <v>0</v>
      </c>
      <c r="S117" s="16">
        <v>0</v>
      </c>
      <c r="T117" s="15">
        <v>0</v>
      </c>
      <c r="U117" s="16">
        <v>0</v>
      </c>
      <c r="V117" s="15">
        <v>0</v>
      </c>
      <c r="W117" s="16">
        <v>0</v>
      </c>
      <c r="X117" s="15">
        <v>0</v>
      </c>
      <c r="Y117" s="16">
        <v>0</v>
      </c>
      <c r="Z117" s="15">
        <v>0</v>
      </c>
      <c r="AA117" s="16">
        <v>0</v>
      </c>
      <c r="AB117" s="15">
        <v>0</v>
      </c>
      <c r="AC117" s="16">
        <v>0</v>
      </c>
      <c r="AD117" s="15">
        <v>0</v>
      </c>
      <c r="AE117" s="16">
        <v>0</v>
      </c>
      <c r="AF117" s="15">
        <v>0</v>
      </c>
      <c r="AG117" s="16">
        <v>0</v>
      </c>
      <c r="AH117" s="15">
        <v>0</v>
      </c>
      <c r="AI117" s="15" t="s">
        <v>370</v>
      </c>
      <c r="AJ117" s="14">
        <v>0.60678240740740741</v>
      </c>
      <c r="AK117" s="17">
        <v>43385</v>
      </c>
      <c r="AL117" s="18" t="s">
        <v>291</v>
      </c>
      <c r="AM117" s="14" t="s">
        <v>292</v>
      </c>
      <c r="AN117" s="14" t="s">
        <v>36</v>
      </c>
      <c r="AO117" s="14" t="s">
        <v>371</v>
      </c>
      <c r="AP117" s="14" t="s">
        <v>37</v>
      </c>
      <c r="AQ117" s="14" t="s">
        <v>184</v>
      </c>
      <c r="AR117" s="14" t="s">
        <v>4</v>
      </c>
      <c r="AS117" s="14">
        <v>0</v>
      </c>
      <c r="AT117" s="14">
        <v>0</v>
      </c>
      <c r="AU117" s="14">
        <v>0</v>
      </c>
      <c r="AV117" s="14">
        <v>0</v>
      </c>
      <c r="AW117" s="14"/>
      <c r="AX117" s="14"/>
      <c r="AY117" s="14"/>
      <c r="AZ117" s="14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</row>
    <row r="118" spans="1:66" s="2" customFormat="1" ht="12" customHeight="1" x14ac:dyDescent="0.25">
      <c r="A118" s="9">
        <f t="shared" si="1"/>
        <v>1</v>
      </c>
      <c r="B118" s="6"/>
      <c r="C118" s="6"/>
      <c r="D118" s="24"/>
      <c r="E118" s="12" t="s">
        <v>38</v>
      </c>
      <c r="F118" s="25">
        <v>0</v>
      </c>
      <c r="G118" s="12" t="s">
        <v>372</v>
      </c>
      <c r="H118" s="12">
        <v>0</v>
      </c>
      <c r="I118" s="12">
        <v>0</v>
      </c>
      <c r="J118" s="12">
        <v>0</v>
      </c>
      <c r="K118" s="12">
        <v>0</v>
      </c>
      <c r="L118" s="13">
        <v>0</v>
      </c>
      <c r="M118" s="13">
        <v>0</v>
      </c>
      <c r="N118" s="12">
        <v>0</v>
      </c>
      <c r="O118" s="12">
        <v>0</v>
      </c>
      <c r="P118" s="12">
        <v>0</v>
      </c>
      <c r="Q118" s="14">
        <v>0</v>
      </c>
      <c r="R118" s="15">
        <v>941411.04500000004</v>
      </c>
      <c r="S118" s="16">
        <v>941411.04500000004</v>
      </c>
      <c r="T118" s="15">
        <v>711842</v>
      </c>
      <c r="U118" s="16">
        <v>0</v>
      </c>
      <c r="V118" s="15">
        <v>0</v>
      </c>
      <c r="W118" s="16">
        <v>0</v>
      </c>
      <c r="X118" s="15">
        <v>106776.3</v>
      </c>
      <c r="Y118" s="16">
        <v>0</v>
      </c>
      <c r="Z118" s="15">
        <v>0</v>
      </c>
      <c r="AA118" s="16">
        <v>0</v>
      </c>
      <c r="AB118" s="15">
        <v>122792.745</v>
      </c>
      <c r="AC118" s="16">
        <v>0</v>
      </c>
      <c r="AD118" s="15">
        <v>0</v>
      </c>
      <c r="AE118" s="16">
        <v>0</v>
      </c>
      <c r="AF118" s="15">
        <v>0</v>
      </c>
      <c r="AG118" s="16">
        <v>0</v>
      </c>
      <c r="AH118" s="15">
        <v>0</v>
      </c>
      <c r="AI118" s="15" t="s">
        <v>373</v>
      </c>
      <c r="AJ118" s="14">
        <v>0.55204861111111114</v>
      </c>
      <c r="AK118" s="17">
        <v>43392</v>
      </c>
      <c r="AL118" s="18" t="s">
        <v>291</v>
      </c>
      <c r="AM118" s="14" t="s">
        <v>292</v>
      </c>
      <c r="AN118" s="14" t="s">
        <v>36</v>
      </c>
      <c r="AO118" s="14" t="s">
        <v>374</v>
      </c>
      <c r="AP118" s="14" t="s">
        <v>37</v>
      </c>
      <c r="AQ118" s="14" t="s">
        <v>184</v>
      </c>
      <c r="AR118" s="14" t="s">
        <v>4</v>
      </c>
      <c r="AS118" s="14">
        <v>0</v>
      </c>
      <c r="AT118" s="14">
        <v>0</v>
      </c>
      <c r="AU118" s="14">
        <v>0</v>
      </c>
      <c r="AV118" s="14">
        <v>0</v>
      </c>
      <c r="AW118" s="14"/>
      <c r="AX118" s="14"/>
      <c r="AY118" s="14"/>
      <c r="AZ118" s="14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</row>
    <row r="119" spans="1:66" s="2" customFormat="1" ht="12" customHeight="1" x14ac:dyDescent="0.25">
      <c r="A119" s="9">
        <f t="shared" si="1"/>
        <v>1</v>
      </c>
      <c r="B119" s="6"/>
      <c r="C119" s="6"/>
      <c r="D119" s="24"/>
      <c r="E119" s="12" t="s">
        <v>38</v>
      </c>
      <c r="F119" s="25">
        <v>0</v>
      </c>
      <c r="G119" s="12" t="s">
        <v>375</v>
      </c>
      <c r="H119" s="12">
        <v>0</v>
      </c>
      <c r="I119" s="12">
        <v>0</v>
      </c>
      <c r="J119" s="12">
        <v>0</v>
      </c>
      <c r="K119" s="12">
        <v>0</v>
      </c>
      <c r="L119" s="13">
        <v>0</v>
      </c>
      <c r="M119" s="13">
        <v>0</v>
      </c>
      <c r="N119" s="12">
        <v>0</v>
      </c>
      <c r="O119" s="12">
        <v>0</v>
      </c>
      <c r="P119" s="12">
        <v>0</v>
      </c>
      <c r="Q119" s="14">
        <v>0</v>
      </c>
      <c r="R119" s="15">
        <v>20090.86</v>
      </c>
      <c r="S119" s="16">
        <v>20090.86</v>
      </c>
      <c r="T119" s="15">
        <v>7570.8600000000006</v>
      </c>
      <c r="U119" s="16">
        <v>0</v>
      </c>
      <c r="V119" s="15">
        <v>12520</v>
      </c>
      <c r="W119" s="16">
        <v>0</v>
      </c>
      <c r="X119" s="15">
        <v>0</v>
      </c>
      <c r="Y119" s="16">
        <v>0</v>
      </c>
      <c r="Z119" s="15">
        <v>0</v>
      </c>
      <c r="AA119" s="16">
        <v>0</v>
      </c>
      <c r="AB119" s="15">
        <v>0</v>
      </c>
      <c r="AC119" s="16">
        <v>0</v>
      </c>
      <c r="AD119" s="15">
        <v>0</v>
      </c>
      <c r="AE119" s="16">
        <v>0</v>
      </c>
      <c r="AF119" s="15">
        <v>0</v>
      </c>
      <c r="AG119" s="16">
        <v>0</v>
      </c>
      <c r="AH119" s="15">
        <v>0</v>
      </c>
      <c r="AI119" s="15" t="s">
        <v>376</v>
      </c>
      <c r="AJ119" s="14">
        <v>0.38942129629629635</v>
      </c>
      <c r="AK119" s="17">
        <v>43410</v>
      </c>
      <c r="AL119" s="18" t="s">
        <v>291</v>
      </c>
      <c r="AM119" s="14" t="s">
        <v>292</v>
      </c>
      <c r="AN119" s="14" t="s">
        <v>36</v>
      </c>
      <c r="AO119" s="14" t="s">
        <v>377</v>
      </c>
      <c r="AP119" s="14" t="s">
        <v>37</v>
      </c>
      <c r="AQ119" s="14" t="s">
        <v>184</v>
      </c>
      <c r="AR119" s="14" t="s">
        <v>4</v>
      </c>
      <c r="AS119" s="14">
        <v>0</v>
      </c>
      <c r="AT119" s="14">
        <v>0</v>
      </c>
      <c r="AU119" s="14">
        <v>0</v>
      </c>
      <c r="AV119" s="14">
        <v>0</v>
      </c>
      <c r="AW119" s="14"/>
      <c r="AX119" s="14"/>
      <c r="AY119" s="14"/>
      <c r="AZ119" s="14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</row>
    <row r="120" spans="1:66" s="2" customFormat="1" ht="12" customHeight="1" x14ac:dyDescent="0.25">
      <c r="A120" s="9">
        <f t="shared" si="1"/>
        <v>1</v>
      </c>
      <c r="B120" s="6"/>
      <c r="C120" s="6"/>
      <c r="D120" s="24"/>
      <c r="E120" s="12" t="s">
        <v>38</v>
      </c>
      <c r="F120" s="25">
        <v>0</v>
      </c>
      <c r="G120" s="12" t="s">
        <v>378</v>
      </c>
      <c r="H120" s="12">
        <v>0</v>
      </c>
      <c r="I120" s="12">
        <v>0</v>
      </c>
      <c r="J120" s="12">
        <v>0</v>
      </c>
      <c r="K120" s="12">
        <v>0</v>
      </c>
      <c r="L120" s="13">
        <v>0</v>
      </c>
      <c r="M120" s="13">
        <v>0</v>
      </c>
      <c r="N120" s="12">
        <v>0</v>
      </c>
      <c r="O120" s="12">
        <v>0</v>
      </c>
      <c r="P120" s="12">
        <v>0</v>
      </c>
      <c r="Q120" s="14">
        <v>0</v>
      </c>
      <c r="R120" s="15">
        <v>3221936.9114399999</v>
      </c>
      <c r="S120" s="16">
        <v>3221936.9114399999</v>
      </c>
      <c r="T120" s="15">
        <v>1691497</v>
      </c>
      <c r="U120" s="16">
        <v>0</v>
      </c>
      <c r="V120" s="15">
        <v>1015380</v>
      </c>
      <c r="W120" s="16">
        <v>0</v>
      </c>
      <c r="X120" s="15">
        <v>223048.592</v>
      </c>
      <c r="Y120" s="16">
        <v>0</v>
      </c>
      <c r="Z120" s="15">
        <v>81230.400000000009</v>
      </c>
      <c r="AA120" s="16">
        <v>0</v>
      </c>
      <c r="AB120" s="15">
        <v>210780.91944000003</v>
      </c>
      <c r="AC120" s="16">
        <v>0</v>
      </c>
      <c r="AD120" s="15">
        <v>0</v>
      </c>
      <c r="AE120" s="16">
        <v>0</v>
      </c>
      <c r="AF120" s="15">
        <v>0</v>
      </c>
      <c r="AG120" s="16">
        <v>0</v>
      </c>
      <c r="AH120" s="15">
        <v>0</v>
      </c>
      <c r="AI120" s="15" t="s">
        <v>379</v>
      </c>
      <c r="AJ120" s="14">
        <v>0.50099537037037034</v>
      </c>
      <c r="AK120" s="17">
        <v>43391</v>
      </c>
      <c r="AL120" s="18" t="s">
        <v>291</v>
      </c>
      <c r="AM120" s="14" t="s">
        <v>292</v>
      </c>
      <c r="AN120" s="14" t="s">
        <v>36</v>
      </c>
      <c r="AO120" s="14" t="s">
        <v>380</v>
      </c>
      <c r="AP120" s="14" t="s">
        <v>37</v>
      </c>
      <c r="AQ120" s="14" t="s">
        <v>184</v>
      </c>
      <c r="AR120" s="14" t="s">
        <v>4</v>
      </c>
      <c r="AS120" s="14">
        <v>0</v>
      </c>
      <c r="AT120" s="14">
        <v>0</v>
      </c>
      <c r="AU120" s="14">
        <v>0</v>
      </c>
      <c r="AV120" s="14">
        <v>0</v>
      </c>
      <c r="AW120" s="14"/>
      <c r="AX120" s="14"/>
      <c r="AY120" s="14"/>
      <c r="AZ120" s="14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</row>
    <row r="121" spans="1:66" s="2" customFormat="1" ht="12" customHeight="1" x14ac:dyDescent="0.25">
      <c r="A121" s="9">
        <f t="shared" si="1"/>
        <v>1</v>
      </c>
      <c r="B121" s="6"/>
      <c r="C121" s="6"/>
      <c r="D121" s="24"/>
      <c r="E121" s="12" t="s">
        <v>38</v>
      </c>
      <c r="F121" s="25">
        <v>0</v>
      </c>
      <c r="G121" s="12" t="s">
        <v>381</v>
      </c>
      <c r="H121" s="12">
        <v>0</v>
      </c>
      <c r="I121" s="12">
        <v>0</v>
      </c>
      <c r="J121" s="12">
        <v>0</v>
      </c>
      <c r="K121" s="12">
        <v>0</v>
      </c>
      <c r="L121" s="13">
        <v>0</v>
      </c>
      <c r="M121" s="13">
        <v>0</v>
      </c>
      <c r="N121" s="12">
        <v>0</v>
      </c>
      <c r="O121" s="12">
        <v>0</v>
      </c>
      <c r="P121" s="12">
        <v>0</v>
      </c>
      <c r="Q121" s="14">
        <v>0</v>
      </c>
      <c r="R121" s="15">
        <v>2943242.01504</v>
      </c>
      <c r="S121" s="16">
        <v>2943242.01504</v>
      </c>
      <c r="T121" s="15">
        <v>1513616</v>
      </c>
      <c r="U121" s="16">
        <v>0</v>
      </c>
      <c r="V121" s="15">
        <v>956780</v>
      </c>
      <c r="W121" s="16">
        <v>0</v>
      </c>
      <c r="X121" s="15">
        <v>203755.07199999999</v>
      </c>
      <c r="Y121" s="16">
        <v>0</v>
      </c>
      <c r="Z121" s="15">
        <v>76542.400000000009</v>
      </c>
      <c r="AA121" s="16">
        <v>0</v>
      </c>
      <c r="AB121" s="15">
        <v>192548.54304000002</v>
      </c>
      <c r="AC121" s="16">
        <v>0</v>
      </c>
      <c r="AD121" s="15">
        <v>0</v>
      </c>
      <c r="AE121" s="16">
        <v>0</v>
      </c>
      <c r="AF121" s="15">
        <v>0</v>
      </c>
      <c r="AG121" s="16">
        <v>0</v>
      </c>
      <c r="AH121" s="15">
        <v>0</v>
      </c>
      <c r="AI121" s="15" t="s">
        <v>382</v>
      </c>
      <c r="AJ121" s="14">
        <v>0.45822916666666669</v>
      </c>
      <c r="AK121" s="17">
        <v>43397</v>
      </c>
      <c r="AL121" s="18" t="s">
        <v>291</v>
      </c>
      <c r="AM121" s="14" t="s">
        <v>292</v>
      </c>
      <c r="AN121" s="14" t="s">
        <v>36</v>
      </c>
      <c r="AO121" s="14" t="s">
        <v>383</v>
      </c>
      <c r="AP121" s="14" t="s">
        <v>37</v>
      </c>
      <c r="AQ121" s="14" t="s">
        <v>184</v>
      </c>
      <c r="AR121" s="14" t="s">
        <v>4</v>
      </c>
      <c r="AS121" s="14">
        <v>0</v>
      </c>
      <c r="AT121" s="14">
        <v>0</v>
      </c>
      <c r="AU121" s="14">
        <v>0</v>
      </c>
      <c r="AV121" s="14">
        <v>0</v>
      </c>
      <c r="AW121" s="14"/>
      <c r="AX121" s="14"/>
      <c r="AY121" s="14"/>
      <c r="AZ121" s="14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</row>
    <row r="122" spans="1:66" s="2" customFormat="1" ht="12" customHeight="1" x14ac:dyDescent="0.25">
      <c r="A122" s="9">
        <f t="shared" si="1"/>
        <v>1</v>
      </c>
      <c r="B122" s="6"/>
      <c r="C122" s="6"/>
      <c r="D122" s="24"/>
      <c r="E122" s="12" t="s">
        <v>38</v>
      </c>
      <c r="F122" s="25">
        <v>0</v>
      </c>
      <c r="G122" s="12" t="s">
        <v>384</v>
      </c>
      <c r="H122" s="12">
        <v>0</v>
      </c>
      <c r="I122" s="12">
        <v>0</v>
      </c>
      <c r="J122" s="12">
        <v>0</v>
      </c>
      <c r="K122" s="12">
        <v>0</v>
      </c>
      <c r="L122" s="13">
        <v>0</v>
      </c>
      <c r="M122" s="13">
        <v>0</v>
      </c>
      <c r="N122" s="12">
        <v>0</v>
      </c>
      <c r="O122" s="12">
        <v>0</v>
      </c>
      <c r="P122" s="12">
        <v>0</v>
      </c>
      <c r="Q122" s="14">
        <v>0</v>
      </c>
      <c r="R122" s="15">
        <v>235373.06</v>
      </c>
      <c r="S122" s="16">
        <v>235373.06</v>
      </c>
      <c r="T122" s="15">
        <v>235373.06</v>
      </c>
      <c r="U122" s="16">
        <v>0</v>
      </c>
      <c r="V122" s="15">
        <v>0</v>
      </c>
      <c r="W122" s="16">
        <v>0</v>
      </c>
      <c r="X122" s="15">
        <v>0</v>
      </c>
      <c r="Y122" s="16">
        <v>0</v>
      </c>
      <c r="Z122" s="15">
        <v>0</v>
      </c>
      <c r="AA122" s="16">
        <v>0</v>
      </c>
      <c r="AB122" s="15">
        <v>0</v>
      </c>
      <c r="AC122" s="16">
        <v>0</v>
      </c>
      <c r="AD122" s="15">
        <v>0</v>
      </c>
      <c r="AE122" s="16">
        <v>0</v>
      </c>
      <c r="AF122" s="15">
        <v>0</v>
      </c>
      <c r="AG122" s="16">
        <v>0</v>
      </c>
      <c r="AH122" s="15">
        <v>0</v>
      </c>
      <c r="AI122" s="15" t="s">
        <v>385</v>
      </c>
      <c r="AJ122" s="14">
        <v>0.67103009259259261</v>
      </c>
      <c r="AK122" s="17">
        <v>43398</v>
      </c>
      <c r="AL122" s="18" t="s">
        <v>291</v>
      </c>
      <c r="AM122" s="14" t="s">
        <v>292</v>
      </c>
      <c r="AN122" s="14" t="s">
        <v>36</v>
      </c>
      <c r="AO122" s="14" t="s">
        <v>386</v>
      </c>
      <c r="AP122" s="14" t="s">
        <v>37</v>
      </c>
      <c r="AQ122" s="14" t="s">
        <v>184</v>
      </c>
      <c r="AR122" s="14" t="s">
        <v>4</v>
      </c>
      <c r="AS122" s="14">
        <v>0</v>
      </c>
      <c r="AT122" s="14">
        <v>0</v>
      </c>
      <c r="AU122" s="14">
        <v>0</v>
      </c>
      <c r="AV122" s="14">
        <v>0</v>
      </c>
      <c r="AW122" s="14"/>
      <c r="AX122" s="14"/>
      <c r="AY122" s="14"/>
      <c r="AZ122" s="14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</row>
    <row r="123" spans="1:66" s="2" customFormat="1" ht="12" customHeight="1" x14ac:dyDescent="0.25">
      <c r="A123" s="9">
        <f t="shared" si="1"/>
        <v>1</v>
      </c>
      <c r="B123" s="6"/>
      <c r="C123" s="6"/>
      <c r="D123" s="24"/>
      <c r="E123" s="12" t="s">
        <v>38</v>
      </c>
      <c r="F123" s="25">
        <v>0</v>
      </c>
      <c r="G123" s="12" t="s">
        <v>387</v>
      </c>
      <c r="H123" s="12">
        <v>0</v>
      </c>
      <c r="I123" s="12">
        <v>0</v>
      </c>
      <c r="J123" s="12">
        <v>0</v>
      </c>
      <c r="K123" s="12">
        <v>0</v>
      </c>
      <c r="L123" s="13">
        <v>0</v>
      </c>
      <c r="M123" s="13">
        <v>0</v>
      </c>
      <c r="N123" s="12">
        <v>0</v>
      </c>
      <c r="O123" s="12">
        <v>0</v>
      </c>
      <c r="P123" s="12">
        <v>0</v>
      </c>
      <c r="Q123" s="14">
        <v>0</v>
      </c>
      <c r="R123" s="15">
        <v>1427780.45</v>
      </c>
      <c r="S123" s="16">
        <v>1427780.45</v>
      </c>
      <c r="T123" s="15">
        <v>1048071</v>
      </c>
      <c r="U123" s="16">
        <v>0</v>
      </c>
      <c r="V123" s="15">
        <v>379709.45</v>
      </c>
      <c r="W123" s="16">
        <v>0</v>
      </c>
      <c r="X123" s="15">
        <v>0</v>
      </c>
      <c r="Y123" s="16">
        <v>0</v>
      </c>
      <c r="Z123" s="15">
        <v>0</v>
      </c>
      <c r="AA123" s="16">
        <v>0</v>
      </c>
      <c r="AB123" s="15">
        <v>0</v>
      </c>
      <c r="AC123" s="16">
        <v>0</v>
      </c>
      <c r="AD123" s="15">
        <v>0</v>
      </c>
      <c r="AE123" s="16">
        <v>0</v>
      </c>
      <c r="AF123" s="15">
        <v>0</v>
      </c>
      <c r="AG123" s="16">
        <v>0</v>
      </c>
      <c r="AH123" s="15">
        <v>0</v>
      </c>
      <c r="AI123" s="15" t="s">
        <v>388</v>
      </c>
      <c r="AJ123" s="14">
        <v>0.71968750000000004</v>
      </c>
      <c r="AK123" s="17">
        <v>43403</v>
      </c>
      <c r="AL123" s="18" t="s">
        <v>291</v>
      </c>
      <c r="AM123" s="14" t="s">
        <v>292</v>
      </c>
      <c r="AN123" s="14" t="s">
        <v>36</v>
      </c>
      <c r="AO123" s="14" t="s">
        <v>389</v>
      </c>
      <c r="AP123" s="14" t="s">
        <v>37</v>
      </c>
      <c r="AQ123" s="14" t="s">
        <v>184</v>
      </c>
      <c r="AR123" s="14" t="s">
        <v>4</v>
      </c>
      <c r="AS123" s="14">
        <v>0</v>
      </c>
      <c r="AT123" s="14">
        <v>0</v>
      </c>
      <c r="AU123" s="14">
        <v>0</v>
      </c>
      <c r="AV123" s="14">
        <v>0</v>
      </c>
      <c r="AW123" s="14"/>
      <c r="AX123" s="14"/>
      <c r="AY123" s="14"/>
      <c r="AZ123" s="14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  <c r="BM123" s="11"/>
      <c r="BN123" s="11"/>
    </row>
    <row r="124" spans="1:66" s="2" customFormat="1" ht="12" customHeight="1" x14ac:dyDescent="0.25">
      <c r="A124" s="9">
        <f t="shared" si="1"/>
        <v>1</v>
      </c>
      <c r="B124" s="6"/>
      <c r="C124" s="6"/>
      <c r="D124" s="24"/>
      <c r="E124" s="12" t="s">
        <v>38</v>
      </c>
      <c r="F124" s="25">
        <v>0</v>
      </c>
      <c r="G124" s="12" t="s">
        <v>390</v>
      </c>
      <c r="H124" s="12">
        <v>0</v>
      </c>
      <c r="I124" s="12">
        <v>0</v>
      </c>
      <c r="J124" s="12">
        <v>0</v>
      </c>
      <c r="K124" s="12">
        <v>0</v>
      </c>
      <c r="L124" s="13">
        <v>0</v>
      </c>
      <c r="M124" s="13">
        <v>0</v>
      </c>
      <c r="N124" s="12">
        <v>0</v>
      </c>
      <c r="O124" s="12">
        <v>0</v>
      </c>
      <c r="P124" s="12">
        <v>0</v>
      </c>
      <c r="Q124" s="14">
        <v>0</v>
      </c>
      <c r="R124" s="15">
        <v>637656.6</v>
      </c>
      <c r="S124" s="16">
        <v>637656.6</v>
      </c>
      <c r="T124" s="15">
        <v>482160</v>
      </c>
      <c r="U124" s="16">
        <v>0</v>
      </c>
      <c r="V124" s="15">
        <v>0</v>
      </c>
      <c r="W124" s="16">
        <v>0</v>
      </c>
      <c r="X124" s="15">
        <v>72324</v>
      </c>
      <c r="Y124" s="16">
        <v>0</v>
      </c>
      <c r="Z124" s="15">
        <v>0</v>
      </c>
      <c r="AA124" s="16">
        <v>0</v>
      </c>
      <c r="AB124" s="15">
        <v>83172.599999999991</v>
      </c>
      <c r="AC124" s="16">
        <v>0</v>
      </c>
      <c r="AD124" s="15">
        <v>0</v>
      </c>
      <c r="AE124" s="16">
        <v>0</v>
      </c>
      <c r="AF124" s="15">
        <v>0</v>
      </c>
      <c r="AG124" s="16">
        <v>0</v>
      </c>
      <c r="AH124" s="15">
        <v>0</v>
      </c>
      <c r="AI124" s="15" t="s">
        <v>391</v>
      </c>
      <c r="AJ124" s="14">
        <v>0.4774768518518519</v>
      </c>
      <c r="AK124" s="17">
        <v>43404</v>
      </c>
      <c r="AL124" s="18" t="s">
        <v>291</v>
      </c>
      <c r="AM124" s="14" t="s">
        <v>292</v>
      </c>
      <c r="AN124" s="14" t="s">
        <v>36</v>
      </c>
      <c r="AO124" s="14" t="s">
        <v>392</v>
      </c>
      <c r="AP124" s="14" t="s">
        <v>37</v>
      </c>
      <c r="AQ124" s="14" t="s">
        <v>184</v>
      </c>
      <c r="AR124" s="14" t="s">
        <v>4</v>
      </c>
      <c r="AS124" s="14">
        <v>0</v>
      </c>
      <c r="AT124" s="14">
        <v>0</v>
      </c>
      <c r="AU124" s="14">
        <v>0</v>
      </c>
      <c r="AV124" s="14">
        <v>0</v>
      </c>
      <c r="AW124" s="14"/>
      <c r="AX124" s="14"/>
      <c r="AY124" s="14"/>
      <c r="AZ124" s="14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</row>
    <row r="125" spans="1:66" s="2" customFormat="1" ht="12" customHeight="1" x14ac:dyDescent="0.25">
      <c r="A125" s="9">
        <f t="shared" si="1"/>
        <v>1</v>
      </c>
      <c r="B125" s="6"/>
      <c r="C125" s="6"/>
      <c r="D125" s="24"/>
      <c r="E125" s="12" t="s">
        <v>38</v>
      </c>
      <c r="F125" s="25">
        <v>0</v>
      </c>
      <c r="G125" s="12" t="s">
        <v>393</v>
      </c>
      <c r="H125" s="12">
        <v>0</v>
      </c>
      <c r="I125" s="12">
        <v>0</v>
      </c>
      <c r="J125" s="12">
        <v>0</v>
      </c>
      <c r="K125" s="12">
        <v>0</v>
      </c>
      <c r="L125" s="13">
        <v>0</v>
      </c>
      <c r="M125" s="13">
        <v>0</v>
      </c>
      <c r="N125" s="12">
        <v>0</v>
      </c>
      <c r="O125" s="12">
        <v>0</v>
      </c>
      <c r="P125" s="12">
        <v>0</v>
      </c>
      <c r="Q125" s="14">
        <v>0</v>
      </c>
      <c r="R125" s="15">
        <v>17285.075000000001</v>
      </c>
      <c r="S125" s="16">
        <v>17285.075000000001</v>
      </c>
      <c r="T125" s="15">
        <v>13070</v>
      </c>
      <c r="U125" s="16">
        <v>0</v>
      </c>
      <c r="V125" s="15">
        <v>0</v>
      </c>
      <c r="W125" s="16">
        <v>0</v>
      </c>
      <c r="X125" s="15">
        <v>1960.5</v>
      </c>
      <c r="Y125" s="16">
        <v>0</v>
      </c>
      <c r="Z125" s="15">
        <v>0</v>
      </c>
      <c r="AA125" s="16">
        <v>0</v>
      </c>
      <c r="AB125" s="15">
        <v>2254.5749999999998</v>
      </c>
      <c r="AC125" s="16">
        <v>0</v>
      </c>
      <c r="AD125" s="15">
        <v>0</v>
      </c>
      <c r="AE125" s="16">
        <v>0</v>
      </c>
      <c r="AF125" s="15">
        <v>0</v>
      </c>
      <c r="AG125" s="16">
        <v>0</v>
      </c>
      <c r="AH125" s="15">
        <v>0</v>
      </c>
      <c r="AI125" s="15" t="s">
        <v>394</v>
      </c>
      <c r="AJ125" s="14">
        <v>0.43563657407407402</v>
      </c>
      <c r="AK125" s="17">
        <v>43406</v>
      </c>
      <c r="AL125" s="18" t="s">
        <v>291</v>
      </c>
      <c r="AM125" s="14" t="s">
        <v>292</v>
      </c>
      <c r="AN125" s="14" t="s">
        <v>36</v>
      </c>
      <c r="AO125" s="14" t="s">
        <v>395</v>
      </c>
      <c r="AP125" s="14" t="s">
        <v>37</v>
      </c>
      <c r="AQ125" s="14" t="s">
        <v>184</v>
      </c>
      <c r="AR125" s="14" t="s">
        <v>4</v>
      </c>
      <c r="AS125" s="14">
        <v>0</v>
      </c>
      <c r="AT125" s="14">
        <v>0</v>
      </c>
      <c r="AU125" s="14">
        <v>0</v>
      </c>
      <c r="AV125" s="14">
        <v>0</v>
      </c>
      <c r="AW125" s="14"/>
      <c r="AX125" s="14"/>
      <c r="AY125" s="14"/>
      <c r="AZ125" s="14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</row>
    <row r="126" spans="1:66" s="2" customFormat="1" ht="12" customHeight="1" x14ac:dyDescent="0.25">
      <c r="A126" s="9">
        <f t="shared" si="1"/>
        <v>1</v>
      </c>
      <c r="B126" s="6"/>
      <c r="C126" s="6"/>
      <c r="D126" s="24"/>
      <c r="E126" s="12" t="s">
        <v>38</v>
      </c>
      <c r="F126" s="25">
        <v>0</v>
      </c>
      <c r="G126" s="12" t="s">
        <v>396</v>
      </c>
      <c r="H126" s="12">
        <v>0</v>
      </c>
      <c r="I126" s="12">
        <v>0</v>
      </c>
      <c r="J126" s="12">
        <v>0</v>
      </c>
      <c r="K126" s="12">
        <v>0</v>
      </c>
      <c r="L126" s="13">
        <v>0</v>
      </c>
      <c r="M126" s="13">
        <v>0</v>
      </c>
      <c r="N126" s="12">
        <v>0</v>
      </c>
      <c r="O126" s="12">
        <v>0</v>
      </c>
      <c r="P126" s="12">
        <v>0</v>
      </c>
      <c r="Q126" s="14">
        <v>0</v>
      </c>
      <c r="R126" s="15">
        <v>128042.95499999999</v>
      </c>
      <c r="S126" s="16">
        <v>128042.95499999999</v>
      </c>
      <c r="T126" s="15">
        <v>35023.5</v>
      </c>
      <c r="U126" s="16">
        <v>0</v>
      </c>
      <c r="V126" s="15">
        <v>76318.2</v>
      </c>
      <c r="W126" s="16">
        <v>0</v>
      </c>
      <c r="X126" s="15">
        <v>0</v>
      </c>
      <c r="Y126" s="16">
        <v>0</v>
      </c>
      <c r="Z126" s="15">
        <v>0</v>
      </c>
      <c r="AA126" s="16">
        <v>0</v>
      </c>
      <c r="AB126" s="15">
        <v>16701.254999999997</v>
      </c>
      <c r="AC126" s="16">
        <v>0</v>
      </c>
      <c r="AD126" s="15">
        <v>0</v>
      </c>
      <c r="AE126" s="16">
        <v>0</v>
      </c>
      <c r="AF126" s="15">
        <v>0</v>
      </c>
      <c r="AG126" s="16">
        <v>0</v>
      </c>
      <c r="AH126" s="15">
        <v>0</v>
      </c>
      <c r="AI126" s="15" t="s">
        <v>397</v>
      </c>
      <c r="AJ126" s="14">
        <v>0.53126157407407404</v>
      </c>
      <c r="AK126" s="17">
        <v>43411</v>
      </c>
      <c r="AL126" s="18" t="s">
        <v>291</v>
      </c>
      <c r="AM126" s="14" t="s">
        <v>292</v>
      </c>
      <c r="AN126" s="14" t="s">
        <v>36</v>
      </c>
      <c r="AO126" s="14" t="s">
        <v>398</v>
      </c>
      <c r="AP126" s="14" t="s">
        <v>37</v>
      </c>
      <c r="AQ126" s="14" t="s">
        <v>184</v>
      </c>
      <c r="AR126" s="14" t="s">
        <v>4</v>
      </c>
      <c r="AS126" s="14">
        <v>0</v>
      </c>
      <c r="AT126" s="14">
        <v>0</v>
      </c>
      <c r="AU126" s="14">
        <v>0</v>
      </c>
      <c r="AV126" s="14">
        <v>0</v>
      </c>
      <c r="AW126" s="14"/>
      <c r="AX126" s="14"/>
      <c r="AY126" s="14"/>
      <c r="AZ126" s="14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</row>
    <row r="127" spans="1:66" s="2" customFormat="1" ht="12" customHeight="1" x14ac:dyDescent="0.25">
      <c r="A127" s="9">
        <f t="shared" si="1"/>
        <v>1</v>
      </c>
      <c r="B127" s="6"/>
      <c r="C127" s="6"/>
      <c r="D127" s="24"/>
      <c r="E127" s="12" t="s">
        <v>38</v>
      </c>
      <c r="F127" s="25">
        <v>0</v>
      </c>
      <c r="G127" s="12" t="s">
        <v>399</v>
      </c>
      <c r="H127" s="12">
        <v>0</v>
      </c>
      <c r="I127" s="12">
        <v>0</v>
      </c>
      <c r="J127" s="12">
        <v>0</v>
      </c>
      <c r="K127" s="12">
        <v>0</v>
      </c>
      <c r="L127" s="13">
        <v>0</v>
      </c>
      <c r="M127" s="13">
        <v>0</v>
      </c>
      <c r="N127" s="12">
        <v>0</v>
      </c>
      <c r="O127" s="12">
        <v>0</v>
      </c>
      <c r="P127" s="12">
        <v>0</v>
      </c>
      <c r="Q127" s="14">
        <v>0</v>
      </c>
      <c r="R127" s="15">
        <v>7664433.1634999989</v>
      </c>
      <c r="S127" s="16">
        <v>7664433.1634999989</v>
      </c>
      <c r="T127" s="15">
        <v>3265412.6</v>
      </c>
      <c r="U127" s="16">
        <v>0</v>
      </c>
      <c r="V127" s="15">
        <v>2200000</v>
      </c>
      <c r="W127" s="16">
        <v>0</v>
      </c>
      <c r="X127" s="15">
        <v>869311.8899999999</v>
      </c>
      <c r="Y127" s="16">
        <v>0</v>
      </c>
      <c r="Z127" s="15">
        <v>330000</v>
      </c>
      <c r="AA127" s="16">
        <v>0</v>
      </c>
      <c r="AB127" s="15">
        <v>999708.6734999998</v>
      </c>
      <c r="AC127" s="16">
        <v>0</v>
      </c>
      <c r="AD127" s="15">
        <v>0</v>
      </c>
      <c r="AE127" s="16">
        <v>0</v>
      </c>
      <c r="AF127" s="15">
        <v>0</v>
      </c>
      <c r="AG127" s="16">
        <v>0</v>
      </c>
      <c r="AH127" s="15">
        <v>0</v>
      </c>
      <c r="AI127" s="15" t="s">
        <v>400</v>
      </c>
      <c r="AJ127" s="14">
        <v>0.43714120370370368</v>
      </c>
      <c r="AK127" s="17">
        <v>43425</v>
      </c>
      <c r="AL127" s="18" t="s">
        <v>291</v>
      </c>
      <c r="AM127" s="14" t="s">
        <v>292</v>
      </c>
      <c r="AN127" s="14" t="s">
        <v>36</v>
      </c>
      <c r="AO127" s="14" t="s">
        <v>401</v>
      </c>
      <c r="AP127" s="14" t="s">
        <v>37</v>
      </c>
      <c r="AQ127" s="14" t="s">
        <v>184</v>
      </c>
      <c r="AR127" s="14" t="s">
        <v>4</v>
      </c>
      <c r="AS127" s="14">
        <v>0</v>
      </c>
      <c r="AT127" s="14">
        <v>0</v>
      </c>
      <c r="AU127" s="14">
        <v>0</v>
      </c>
      <c r="AV127" s="14">
        <v>0</v>
      </c>
      <c r="AW127" s="14"/>
      <c r="AX127" s="14"/>
      <c r="AY127" s="14"/>
      <c r="AZ127" s="14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  <c r="BM127" s="11"/>
      <c r="BN127" s="11"/>
    </row>
    <row r="128" spans="1:66" s="2" customFormat="1" ht="12" customHeight="1" x14ac:dyDescent="0.25">
      <c r="A128" s="9">
        <f t="shared" si="1"/>
        <v>1</v>
      </c>
      <c r="B128" s="6"/>
      <c r="C128" s="6"/>
      <c r="D128" s="24"/>
      <c r="E128" s="12" t="s">
        <v>38</v>
      </c>
      <c r="F128" s="25">
        <v>0</v>
      </c>
      <c r="G128" s="12" t="s">
        <v>402</v>
      </c>
      <c r="H128" s="12">
        <v>0</v>
      </c>
      <c r="I128" s="12">
        <v>0</v>
      </c>
      <c r="J128" s="12">
        <v>0</v>
      </c>
      <c r="K128" s="12">
        <v>0</v>
      </c>
      <c r="L128" s="13">
        <v>0</v>
      </c>
      <c r="M128" s="13">
        <v>0</v>
      </c>
      <c r="N128" s="12">
        <v>0</v>
      </c>
      <c r="O128" s="12">
        <v>0</v>
      </c>
      <c r="P128" s="12">
        <v>0</v>
      </c>
      <c r="Q128" s="14">
        <v>0</v>
      </c>
      <c r="R128" s="15">
        <v>642550.86432000005</v>
      </c>
      <c r="S128" s="16">
        <v>642550.86432000005</v>
      </c>
      <c r="T128" s="15">
        <v>268345</v>
      </c>
      <c r="U128" s="16">
        <v>0</v>
      </c>
      <c r="V128" s="15">
        <v>261610</v>
      </c>
      <c r="W128" s="16">
        <v>0</v>
      </c>
      <c r="X128" s="15">
        <v>44070.704000000005</v>
      </c>
      <c r="Y128" s="16">
        <v>0</v>
      </c>
      <c r="Z128" s="15">
        <v>20928.8</v>
      </c>
      <c r="AA128" s="16">
        <v>0</v>
      </c>
      <c r="AB128" s="15">
        <v>47596.360320000007</v>
      </c>
      <c r="AC128" s="16">
        <v>0</v>
      </c>
      <c r="AD128" s="15">
        <v>0</v>
      </c>
      <c r="AE128" s="16">
        <v>0</v>
      </c>
      <c r="AF128" s="15">
        <v>0</v>
      </c>
      <c r="AG128" s="16">
        <v>0</v>
      </c>
      <c r="AH128" s="15">
        <v>0</v>
      </c>
      <c r="AI128" s="15" t="s">
        <v>403</v>
      </c>
      <c r="AJ128" s="14">
        <v>0.44791666666666669</v>
      </c>
      <c r="AK128" s="17">
        <v>43453</v>
      </c>
      <c r="AL128" s="18" t="s">
        <v>291</v>
      </c>
      <c r="AM128" s="14" t="s">
        <v>292</v>
      </c>
      <c r="AN128" s="14" t="s">
        <v>36</v>
      </c>
      <c r="AO128" s="14" t="s">
        <v>404</v>
      </c>
      <c r="AP128" s="14" t="s">
        <v>37</v>
      </c>
      <c r="AQ128" s="14" t="s">
        <v>184</v>
      </c>
      <c r="AR128" s="14" t="s">
        <v>4</v>
      </c>
      <c r="AS128" s="14">
        <v>0</v>
      </c>
      <c r="AT128" s="14">
        <v>0</v>
      </c>
      <c r="AU128" s="14">
        <v>0</v>
      </c>
      <c r="AV128" s="14">
        <v>0</v>
      </c>
      <c r="AW128" s="14"/>
      <c r="AX128" s="14"/>
      <c r="AY128" s="14"/>
      <c r="AZ128" s="14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  <c r="BM128" s="11"/>
      <c r="BN128" s="11"/>
    </row>
    <row r="129" spans="1:66" s="2" customFormat="1" ht="12" customHeight="1" x14ac:dyDescent="0.25">
      <c r="A129" s="9">
        <f t="shared" si="1"/>
        <v>1</v>
      </c>
      <c r="B129" s="6"/>
      <c r="C129" s="6"/>
      <c r="D129" s="24"/>
      <c r="E129" s="12" t="s">
        <v>38</v>
      </c>
      <c r="F129" s="25">
        <v>0</v>
      </c>
      <c r="G129" s="12" t="s">
        <v>405</v>
      </c>
      <c r="H129" s="12">
        <v>0</v>
      </c>
      <c r="I129" s="12">
        <v>0</v>
      </c>
      <c r="J129" s="12">
        <v>0</v>
      </c>
      <c r="K129" s="12">
        <v>0</v>
      </c>
      <c r="L129" s="13">
        <v>0</v>
      </c>
      <c r="M129" s="13">
        <v>0</v>
      </c>
      <c r="N129" s="12">
        <v>0</v>
      </c>
      <c r="O129" s="12">
        <v>0</v>
      </c>
      <c r="P129" s="12">
        <v>0</v>
      </c>
      <c r="Q129" s="14">
        <v>0</v>
      </c>
      <c r="R129" s="15">
        <v>9508</v>
      </c>
      <c r="S129" s="16">
        <v>9508</v>
      </c>
      <c r="T129" s="15">
        <v>6588</v>
      </c>
      <c r="U129" s="16">
        <v>0</v>
      </c>
      <c r="V129" s="15">
        <v>2920</v>
      </c>
      <c r="W129" s="16">
        <v>0</v>
      </c>
      <c r="X129" s="15">
        <v>0</v>
      </c>
      <c r="Y129" s="16">
        <v>0</v>
      </c>
      <c r="Z129" s="15">
        <v>0</v>
      </c>
      <c r="AA129" s="16">
        <v>0</v>
      </c>
      <c r="AB129" s="15">
        <v>0</v>
      </c>
      <c r="AC129" s="16">
        <v>0</v>
      </c>
      <c r="AD129" s="15">
        <v>0</v>
      </c>
      <c r="AE129" s="16">
        <v>0</v>
      </c>
      <c r="AF129" s="15">
        <v>0</v>
      </c>
      <c r="AG129" s="16">
        <v>0</v>
      </c>
      <c r="AH129" s="15">
        <v>0</v>
      </c>
      <c r="AI129" s="15" t="s">
        <v>406</v>
      </c>
      <c r="AJ129" s="14">
        <v>0.70785879629629633</v>
      </c>
      <c r="AK129" s="17">
        <v>43424</v>
      </c>
      <c r="AL129" s="18" t="s">
        <v>291</v>
      </c>
      <c r="AM129" s="14" t="s">
        <v>292</v>
      </c>
      <c r="AN129" s="14" t="s">
        <v>36</v>
      </c>
      <c r="AO129" s="14" t="s">
        <v>407</v>
      </c>
      <c r="AP129" s="14" t="s">
        <v>37</v>
      </c>
      <c r="AQ129" s="14" t="s">
        <v>184</v>
      </c>
      <c r="AR129" s="14" t="s">
        <v>4</v>
      </c>
      <c r="AS129" s="14">
        <v>0</v>
      </c>
      <c r="AT129" s="14">
        <v>0</v>
      </c>
      <c r="AU129" s="14">
        <v>0</v>
      </c>
      <c r="AV129" s="14">
        <v>0</v>
      </c>
      <c r="AW129" s="14"/>
      <c r="AX129" s="14"/>
      <c r="AY129" s="14"/>
      <c r="AZ129" s="14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  <c r="BM129" s="11"/>
      <c r="BN129" s="11"/>
    </row>
    <row r="130" spans="1:66" s="2" customFormat="1" ht="12" customHeight="1" x14ac:dyDescent="0.25">
      <c r="A130" s="9">
        <f t="shared" si="1"/>
        <v>1</v>
      </c>
      <c r="B130" s="6"/>
      <c r="C130" s="6"/>
      <c r="D130" s="24"/>
      <c r="E130" s="12" t="s">
        <v>38</v>
      </c>
      <c r="F130" s="25">
        <v>0</v>
      </c>
      <c r="G130" s="12" t="s">
        <v>408</v>
      </c>
      <c r="H130" s="12">
        <v>0</v>
      </c>
      <c r="I130" s="12">
        <v>0</v>
      </c>
      <c r="J130" s="12">
        <v>0</v>
      </c>
      <c r="K130" s="12">
        <v>0</v>
      </c>
      <c r="L130" s="13">
        <v>0</v>
      </c>
      <c r="M130" s="13">
        <v>0</v>
      </c>
      <c r="N130" s="12">
        <v>0</v>
      </c>
      <c r="O130" s="12">
        <v>0</v>
      </c>
      <c r="P130" s="12">
        <v>0</v>
      </c>
      <c r="Q130" s="14">
        <v>0</v>
      </c>
      <c r="R130" s="15">
        <v>138915.28</v>
      </c>
      <c r="S130" s="16">
        <v>138915.28</v>
      </c>
      <c r="T130" s="15">
        <v>61555.28</v>
      </c>
      <c r="U130" s="16">
        <v>0</v>
      </c>
      <c r="V130" s="15">
        <v>77360</v>
      </c>
      <c r="W130" s="16">
        <v>0</v>
      </c>
      <c r="X130" s="15">
        <v>0</v>
      </c>
      <c r="Y130" s="16">
        <v>0</v>
      </c>
      <c r="Z130" s="15">
        <v>0</v>
      </c>
      <c r="AA130" s="16">
        <v>0</v>
      </c>
      <c r="AB130" s="15">
        <v>0</v>
      </c>
      <c r="AC130" s="16">
        <v>0</v>
      </c>
      <c r="AD130" s="15">
        <v>0</v>
      </c>
      <c r="AE130" s="16">
        <v>0</v>
      </c>
      <c r="AF130" s="15">
        <v>0</v>
      </c>
      <c r="AG130" s="16">
        <v>0</v>
      </c>
      <c r="AH130" s="15">
        <v>0</v>
      </c>
      <c r="AI130" s="15" t="s">
        <v>409</v>
      </c>
      <c r="AJ130" s="14">
        <v>0.69997685185185177</v>
      </c>
      <c r="AK130" s="17">
        <v>43425</v>
      </c>
      <c r="AL130" s="18" t="s">
        <v>40</v>
      </c>
      <c r="AM130" s="14" t="s">
        <v>410</v>
      </c>
      <c r="AN130" s="14" t="s">
        <v>36</v>
      </c>
      <c r="AO130" s="14" t="s">
        <v>411</v>
      </c>
      <c r="AP130" s="14" t="s">
        <v>37</v>
      </c>
      <c r="AQ130" s="14" t="s">
        <v>184</v>
      </c>
      <c r="AR130" s="14" t="s">
        <v>4</v>
      </c>
      <c r="AS130" s="14">
        <v>0</v>
      </c>
      <c r="AT130" s="14">
        <v>0</v>
      </c>
      <c r="AU130" s="14">
        <v>0</v>
      </c>
      <c r="AV130" s="14">
        <v>0</v>
      </c>
      <c r="AW130" s="14"/>
      <c r="AX130" s="14"/>
      <c r="AY130" s="14"/>
      <c r="AZ130" s="14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  <c r="BM130" s="11"/>
      <c r="BN130" s="11"/>
    </row>
    <row r="131" spans="1:66" s="2" customFormat="1" ht="12" customHeight="1" x14ac:dyDescent="0.25">
      <c r="A131" s="9">
        <f t="shared" si="1"/>
        <v>1</v>
      </c>
      <c r="B131" s="6"/>
      <c r="C131" s="6"/>
      <c r="D131" s="24"/>
      <c r="E131" s="12" t="s">
        <v>38</v>
      </c>
      <c r="F131" s="25">
        <v>0</v>
      </c>
      <c r="G131" s="12" t="s">
        <v>412</v>
      </c>
      <c r="H131" s="12">
        <v>0</v>
      </c>
      <c r="I131" s="12">
        <v>0</v>
      </c>
      <c r="J131" s="12">
        <v>0</v>
      </c>
      <c r="K131" s="12">
        <v>0</v>
      </c>
      <c r="L131" s="13">
        <v>0</v>
      </c>
      <c r="M131" s="13">
        <v>0</v>
      </c>
      <c r="N131" s="12">
        <v>0</v>
      </c>
      <c r="O131" s="12">
        <v>0</v>
      </c>
      <c r="P131" s="12">
        <v>0</v>
      </c>
      <c r="Q131" s="14">
        <v>0</v>
      </c>
      <c r="R131" s="15">
        <v>0</v>
      </c>
      <c r="S131" s="16">
        <v>0</v>
      </c>
      <c r="T131" s="15">
        <v>0</v>
      </c>
      <c r="U131" s="16">
        <v>0</v>
      </c>
      <c r="V131" s="15">
        <v>0</v>
      </c>
      <c r="W131" s="16">
        <v>0</v>
      </c>
      <c r="X131" s="15">
        <v>0</v>
      </c>
      <c r="Y131" s="16">
        <v>0</v>
      </c>
      <c r="Z131" s="15">
        <v>0</v>
      </c>
      <c r="AA131" s="16">
        <v>0</v>
      </c>
      <c r="AB131" s="15">
        <v>0</v>
      </c>
      <c r="AC131" s="16">
        <v>0</v>
      </c>
      <c r="AD131" s="15">
        <v>0</v>
      </c>
      <c r="AE131" s="16">
        <v>0</v>
      </c>
      <c r="AF131" s="15">
        <v>0</v>
      </c>
      <c r="AG131" s="16">
        <v>0</v>
      </c>
      <c r="AH131" s="15">
        <v>0</v>
      </c>
      <c r="AI131" s="15" t="s">
        <v>413</v>
      </c>
      <c r="AJ131" s="14">
        <v>0.58825231481481477</v>
      </c>
      <c r="AK131" s="17">
        <v>43432</v>
      </c>
      <c r="AL131" s="18" t="s">
        <v>40</v>
      </c>
      <c r="AM131" s="14" t="s">
        <v>410</v>
      </c>
      <c r="AN131" s="14" t="s">
        <v>36</v>
      </c>
      <c r="AO131" s="14" t="s">
        <v>414</v>
      </c>
      <c r="AP131" s="14" t="s">
        <v>37</v>
      </c>
      <c r="AQ131" s="14" t="s">
        <v>184</v>
      </c>
      <c r="AR131" s="14" t="s">
        <v>4</v>
      </c>
      <c r="AS131" s="14">
        <v>0</v>
      </c>
      <c r="AT131" s="14">
        <v>0</v>
      </c>
      <c r="AU131" s="14">
        <v>0</v>
      </c>
      <c r="AV131" s="14">
        <v>0</v>
      </c>
      <c r="AW131" s="14"/>
      <c r="AX131" s="14"/>
      <c r="AY131" s="14"/>
      <c r="AZ131" s="14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  <c r="BM131" s="11"/>
      <c r="BN131" s="11"/>
    </row>
    <row r="132" spans="1:66" s="2" customFormat="1" ht="12" customHeight="1" x14ac:dyDescent="0.25">
      <c r="A132" s="9">
        <f t="shared" si="1"/>
        <v>1</v>
      </c>
      <c r="B132" s="6"/>
      <c r="C132" s="6"/>
      <c r="D132" s="24"/>
      <c r="E132" s="12" t="s">
        <v>38</v>
      </c>
      <c r="F132" s="25">
        <v>0</v>
      </c>
      <c r="G132" s="12" t="s">
        <v>415</v>
      </c>
      <c r="H132" s="12">
        <v>0</v>
      </c>
      <c r="I132" s="12">
        <v>0</v>
      </c>
      <c r="J132" s="12">
        <v>0</v>
      </c>
      <c r="K132" s="12">
        <v>0</v>
      </c>
      <c r="L132" s="13">
        <v>0</v>
      </c>
      <c r="M132" s="13">
        <v>0</v>
      </c>
      <c r="N132" s="12">
        <v>0</v>
      </c>
      <c r="O132" s="12">
        <v>0</v>
      </c>
      <c r="P132" s="12">
        <v>0</v>
      </c>
      <c r="Q132" s="14">
        <v>0</v>
      </c>
      <c r="R132" s="15">
        <v>24227.829999999998</v>
      </c>
      <c r="S132" s="16">
        <v>24227.829999999998</v>
      </c>
      <c r="T132" s="15">
        <v>11058</v>
      </c>
      <c r="U132" s="16">
        <v>0</v>
      </c>
      <c r="V132" s="15">
        <v>8150</v>
      </c>
      <c r="W132" s="16">
        <v>0</v>
      </c>
      <c r="X132" s="15">
        <v>2002.3000000000002</v>
      </c>
      <c r="Y132" s="16">
        <v>0</v>
      </c>
      <c r="Z132" s="15">
        <v>815</v>
      </c>
      <c r="AA132" s="16">
        <v>0</v>
      </c>
      <c r="AB132" s="15">
        <v>2202.5300000000002</v>
      </c>
      <c r="AC132" s="16">
        <v>0</v>
      </c>
      <c r="AD132" s="15">
        <v>0</v>
      </c>
      <c r="AE132" s="16">
        <v>0</v>
      </c>
      <c r="AF132" s="15">
        <v>0</v>
      </c>
      <c r="AG132" s="16">
        <v>0</v>
      </c>
      <c r="AH132" s="15">
        <v>0</v>
      </c>
      <c r="AI132" s="15" t="s">
        <v>416</v>
      </c>
      <c r="AJ132" s="14">
        <v>0.60912037037037037</v>
      </c>
      <c r="AK132" s="17">
        <v>43432</v>
      </c>
      <c r="AL132" s="18" t="s">
        <v>291</v>
      </c>
      <c r="AM132" s="14" t="s">
        <v>292</v>
      </c>
      <c r="AN132" s="14" t="s">
        <v>36</v>
      </c>
      <c r="AO132" s="14" t="s">
        <v>417</v>
      </c>
      <c r="AP132" s="14" t="s">
        <v>37</v>
      </c>
      <c r="AQ132" s="14" t="s">
        <v>184</v>
      </c>
      <c r="AR132" s="14" t="s">
        <v>4</v>
      </c>
      <c r="AS132" s="14">
        <v>0</v>
      </c>
      <c r="AT132" s="14">
        <v>0</v>
      </c>
      <c r="AU132" s="14">
        <v>0</v>
      </c>
      <c r="AV132" s="14">
        <v>0</v>
      </c>
      <c r="AW132" s="14"/>
      <c r="AX132" s="14"/>
      <c r="AY132" s="14"/>
      <c r="AZ132" s="14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  <c r="BM132" s="11"/>
      <c r="BN132" s="11"/>
    </row>
    <row r="133" spans="1:66" s="2" customFormat="1" ht="12" customHeight="1" x14ac:dyDescent="0.25">
      <c r="A133" s="9">
        <f t="shared" si="1"/>
        <v>1</v>
      </c>
      <c r="B133" s="6"/>
      <c r="C133" s="6"/>
      <c r="D133" s="24"/>
      <c r="E133" s="12" t="s">
        <v>38</v>
      </c>
      <c r="F133" s="25">
        <v>0</v>
      </c>
      <c r="G133" s="12" t="s">
        <v>418</v>
      </c>
      <c r="H133" s="12">
        <v>0</v>
      </c>
      <c r="I133" s="12">
        <v>0</v>
      </c>
      <c r="J133" s="12">
        <v>0</v>
      </c>
      <c r="K133" s="12">
        <v>0</v>
      </c>
      <c r="L133" s="13">
        <v>0</v>
      </c>
      <c r="M133" s="13">
        <v>0</v>
      </c>
      <c r="N133" s="12">
        <v>0</v>
      </c>
      <c r="O133" s="12">
        <v>0</v>
      </c>
      <c r="P133" s="12">
        <v>0</v>
      </c>
      <c r="Q133" s="14">
        <v>0</v>
      </c>
      <c r="R133" s="15">
        <v>285747.86999999994</v>
      </c>
      <c r="S133" s="16">
        <v>285747.86999999994</v>
      </c>
      <c r="T133" s="15">
        <v>285747.86999999994</v>
      </c>
      <c r="U133" s="16">
        <v>0</v>
      </c>
      <c r="V133" s="15">
        <v>0</v>
      </c>
      <c r="W133" s="16">
        <v>0</v>
      </c>
      <c r="X133" s="15">
        <v>0</v>
      </c>
      <c r="Y133" s="16">
        <v>0</v>
      </c>
      <c r="Z133" s="15">
        <v>0</v>
      </c>
      <c r="AA133" s="16">
        <v>0</v>
      </c>
      <c r="AB133" s="15">
        <v>0</v>
      </c>
      <c r="AC133" s="16">
        <v>0</v>
      </c>
      <c r="AD133" s="15">
        <v>0</v>
      </c>
      <c r="AE133" s="16">
        <v>0</v>
      </c>
      <c r="AF133" s="15">
        <v>0</v>
      </c>
      <c r="AG133" s="16">
        <v>0</v>
      </c>
      <c r="AH133" s="15">
        <v>0</v>
      </c>
      <c r="AI133" s="15" t="s">
        <v>419</v>
      </c>
      <c r="AJ133" s="14">
        <v>0.5605324074074074</v>
      </c>
      <c r="AK133" s="17">
        <v>43455</v>
      </c>
      <c r="AL133" s="18" t="s">
        <v>291</v>
      </c>
      <c r="AM133" s="14" t="s">
        <v>292</v>
      </c>
      <c r="AN133" s="14" t="s">
        <v>36</v>
      </c>
      <c r="AO133" s="14" t="s">
        <v>420</v>
      </c>
      <c r="AP133" s="14" t="s">
        <v>37</v>
      </c>
      <c r="AQ133" s="14" t="s">
        <v>184</v>
      </c>
      <c r="AR133" s="14" t="s">
        <v>4</v>
      </c>
      <c r="AS133" s="14">
        <v>0</v>
      </c>
      <c r="AT133" s="14">
        <v>0</v>
      </c>
      <c r="AU133" s="14">
        <v>0</v>
      </c>
      <c r="AV133" s="14">
        <v>0</v>
      </c>
      <c r="AW133" s="14"/>
      <c r="AX133" s="14"/>
      <c r="AY133" s="14"/>
      <c r="AZ133" s="14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  <c r="BM133" s="11"/>
      <c r="BN133" s="11"/>
    </row>
    <row r="134" spans="1:66" s="2" customFormat="1" ht="12" customHeight="1" x14ac:dyDescent="0.25">
      <c r="A134" s="9">
        <f t="shared" si="1"/>
        <v>1</v>
      </c>
      <c r="B134" s="6"/>
      <c r="C134" s="6"/>
      <c r="D134" s="24"/>
      <c r="E134" s="12" t="s">
        <v>38</v>
      </c>
      <c r="F134" s="25">
        <v>0</v>
      </c>
      <c r="G134" s="12" t="s">
        <v>421</v>
      </c>
      <c r="H134" s="12">
        <v>0</v>
      </c>
      <c r="I134" s="12">
        <v>0</v>
      </c>
      <c r="J134" s="12">
        <v>0</v>
      </c>
      <c r="K134" s="12">
        <v>0</v>
      </c>
      <c r="L134" s="13">
        <v>0</v>
      </c>
      <c r="M134" s="13">
        <v>0</v>
      </c>
      <c r="N134" s="12">
        <v>0</v>
      </c>
      <c r="O134" s="12">
        <v>0</v>
      </c>
      <c r="P134" s="12">
        <v>0</v>
      </c>
      <c r="Q134" s="14">
        <v>0</v>
      </c>
      <c r="R134" s="15">
        <v>611545.80614399991</v>
      </c>
      <c r="S134" s="16">
        <v>611545.80614399991</v>
      </c>
      <c r="T134" s="15">
        <v>291259.56</v>
      </c>
      <c r="U134" s="16">
        <v>0</v>
      </c>
      <c r="V134" s="15">
        <v>215780</v>
      </c>
      <c r="W134" s="16">
        <v>0</v>
      </c>
      <c r="X134" s="15">
        <v>41944.156799999997</v>
      </c>
      <c r="Y134" s="16">
        <v>0</v>
      </c>
      <c r="Z134" s="15">
        <v>17262.400000000001</v>
      </c>
      <c r="AA134" s="16">
        <v>0</v>
      </c>
      <c r="AB134" s="15">
        <v>45299.689343999999</v>
      </c>
      <c r="AC134" s="16">
        <v>0</v>
      </c>
      <c r="AD134" s="15">
        <v>0</v>
      </c>
      <c r="AE134" s="16">
        <v>0</v>
      </c>
      <c r="AF134" s="15">
        <v>0</v>
      </c>
      <c r="AG134" s="16">
        <v>0</v>
      </c>
      <c r="AH134" s="15">
        <v>0</v>
      </c>
      <c r="AI134" s="15" t="s">
        <v>422</v>
      </c>
      <c r="AJ134" s="14">
        <v>0.4864236111111111</v>
      </c>
      <c r="AK134" s="17">
        <v>43454</v>
      </c>
      <c r="AL134" s="18" t="s">
        <v>291</v>
      </c>
      <c r="AM134" s="14" t="s">
        <v>292</v>
      </c>
      <c r="AN134" s="14" t="s">
        <v>36</v>
      </c>
      <c r="AO134" s="14" t="s">
        <v>423</v>
      </c>
      <c r="AP134" s="14" t="s">
        <v>37</v>
      </c>
      <c r="AQ134" s="14" t="s">
        <v>184</v>
      </c>
      <c r="AR134" s="14" t="s">
        <v>4</v>
      </c>
      <c r="AS134" s="14">
        <v>0</v>
      </c>
      <c r="AT134" s="14">
        <v>0</v>
      </c>
      <c r="AU134" s="14">
        <v>0</v>
      </c>
      <c r="AV134" s="14">
        <v>0</v>
      </c>
      <c r="AW134" s="14"/>
      <c r="AX134" s="14"/>
      <c r="AY134" s="14"/>
      <c r="AZ134" s="14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</row>
    <row r="135" spans="1:66" s="2" customFormat="1" ht="12" customHeight="1" x14ac:dyDescent="0.25">
      <c r="A135" s="9">
        <f t="shared" si="1"/>
        <v>1</v>
      </c>
      <c r="B135" s="6"/>
      <c r="C135" s="6"/>
      <c r="D135" s="24"/>
      <c r="E135" s="12" t="s">
        <v>38</v>
      </c>
      <c r="F135" s="25">
        <v>0</v>
      </c>
      <c r="G135" s="12" t="s">
        <v>424</v>
      </c>
      <c r="H135" s="12">
        <v>0</v>
      </c>
      <c r="I135" s="12">
        <v>0</v>
      </c>
      <c r="J135" s="12">
        <v>0</v>
      </c>
      <c r="K135" s="12">
        <v>0</v>
      </c>
      <c r="L135" s="13">
        <v>0</v>
      </c>
      <c r="M135" s="13">
        <v>0</v>
      </c>
      <c r="N135" s="12">
        <v>0</v>
      </c>
      <c r="O135" s="12">
        <v>0</v>
      </c>
      <c r="P135" s="12">
        <v>0</v>
      </c>
      <c r="Q135" s="14">
        <v>0</v>
      </c>
      <c r="R135" s="15">
        <v>709114.59999999986</v>
      </c>
      <c r="S135" s="16">
        <v>709114.59999999986</v>
      </c>
      <c r="T135" s="15">
        <v>471320.59999999992</v>
      </c>
      <c r="U135" s="16">
        <v>0</v>
      </c>
      <c r="V135" s="15">
        <v>237794</v>
      </c>
      <c r="W135" s="16">
        <v>0</v>
      </c>
      <c r="X135" s="15">
        <v>0</v>
      </c>
      <c r="Y135" s="16">
        <v>0</v>
      </c>
      <c r="Z135" s="15">
        <v>0</v>
      </c>
      <c r="AA135" s="16">
        <v>0</v>
      </c>
      <c r="AB135" s="15">
        <v>0</v>
      </c>
      <c r="AC135" s="16">
        <v>0</v>
      </c>
      <c r="AD135" s="15">
        <v>0</v>
      </c>
      <c r="AE135" s="16">
        <v>0</v>
      </c>
      <c r="AF135" s="15">
        <v>0</v>
      </c>
      <c r="AG135" s="16">
        <v>0</v>
      </c>
      <c r="AH135" s="15">
        <v>0</v>
      </c>
      <c r="AI135" s="15" t="s">
        <v>425</v>
      </c>
      <c r="AJ135" s="14">
        <v>0.38922453703703702</v>
      </c>
      <c r="AK135" s="17">
        <v>43490</v>
      </c>
      <c r="AL135" s="18" t="s">
        <v>40</v>
      </c>
      <c r="AM135" s="14" t="s">
        <v>410</v>
      </c>
      <c r="AN135" s="14" t="s">
        <v>36</v>
      </c>
      <c r="AO135" s="14" t="s">
        <v>426</v>
      </c>
      <c r="AP135" s="14" t="s">
        <v>37</v>
      </c>
      <c r="AQ135" s="14" t="s">
        <v>184</v>
      </c>
      <c r="AR135" s="14" t="s">
        <v>4</v>
      </c>
      <c r="AS135" s="14">
        <v>0</v>
      </c>
      <c r="AT135" s="14">
        <v>0</v>
      </c>
      <c r="AU135" s="14">
        <v>0</v>
      </c>
      <c r="AV135" s="14">
        <v>0</v>
      </c>
      <c r="AW135" s="14"/>
      <c r="AX135" s="14"/>
      <c r="AY135" s="14"/>
      <c r="AZ135" s="14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1"/>
    </row>
    <row r="136" spans="1:66" s="2" customFormat="1" ht="12" customHeight="1" x14ac:dyDescent="0.25">
      <c r="A136" s="9">
        <f t="shared" si="1"/>
        <v>1</v>
      </c>
      <c r="B136" s="6"/>
      <c r="C136" s="6"/>
      <c r="D136" s="24"/>
      <c r="E136" s="12" t="s">
        <v>38</v>
      </c>
      <c r="F136" s="25">
        <v>0</v>
      </c>
      <c r="G136" s="12" t="s">
        <v>427</v>
      </c>
      <c r="H136" s="12">
        <v>0</v>
      </c>
      <c r="I136" s="12">
        <v>0</v>
      </c>
      <c r="J136" s="12">
        <v>0</v>
      </c>
      <c r="K136" s="12">
        <v>0</v>
      </c>
      <c r="L136" s="13">
        <v>0</v>
      </c>
      <c r="M136" s="13">
        <v>0</v>
      </c>
      <c r="N136" s="12">
        <v>0</v>
      </c>
      <c r="O136" s="12">
        <v>0</v>
      </c>
      <c r="P136" s="12">
        <v>0</v>
      </c>
      <c r="Q136" s="14">
        <v>0</v>
      </c>
      <c r="R136" s="15">
        <v>3000883.8229350001</v>
      </c>
      <c r="S136" s="16">
        <v>3000883.8229350001</v>
      </c>
      <c r="T136" s="15">
        <v>1469613</v>
      </c>
      <c r="U136" s="16">
        <v>0</v>
      </c>
      <c r="V136" s="15">
        <v>1076145</v>
      </c>
      <c r="W136" s="16">
        <v>0</v>
      </c>
      <c r="X136" s="15">
        <v>183476.17050000001</v>
      </c>
      <c r="Y136" s="16">
        <v>0</v>
      </c>
      <c r="Z136" s="15">
        <v>75330.150000000009</v>
      </c>
      <c r="AA136" s="16">
        <v>0</v>
      </c>
      <c r="AB136" s="15">
        <v>196319.502435</v>
      </c>
      <c r="AC136" s="16">
        <v>0</v>
      </c>
      <c r="AD136" s="15">
        <v>0</v>
      </c>
      <c r="AE136" s="16">
        <v>0</v>
      </c>
      <c r="AF136" s="15">
        <v>0</v>
      </c>
      <c r="AG136" s="16">
        <v>0</v>
      </c>
      <c r="AH136" s="15">
        <v>0</v>
      </c>
      <c r="AI136" s="15" t="s">
        <v>428</v>
      </c>
      <c r="AJ136" s="14">
        <v>0.66144675925925933</v>
      </c>
      <c r="AK136" s="17">
        <v>43483</v>
      </c>
      <c r="AL136" s="18" t="s">
        <v>291</v>
      </c>
      <c r="AM136" s="14" t="s">
        <v>292</v>
      </c>
      <c r="AN136" s="14" t="s">
        <v>36</v>
      </c>
      <c r="AO136" s="14" t="s">
        <v>429</v>
      </c>
      <c r="AP136" s="14" t="s">
        <v>37</v>
      </c>
      <c r="AQ136" s="14" t="s">
        <v>184</v>
      </c>
      <c r="AR136" s="14" t="s">
        <v>4</v>
      </c>
      <c r="AS136" s="14">
        <v>0</v>
      </c>
      <c r="AT136" s="14">
        <v>0</v>
      </c>
      <c r="AU136" s="14">
        <v>0</v>
      </c>
      <c r="AV136" s="14">
        <v>0</v>
      </c>
      <c r="AW136" s="14"/>
      <c r="AX136" s="14"/>
      <c r="AY136" s="14"/>
      <c r="AZ136" s="14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</row>
    <row r="137" spans="1:66" s="2" customFormat="1" ht="12" customHeight="1" x14ac:dyDescent="0.25">
      <c r="A137" s="9">
        <f t="shared" si="1"/>
        <v>1</v>
      </c>
      <c r="B137" s="6"/>
      <c r="C137" s="6"/>
      <c r="D137" s="24"/>
      <c r="E137" s="12" t="s">
        <v>38</v>
      </c>
      <c r="F137" s="25">
        <v>0</v>
      </c>
      <c r="G137" s="12" t="s">
        <v>430</v>
      </c>
      <c r="H137" s="12">
        <v>0</v>
      </c>
      <c r="I137" s="12">
        <v>0</v>
      </c>
      <c r="J137" s="12">
        <v>0</v>
      </c>
      <c r="K137" s="12">
        <v>0</v>
      </c>
      <c r="L137" s="13">
        <v>0</v>
      </c>
      <c r="M137" s="13">
        <v>0</v>
      </c>
      <c r="N137" s="12">
        <v>0</v>
      </c>
      <c r="O137" s="12">
        <v>0</v>
      </c>
      <c r="P137" s="12">
        <v>0</v>
      </c>
      <c r="Q137" s="14">
        <v>0</v>
      </c>
      <c r="R137" s="15">
        <v>707266.15999999992</v>
      </c>
      <c r="S137" s="16">
        <v>707266.15999999992</v>
      </c>
      <c r="T137" s="15">
        <v>464707.15999999992</v>
      </c>
      <c r="U137" s="16">
        <v>0</v>
      </c>
      <c r="V137" s="15">
        <v>242559</v>
      </c>
      <c r="W137" s="16">
        <v>0</v>
      </c>
      <c r="X137" s="15">
        <v>0</v>
      </c>
      <c r="Y137" s="16">
        <v>0</v>
      </c>
      <c r="Z137" s="15">
        <v>0</v>
      </c>
      <c r="AA137" s="16">
        <v>0</v>
      </c>
      <c r="AB137" s="15">
        <v>0</v>
      </c>
      <c r="AC137" s="16">
        <v>0</v>
      </c>
      <c r="AD137" s="15">
        <v>0</v>
      </c>
      <c r="AE137" s="16">
        <v>0</v>
      </c>
      <c r="AF137" s="15">
        <v>0</v>
      </c>
      <c r="AG137" s="16">
        <v>0</v>
      </c>
      <c r="AH137" s="15">
        <v>0</v>
      </c>
      <c r="AI137" s="15" t="s">
        <v>431</v>
      </c>
      <c r="AJ137" s="14">
        <v>0.39135416666666667</v>
      </c>
      <c r="AK137" s="17">
        <v>43490</v>
      </c>
      <c r="AL137" s="18" t="s">
        <v>40</v>
      </c>
      <c r="AM137" s="14" t="s">
        <v>410</v>
      </c>
      <c r="AN137" s="14" t="s">
        <v>36</v>
      </c>
      <c r="AO137" s="14" t="s">
        <v>432</v>
      </c>
      <c r="AP137" s="14" t="s">
        <v>37</v>
      </c>
      <c r="AQ137" s="14" t="s">
        <v>184</v>
      </c>
      <c r="AR137" s="14" t="s">
        <v>4</v>
      </c>
      <c r="AS137" s="14">
        <v>0</v>
      </c>
      <c r="AT137" s="14">
        <v>0</v>
      </c>
      <c r="AU137" s="14">
        <v>0</v>
      </c>
      <c r="AV137" s="14">
        <v>0</v>
      </c>
      <c r="AW137" s="14"/>
      <c r="AX137" s="14"/>
      <c r="AY137" s="14"/>
      <c r="AZ137" s="14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</row>
    <row r="138" spans="1:66" s="2" customFormat="1" ht="12" customHeight="1" x14ac:dyDescent="0.25">
      <c r="A138" s="9">
        <f t="shared" si="1"/>
        <v>1</v>
      </c>
      <c r="B138" s="6"/>
      <c r="C138" s="6"/>
      <c r="D138" s="24"/>
      <c r="E138" s="12" t="s">
        <v>38</v>
      </c>
      <c r="F138" s="25">
        <v>0</v>
      </c>
      <c r="G138" s="12" t="s">
        <v>433</v>
      </c>
      <c r="H138" s="12">
        <v>0</v>
      </c>
      <c r="I138" s="12">
        <v>0</v>
      </c>
      <c r="J138" s="12">
        <v>0</v>
      </c>
      <c r="K138" s="12">
        <v>0</v>
      </c>
      <c r="L138" s="13">
        <v>0</v>
      </c>
      <c r="M138" s="13">
        <v>0</v>
      </c>
      <c r="N138" s="12">
        <v>0</v>
      </c>
      <c r="O138" s="12">
        <v>0</v>
      </c>
      <c r="P138" s="12">
        <v>0</v>
      </c>
      <c r="Q138" s="14">
        <v>0</v>
      </c>
      <c r="R138" s="15">
        <v>493217.93968500005</v>
      </c>
      <c r="S138" s="16">
        <v>493217.93968500005</v>
      </c>
      <c r="T138" s="15">
        <v>226120.7</v>
      </c>
      <c r="U138" s="16">
        <v>0</v>
      </c>
      <c r="V138" s="15">
        <v>191285</v>
      </c>
      <c r="W138" s="16">
        <v>0</v>
      </c>
      <c r="X138" s="15">
        <v>30155.695500000005</v>
      </c>
      <c r="Y138" s="16">
        <v>0</v>
      </c>
      <c r="Z138" s="15">
        <v>13389.95</v>
      </c>
      <c r="AA138" s="16">
        <v>0</v>
      </c>
      <c r="AB138" s="15">
        <v>32266.594185000005</v>
      </c>
      <c r="AC138" s="16">
        <v>0</v>
      </c>
      <c r="AD138" s="15">
        <v>0</v>
      </c>
      <c r="AE138" s="16">
        <v>0</v>
      </c>
      <c r="AF138" s="15">
        <v>0</v>
      </c>
      <c r="AG138" s="16">
        <v>0</v>
      </c>
      <c r="AH138" s="15">
        <v>0</v>
      </c>
      <c r="AI138" s="15" t="s">
        <v>434</v>
      </c>
      <c r="AJ138" s="14">
        <v>0.55913194444444447</v>
      </c>
      <c r="AK138" s="17">
        <v>43481</v>
      </c>
      <c r="AL138" s="18" t="s">
        <v>291</v>
      </c>
      <c r="AM138" s="14" t="s">
        <v>292</v>
      </c>
      <c r="AN138" s="14" t="s">
        <v>36</v>
      </c>
      <c r="AO138" s="14" t="s">
        <v>435</v>
      </c>
      <c r="AP138" s="14" t="s">
        <v>37</v>
      </c>
      <c r="AQ138" s="14" t="s">
        <v>184</v>
      </c>
      <c r="AR138" s="14" t="s">
        <v>4</v>
      </c>
      <c r="AS138" s="14">
        <v>0</v>
      </c>
      <c r="AT138" s="14">
        <v>0</v>
      </c>
      <c r="AU138" s="14">
        <v>0</v>
      </c>
      <c r="AV138" s="14">
        <v>0</v>
      </c>
      <c r="AW138" s="14"/>
      <c r="AX138" s="14"/>
      <c r="AY138" s="14"/>
      <c r="AZ138" s="14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  <c r="BM138" s="11"/>
      <c r="BN138" s="11"/>
    </row>
    <row r="139" spans="1:66" s="2" customFormat="1" ht="12" customHeight="1" x14ac:dyDescent="0.25">
      <c r="A139" s="9">
        <f t="shared" si="1"/>
        <v>1</v>
      </c>
      <c r="B139" s="6"/>
      <c r="C139" s="6"/>
      <c r="D139" s="24"/>
      <c r="E139" s="12" t="s">
        <v>38</v>
      </c>
      <c r="F139" s="25">
        <v>0</v>
      </c>
      <c r="G139" s="12" t="s">
        <v>436</v>
      </c>
      <c r="H139" s="12">
        <v>0</v>
      </c>
      <c r="I139" s="12">
        <v>0</v>
      </c>
      <c r="J139" s="12">
        <v>0</v>
      </c>
      <c r="K139" s="12">
        <v>0</v>
      </c>
      <c r="L139" s="13">
        <v>0</v>
      </c>
      <c r="M139" s="13">
        <v>0</v>
      </c>
      <c r="N139" s="12">
        <v>0</v>
      </c>
      <c r="O139" s="12">
        <v>0</v>
      </c>
      <c r="P139" s="12">
        <v>0</v>
      </c>
      <c r="Q139" s="14">
        <v>0</v>
      </c>
      <c r="R139" s="15">
        <v>526750.74404999998</v>
      </c>
      <c r="S139" s="16">
        <v>526750.74404999998</v>
      </c>
      <c r="T139" s="15">
        <v>236090.7</v>
      </c>
      <c r="U139" s="16">
        <v>0</v>
      </c>
      <c r="V139" s="15">
        <v>209340</v>
      </c>
      <c r="W139" s="16">
        <v>0</v>
      </c>
      <c r="X139" s="15">
        <v>32205.915000000005</v>
      </c>
      <c r="Y139" s="16">
        <v>0</v>
      </c>
      <c r="Z139" s="15">
        <v>14653.800000000001</v>
      </c>
      <c r="AA139" s="16">
        <v>0</v>
      </c>
      <c r="AB139" s="15">
        <v>34460.32905</v>
      </c>
      <c r="AC139" s="16">
        <v>0</v>
      </c>
      <c r="AD139" s="15">
        <v>0</v>
      </c>
      <c r="AE139" s="16">
        <v>0</v>
      </c>
      <c r="AF139" s="15">
        <v>0</v>
      </c>
      <c r="AG139" s="16">
        <v>0</v>
      </c>
      <c r="AH139" s="15">
        <v>0</v>
      </c>
      <c r="AI139" s="15" t="s">
        <v>437</v>
      </c>
      <c r="AJ139" s="14">
        <v>0.6712731481481482</v>
      </c>
      <c r="AK139" s="17">
        <v>43482</v>
      </c>
      <c r="AL139" s="18" t="s">
        <v>291</v>
      </c>
      <c r="AM139" s="14" t="s">
        <v>292</v>
      </c>
      <c r="AN139" s="14" t="s">
        <v>36</v>
      </c>
      <c r="AO139" s="14" t="s">
        <v>438</v>
      </c>
      <c r="AP139" s="14" t="s">
        <v>37</v>
      </c>
      <c r="AQ139" s="14" t="s">
        <v>184</v>
      </c>
      <c r="AR139" s="14" t="s">
        <v>4</v>
      </c>
      <c r="AS139" s="14">
        <v>0</v>
      </c>
      <c r="AT139" s="14">
        <v>0</v>
      </c>
      <c r="AU139" s="14">
        <v>0</v>
      </c>
      <c r="AV139" s="14">
        <v>0</v>
      </c>
      <c r="AW139" s="14"/>
      <c r="AX139" s="14"/>
      <c r="AY139" s="14"/>
      <c r="AZ139" s="14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  <c r="BM139" s="11"/>
      <c r="BN139" s="11"/>
    </row>
    <row r="140" spans="1:66" s="2" customFormat="1" ht="12" customHeight="1" x14ac:dyDescent="0.25">
      <c r="A140" s="9">
        <f t="shared" ref="A140:A203" si="2">IF(G140&gt;0,1,0)</f>
        <v>1</v>
      </c>
      <c r="B140" s="6"/>
      <c r="C140" s="6"/>
      <c r="D140" s="24"/>
      <c r="E140" s="12" t="s">
        <v>38</v>
      </c>
      <c r="F140" s="25">
        <v>0</v>
      </c>
      <c r="G140" s="12" t="s">
        <v>439</v>
      </c>
      <c r="H140" s="12">
        <v>0</v>
      </c>
      <c r="I140" s="12">
        <v>0</v>
      </c>
      <c r="J140" s="12">
        <v>0</v>
      </c>
      <c r="K140" s="12">
        <v>0</v>
      </c>
      <c r="L140" s="13">
        <v>0</v>
      </c>
      <c r="M140" s="13">
        <v>0</v>
      </c>
      <c r="N140" s="12">
        <v>0</v>
      </c>
      <c r="O140" s="12">
        <v>0</v>
      </c>
      <c r="P140" s="12">
        <v>0</v>
      </c>
      <c r="Q140" s="14">
        <v>0</v>
      </c>
      <c r="R140" s="15">
        <v>445204.03940499999</v>
      </c>
      <c r="S140" s="16">
        <v>445204.03940499999</v>
      </c>
      <c r="T140" s="15">
        <v>198050.7</v>
      </c>
      <c r="U140" s="16">
        <v>0</v>
      </c>
      <c r="V140" s="15">
        <v>178325</v>
      </c>
      <c r="W140" s="16">
        <v>0</v>
      </c>
      <c r="X140" s="15">
        <v>27220.091500000002</v>
      </c>
      <c r="Y140" s="16">
        <v>0</v>
      </c>
      <c r="Z140" s="15">
        <v>12482.750000000002</v>
      </c>
      <c r="AA140" s="16">
        <v>0</v>
      </c>
      <c r="AB140" s="15">
        <v>29125.497905000004</v>
      </c>
      <c r="AC140" s="16">
        <v>0</v>
      </c>
      <c r="AD140" s="15">
        <v>0</v>
      </c>
      <c r="AE140" s="16">
        <v>0</v>
      </c>
      <c r="AF140" s="15">
        <v>0</v>
      </c>
      <c r="AG140" s="16">
        <v>0</v>
      </c>
      <c r="AH140" s="15">
        <v>0</v>
      </c>
      <c r="AI140" s="15" t="s">
        <v>440</v>
      </c>
      <c r="AJ140" s="14">
        <v>0.58069444444444451</v>
      </c>
      <c r="AK140" s="17">
        <v>43481</v>
      </c>
      <c r="AL140" s="18" t="s">
        <v>291</v>
      </c>
      <c r="AM140" s="14" t="s">
        <v>292</v>
      </c>
      <c r="AN140" s="14" t="s">
        <v>36</v>
      </c>
      <c r="AO140" s="14" t="s">
        <v>441</v>
      </c>
      <c r="AP140" s="14" t="s">
        <v>37</v>
      </c>
      <c r="AQ140" s="14" t="s">
        <v>184</v>
      </c>
      <c r="AR140" s="14" t="s">
        <v>4</v>
      </c>
      <c r="AS140" s="14">
        <v>0</v>
      </c>
      <c r="AT140" s="14">
        <v>0</v>
      </c>
      <c r="AU140" s="14">
        <v>0</v>
      </c>
      <c r="AV140" s="14">
        <v>0</v>
      </c>
      <c r="AW140" s="14"/>
      <c r="AX140" s="14"/>
      <c r="AY140" s="14"/>
      <c r="AZ140" s="14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  <c r="BL140" s="11"/>
      <c r="BM140" s="11"/>
      <c r="BN140" s="11"/>
    </row>
    <row r="141" spans="1:66" s="2" customFormat="1" ht="12" customHeight="1" x14ac:dyDescent="0.25">
      <c r="A141" s="9">
        <f t="shared" si="2"/>
        <v>1</v>
      </c>
      <c r="B141" s="6"/>
      <c r="C141" s="6"/>
      <c r="D141" s="24"/>
      <c r="E141" s="12" t="s">
        <v>38</v>
      </c>
      <c r="F141" s="25">
        <v>0</v>
      </c>
      <c r="G141" s="12" t="s">
        <v>442</v>
      </c>
      <c r="H141" s="12">
        <v>0</v>
      </c>
      <c r="I141" s="12">
        <v>0</v>
      </c>
      <c r="J141" s="12">
        <v>0</v>
      </c>
      <c r="K141" s="12">
        <v>0</v>
      </c>
      <c r="L141" s="13">
        <v>0</v>
      </c>
      <c r="M141" s="13">
        <v>0</v>
      </c>
      <c r="N141" s="12">
        <v>0</v>
      </c>
      <c r="O141" s="12">
        <v>0</v>
      </c>
      <c r="P141" s="12">
        <v>0</v>
      </c>
      <c r="Q141" s="14">
        <v>0</v>
      </c>
      <c r="R141" s="15">
        <v>5673309.5</v>
      </c>
      <c r="S141" s="16">
        <v>5673309.5</v>
      </c>
      <c r="T141" s="15">
        <v>3133309.5</v>
      </c>
      <c r="U141" s="16">
        <v>0</v>
      </c>
      <c r="V141" s="15">
        <v>2540000</v>
      </c>
      <c r="W141" s="16">
        <v>0</v>
      </c>
      <c r="X141" s="15">
        <v>0</v>
      </c>
      <c r="Y141" s="16">
        <v>0</v>
      </c>
      <c r="Z141" s="15">
        <v>0</v>
      </c>
      <c r="AA141" s="16">
        <v>0</v>
      </c>
      <c r="AB141" s="15">
        <v>0</v>
      </c>
      <c r="AC141" s="16">
        <v>0</v>
      </c>
      <c r="AD141" s="15">
        <v>0</v>
      </c>
      <c r="AE141" s="16">
        <v>0</v>
      </c>
      <c r="AF141" s="15">
        <v>0</v>
      </c>
      <c r="AG141" s="16">
        <v>0</v>
      </c>
      <c r="AH141" s="15">
        <v>0</v>
      </c>
      <c r="AI141" s="15" t="s">
        <v>443</v>
      </c>
      <c r="AJ141" s="14">
        <v>0.6529166666666667</v>
      </c>
      <c r="AK141" s="17">
        <v>43529</v>
      </c>
      <c r="AL141" s="18" t="s">
        <v>291</v>
      </c>
      <c r="AM141" s="14" t="s">
        <v>292</v>
      </c>
      <c r="AN141" s="14" t="s">
        <v>36</v>
      </c>
      <c r="AO141" s="14" t="s">
        <v>444</v>
      </c>
      <c r="AP141" s="14" t="s">
        <v>37</v>
      </c>
      <c r="AQ141" s="14" t="s">
        <v>184</v>
      </c>
      <c r="AR141" s="14" t="s">
        <v>4</v>
      </c>
      <c r="AS141" s="14">
        <v>0</v>
      </c>
      <c r="AT141" s="14">
        <v>0</v>
      </c>
      <c r="AU141" s="14">
        <v>0</v>
      </c>
      <c r="AV141" s="14">
        <v>0</v>
      </c>
      <c r="AW141" s="14"/>
      <c r="AX141" s="14"/>
      <c r="AY141" s="14"/>
      <c r="AZ141" s="14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  <c r="BL141" s="11"/>
      <c r="BM141" s="11"/>
      <c r="BN141" s="11"/>
    </row>
    <row r="142" spans="1:66" s="2" customFormat="1" ht="12" customHeight="1" x14ac:dyDescent="0.25">
      <c r="A142" s="9">
        <f t="shared" si="2"/>
        <v>1</v>
      </c>
      <c r="B142" s="6"/>
      <c r="C142" s="6"/>
      <c r="D142" s="24"/>
      <c r="E142" s="12" t="s">
        <v>38</v>
      </c>
      <c r="F142" s="25">
        <v>0</v>
      </c>
      <c r="G142" s="12" t="s">
        <v>445</v>
      </c>
      <c r="H142" s="12">
        <v>0</v>
      </c>
      <c r="I142" s="12">
        <v>0</v>
      </c>
      <c r="J142" s="12">
        <v>0</v>
      </c>
      <c r="K142" s="12">
        <v>0</v>
      </c>
      <c r="L142" s="13">
        <v>0</v>
      </c>
      <c r="M142" s="13">
        <v>0</v>
      </c>
      <c r="N142" s="12">
        <v>0</v>
      </c>
      <c r="O142" s="12">
        <v>0</v>
      </c>
      <c r="P142" s="12">
        <v>0</v>
      </c>
      <c r="Q142" s="14">
        <v>0</v>
      </c>
      <c r="R142" s="15">
        <v>3006228.7</v>
      </c>
      <c r="S142" s="16">
        <v>3006228.7</v>
      </c>
      <c r="T142" s="15">
        <v>1516228.7</v>
      </c>
      <c r="U142" s="16">
        <v>0</v>
      </c>
      <c r="V142" s="15">
        <v>1490000</v>
      </c>
      <c r="W142" s="16">
        <v>0</v>
      </c>
      <c r="X142" s="15">
        <v>0</v>
      </c>
      <c r="Y142" s="16">
        <v>0</v>
      </c>
      <c r="Z142" s="15">
        <v>0</v>
      </c>
      <c r="AA142" s="16">
        <v>0</v>
      </c>
      <c r="AB142" s="15">
        <v>0</v>
      </c>
      <c r="AC142" s="16">
        <v>0</v>
      </c>
      <c r="AD142" s="15">
        <v>0</v>
      </c>
      <c r="AE142" s="16">
        <v>0</v>
      </c>
      <c r="AF142" s="15">
        <v>0</v>
      </c>
      <c r="AG142" s="16">
        <v>0</v>
      </c>
      <c r="AH142" s="15">
        <v>0</v>
      </c>
      <c r="AI142" s="15" t="s">
        <v>446</v>
      </c>
      <c r="AJ142" s="14">
        <v>0.56357638888888884</v>
      </c>
      <c r="AK142" s="17">
        <v>43529</v>
      </c>
      <c r="AL142" s="18" t="s">
        <v>291</v>
      </c>
      <c r="AM142" s="14" t="s">
        <v>292</v>
      </c>
      <c r="AN142" s="14" t="s">
        <v>36</v>
      </c>
      <c r="AO142" s="14" t="s">
        <v>447</v>
      </c>
      <c r="AP142" s="14" t="s">
        <v>37</v>
      </c>
      <c r="AQ142" s="14" t="s">
        <v>184</v>
      </c>
      <c r="AR142" s="14" t="s">
        <v>4</v>
      </c>
      <c r="AS142" s="14">
        <v>0</v>
      </c>
      <c r="AT142" s="14">
        <v>0</v>
      </c>
      <c r="AU142" s="14">
        <v>0</v>
      </c>
      <c r="AV142" s="14">
        <v>0</v>
      </c>
      <c r="AW142" s="14"/>
      <c r="AX142" s="14"/>
      <c r="AY142" s="14"/>
      <c r="AZ142" s="14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  <c r="BL142" s="11"/>
      <c r="BM142" s="11"/>
      <c r="BN142" s="11"/>
    </row>
    <row r="143" spans="1:66" s="2" customFormat="1" ht="12" customHeight="1" x14ac:dyDescent="0.25">
      <c r="A143" s="9">
        <f t="shared" si="2"/>
        <v>1</v>
      </c>
      <c r="B143" s="6"/>
      <c r="C143" s="6"/>
      <c r="D143" s="24"/>
      <c r="E143" s="12" t="s">
        <v>38</v>
      </c>
      <c r="F143" s="25">
        <v>0</v>
      </c>
      <c r="G143" s="12" t="s">
        <v>448</v>
      </c>
      <c r="H143" s="12">
        <v>0</v>
      </c>
      <c r="I143" s="12">
        <v>0</v>
      </c>
      <c r="J143" s="12">
        <v>0</v>
      </c>
      <c r="K143" s="12">
        <v>0</v>
      </c>
      <c r="L143" s="13">
        <v>0</v>
      </c>
      <c r="M143" s="13">
        <v>0</v>
      </c>
      <c r="N143" s="12">
        <v>0</v>
      </c>
      <c r="O143" s="12">
        <v>0</v>
      </c>
      <c r="P143" s="12">
        <v>0</v>
      </c>
      <c r="Q143" s="14">
        <v>0</v>
      </c>
      <c r="R143" s="15">
        <v>4059729.8275000001</v>
      </c>
      <c r="S143" s="16">
        <v>4059729.8275000001</v>
      </c>
      <c r="T143" s="15">
        <v>3069739</v>
      </c>
      <c r="U143" s="16">
        <v>0</v>
      </c>
      <c r="V143" s="15">
        <v>0</v>
      </c>
      <c r="W143" s="16">
        <v>0</v>
      </c>
      <c r="X143" s="15">
        <v>460460.85</v>
      </c>
      <c r="Y143" s="16">
        <v>0</v>
      </c>
      <c r="Z143" s="15">
        <v>0</v>
      </c>
      <c r="AA143" s="16">
        <v>0</v>
      </c>
      <c r="AB143" s="15">
        <v>529529.97750000004</v>
      </c>
      <c r="AC143" s="16">
        <v>0</v>
      </c>
      <c r="AD143" s="15">
        <v>0</v>
      </c>
      <c r="AE143" s="16">
        <v>0</v>
      </c>
      <c r="AF143" s="15">
        <v>0</v>
      </c>
      <c r="AG143" s="16">
        <v>0</v>
      </c>
      <c r="AH143" s="15">
        <v>0</v>
      </c>
      <c r="AI143" s="15" t="s">
        <v>449</v>
      </c>
      <c r="AJ143" s="14">
        <v>0.44899305555555552</v>
      </c>
      <c r="AK143" s="17">
        <v>43528</v>
      </c>
      <c r="AL143" s="18" t="s">
        <v>291</v>
      </c>
      <c r="AM143" s="14" t="s">
        <v>292</v>
      </c>
      <c r="AN143" s="14" t="s">
        <v>36</v>
      </c>
      <c r="AO143" s="14" t="s">
        <v>450</v>
      </c>
      <c r="AP143" s="14" t="s">
        <v>37</v>
      </c>
      <c r="AQ143" s="14" t="s">
        <v>184</v>
      </c>
      <c r="AR143" s="14" t="s">
        <v>4</v>
      </c>
      <c r="AS143" s="14">
        <v>0</v>
      </c>
      <c r="AT143" s="14">
        <v>0</v>
      </c>
      <c r="AU143" s="14">
        <v>0</v>
      </c>
      <c r="AV143" s="14">
        <v>0</v>
      </c>
      <c r="AW143" s="14"/>
      <c r="AX143" s="14"/>
      <c r="AY143" s="14"/>
      <c r="AZ143" s="14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  <c r="BL143" s="11"/>
      <c r="BM143" s="11"/>
      <c r="BN143" s="11"/>
    </row>
    <row r="144" spans="1:66" s="2" customFormat="1" ht="12" customHeight="1" x14ac:dyDescent="0.25">
      <c r="A144" s="9">
        <f t="shared" si="2"/>
        <v>1</v>
      </c>
      <c r="B144" s="6"/>
      <c r="C144" s="6"/>
      <c r="D144" s="24"/>
      <c r="E144" s="12" t="s">
        <v>38</v>
      </c>
      <c r="F144" s="25">
        <v>0</v>
      </c>
      <c r="G144" s="12" t="s">
        <v>451</v>
      </c>
      <c r="H144" s="12">
        <v>0</v>
      </c>
      <c r="I144" s="12">
        <v>0</v>
      </c>
      <c r="J144" s="12">
        <v>0</v>
      </c>
      <c r="K144" s="12">
        <v>0</v>
      </c>
      <c r="L144" s="13">
        <v>0</v>
      </c>
      <c r="M144" s="13">
        <v>0</v>
      </c>
      <c r="N144" s="12">
        <v>0</v>
      </c>
      <c r="O144" s="12">
        <v>0</v>
      </c>
      <c r="P144" s="12">
        <v>0</v>
      </c>
      <c r="Q144" s="14">
        <v>0</v>
      </c>
      <c r="R144" s="15">
        <v>405332.15272000001</v>
      </c>
      <c r="S144" s="16">
        <v>405332.15272000001</v>
      </c>
      <c r="T144" s="15">
        <v>226296.2</v>
      </c>
      <c r="U144" s="16">
        <v>0</v>
      </c>
      <c r="V144" s="15">
        <v>119380</v>
      </c>
      <c r="W144" s="16">
        <v>0</v>
      </c>
      <c r="X144" s="15">
        <v>24782.296000000002</v>
      </c>
      <c r="Y144" s="16">
        <v>0</v>
      </c>
      <c r="Z144" s="15">
        <v>8356.6</v>
      </c>
      <c r="AA144" s="16">
        <v>0</v>
      </c>
      <c r="AB144" s="15">
        <v>26517.056720000004</v>
      </c>
      <c r="AC144" s="16">
        <v>0</v>
      </c>
      <c r="AD144" s="15">
        <v>0</v>
      </c>
      <c r="AE144" s="16">
        <v>0</v>
      </c>
      <c r="AF144" s="15">
        <v>0</v>
      </c>
      <c r="AG144" s="16">
        <v>0</v>
      </c>
      <c r="AH144" s="15">
        <v>0</v>
      </c>
      <c r="AI144" s="15" t="s">
        <v>452</v>
      </c>
      <c r="AJ144" s="14">
        <v>0.59472222222222226</v>
      </c>
      <c r="AK144" s="17">
        <v>43504</v>
      </c>
      <c r="AL144" s="18" t="s">
        <v>291</v>
      </c>
      <c r="AM144" s="14" t="s">
        <v>292</v>
      </c>
      <c r="AN144" s="14" t="s">
        <v>36</v>
      </c>
      <c r="AO144" s="14" t="s">
        <v>453</v>
      </c>
      <c r="AP144" s="14" t="s">
        <v>37</v>
      </c>
      <c r="AQ144" s="14" t="s">
        <v>184</v>
      </c>
      <c r="AR144" s="14" t="s">
        <v>4</v>
      </c>
      <c r="AS144" s="14">
        <v>0</v>
      </c>
      <c r="AT144" s="14">
        <v>0</v>
      </c>
      <c r="AU144" s="14">
        <v>0</v>
      </c>
      <c r="AV144" s="14">
        <v>0</v>
      </c>
      <c r="AW144" s="14"/>
      <c r="AX144" s="14"/>
      <c r="AY144" s="14"/>
      <c r="AZ144" s="14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  <c r="BL144" s="11"/>
      <c r="BM144" s="11"/>
      <c r="BN144" s="11"/>
    </row>
    <row r="145" spans="1:66" s="2" customFormat="1" ht="12" customHeight="1" x14ac:dyDescent="0.25">
      <c r="A145" s="9">
        <f t="shared" si="2"/>
        <v>1</v>
      </c>
      <c r="B145" s="6"/>
      <c r="C145" s="6"/>
      <c r="D145" s="24"/>
      <c r="E145" s="12" t="s">
        <v>38</v>
      </c>
      <c r="F145" s="25">
        <v>0</v>
      </c>
      <c r="G145" s="12" t="s">
        <v>454</v>
      </c>
      <c r="H145" s="12">
        <v>0</v>
      </c>
      <c r="I145" s="12">
        <v>0</v>
      </c>
      <c r="J145" s="12">
        <v>0</v>
      </c>
      <c r="K145" s="12">
        <v>0</v>
      </c>
      <c r="L145" s="13">
        <v>0</v>
      </c>
      <c r="M145" s="13">
        <v>0</v>
      </c>
      <c r="N145" s="12">
        <v>0</v>
      </c>
      <c r="O145" s="12">
        <v>0</v>
      </c>
      <c r="P145" s="12">
        <v>0</v>
      </c>
      <c r="Q145" s="14">
        <v>0</v>
      </c>
      <c r="R145" s="15">
        <v>409587.80326500005</v>
      </c>
      <c r="S145" s="16">
        <v>409587.80326500005</v>
      </c>
      <c r="T145" s="15">
        <v>237594.2</v>
      </c>
      <c r="U145" s="16">
        <v>0</v>
      </c>
      <c r="V145" s="15">
        <v>112295</v>
      </c>
      <c r="W145" s="16">
        <v>0</v>
      </c>
      <c r="X145" s="15">
        <v>25042.489500000003</v>
      </c>
      <c r="Y145" s="16">
        <v>0</v>
      </c>
      <c r="Z145" s="15">
        <v>7860.6500000000005</v>
      </c>
      <c r="AA145" s="16">
        <v>0</v>
      </c>
      <c r="AB145" s="15">
        <v>26795.463765000008</v>
      </c>
      <c r="AC145" s="16">
        <v>0</v>
      </c>
      <c r="AD145" s="15">
        <v>0</v>
      </c>
      <c r="AE145" s="16">
        <v>0</v>
      </c>
      <c r="AF145" s="15">
        <v>0</v>
      </c>
      <c r="AG145" s="16">
        <v>0</v>
      </c>
      <c r="AH145" s="15">
        <v>0</v>
      </c>
      <c r="AI145" s="15" t="s">
        <v>455</v>
      </c>
      <c r="AJ145" s="14">
        <v>0.69892361111111112</v>
      </c>
      <c r="AK145" s="17">
        <v>43511</v>
      </c>
      <c r="AL145" s="18" t="s">
        <v>291</v>
      </c>
      <c r="AM145" s="14" t="s">
        <v>292</v>
      </c>
      <c r="AN145" s="14" t="s">
        <v>36</v>
      </c>
      <c r="AO145" s="14" t="s">
        <v>456</v>
      </c>
      <c r="AP145" s="14" t="s">
        <v>37</v>
      </c>
      <c r="AQ145" s="14" t="s">
        <v>184</v>
      </c>
      <c r="AR145" s="14" t="s">
        <v>4</v>
      </c>
      <c r="AS145" s="14">
        <v>0</v>
      </c>
      <c r="AT145" s="14">
        <v>0</v>
      </c>
      <c r="AU145" s="14">
        <v>0</v>
      </c>
      <c r="AV145" s="14">
        <v>0</v>
      </c>
      <c r="AW145" s="14"/>
      <c r="AX145" s="14"/>
      <c r="AY145" s="14"/>
      <c r="AZ145" s="14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  <c r="BL145" s="11"/>
      <c r="BM145" s="11"/>
      <c r="BN145" s="11"/>
    </row>
    <row r="146" spans="1:66" s="2" customFormat="1" ht="12" customHeight="1" x14ac:dyDescent="0.25">
      <c r="A146" s="9">
        <f t="shared" si="2"/>
        <v>1</v>
      </c>
      <c r="B146" s="6"/>
      <c r="C146" s="6"/>
      <c r="D146" s="24"/>
      <c r="E146" s="12" t="s">
        <v>38</v>
      </c>
      <c r="F146" s="25">
        <v>0</v>
      </c>
      <c r="G146" s="12" t="s">
        <v>457</v>
      </c>
      <c r="H146" s="12">
        <v>0</v>
      </c>
      <c r="I146" s="12">
        <v>0</v>
      </c>
      <c r="J146" s="12">
        <v>0</v>
      </c>
      <c r="K146" s="12">
        <v>0</v>
      </c>
      <c r="L146" s="13">
        <v>0</v>
      </c>
      <c r="M146" s="13">
        <v>0</v>
      </c>
      <c r="N146" s="12">
        <v>0</v>
      </c>
      <c r="O146" s="12">
        <v>0</v>
      </c>
      <c r="P146" s="12">
        <v>0</v>
      </c>
      <c r="Q146" s="14">
        <v>0</v>
      </c>
      <c r="R146" s="15">
        <v>2234305.17</v>
      </c>
      <c r="S146" s="16">
        <v>2234305.17</v>
      </c>
      <c r="T146" s="15">
        <v>2234305.17</v>
      </c>
      <c r="U146" s="16">
        <v>0</v>
      </c>
      <c r="V146" s="15">
        <v>0</v>
      </c>
      <c r="W146" s="16">
        <v>0</v>
      </c>
      <c r="X146" s="15">
        <v>0</v>
      </c>
      <c r="Y146" s="16">
        <v>0</v>
      </c>
      <c r="Z146" s="15">
        <v>0</v>
      </c>
      <c r="AA146" s="16">
        <v>0</v>
      </c>
      <c r="AB146" s="15">
        <v>0</v>
      </c>
      <c r="AC146" s="16">
        <v>0</v>
      </c>
      <c r="AD146" s="15">
        <v>0</v>
      </c>
      <c r="AE146" s="16">
        <v>0</v>
      </c>
      <c r="AF146" s="15">
        <v>0</v>
      </c>
      <c r="AG146" s="16">
        <v>0</v>
      </c>
      <c r="AH146" s="15">
        <v>0</v>
      </c>
      <c r="AI146" s="15" t="s">
        <v>458</v>
      </c>
      <c r="AJ146" s="14">
        <v>0.47799768518518521</v>
      </c>
      <c r="AK146" s="17">
        <v>43516</v>
      </c>
      <c r="AL146" s="18" t="s">
        <v>291</v>
      </c>
      <c r="AM146" s="14" t="s">
        <v>292</v>
      </c>
      <c r="AN146" s="14" t="s">
        <v>36</v>
      </c>
      <c r="AO146" s="14" t="s">
        <v>459</v>
      </c>
      <c r="AP146" s="14" t="s">
        <v>37</v>
      </c>
      <c r="AQ146" s="14" t="s">
        <v>184</v>
      </c>
      <c r="AR146" s="14" t="s">
        <v>4</v>
      </c>
      <c r="AS146" s="14">
        <v>0</v>
      </c>
      <c r="AT146" s="14">
        <v>0</v>
      </c>
      <c r="AU146" s="14">
        <v>0</v>
      </c>
      <c r="AV146" s="14">
        <v>0</v>
      </c>
      <c r="AW146" s="14"/>
      <c r="AX146" s="14"/>
      <c r="AY146" s="14"/>
      <c r="AZ146" s="14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  <c r="BL146" s="11"/>
      <c r="BM146" s="11"/>
      <c r="BN146" s="11"/>
    </row>
    <row r="147" spans="1:66" s="2" customFormat="1" ht="12" customHeight="1" x14ac:dyDescent="0.25">
      <c r="A147" s="9">
        <f t="shared" si="2"/>
        <v>1</v>
      </c>
      <c r="B147" s="6"/>
      <c r="C147" s="6"/>
      <c r="D147" s="24"/>
      <c r="E147" s="12" t="s">
        <v>38</v>
      </c>
      <c r="F147" s="25">
        <v>0</v>
      </c>
      <c r="G147" s="12" t="s">
        <v>460</v>
      </c>
      <c r="H147" s="12">
        <v>0</v>
      </c>
      <c r="I147" s="12">
        <v>0</v>
      </c>
      <c r="J147" s="12">
        <v>0</v>
      </c>
      <c r="K147" s="12">
        <v>0</v>
      </c>
      <c r="L147" s="13">
        <v>0</v>
      </c>
      <c r="M147" s="13">
        <v>0</v>
      </c>
      <c r="N147" s="12">
        <v>0</v>
      </c>
      <c r="O147" s="12">
        <v>0</v>
      </c>
      <c r="P147" s="12">
        <v>0</v>
      </c>
      <c r="Q147" s="14">
        <v>0</v>
      </c>
      <c r="R147" s="15">
        <v>596552.20582000003</v>
      </c>
      <c r="S147" s="16">
        <v>596552.20582000003</v>
      </c>
      <c r="T147" s="15">
        <v>309309.5</v>
      </c>
      <c r="U147" s="16">
        <v>0</v>
      </c>
      <c r="V147" s="15">
        <v>197890</v>
      </c>
      <c r="W147" s="16">
        <v>0</v>
      </c>
      <c r="X147" s="15">
        <v>36473.626000000004</v>
      </c>
      <c r="Y147" s="16">
        <v>0</v>
      </c>
      <c r="Z147" s="15">
        <v>13852.300000000001</v>
      </c>
      <c r="AA147" s="16">
        <v>0</v>
      </c>
      <c r="AB147" s="15">
        <v>39026.779820000003</v>
      </c>
      <c r="AC147" s="16">
        <v>0</v>
      </c>
      <c r="AD147" s="15">
        <v>0</v>
      </c>
      <c r="AE147" s="16">
        <v>0</v>
      </c>
      <c r="AF147" s="15">
        <v>0</v>
      </c>
      <c r="AG147" s="16">
        <v>0</v>
      </c>
      <c r="AH147" s="15">
        <v>0</v>
      </c>
      <c r="AI147" s="15" t="s">
        <v>461</v>
      </c>
      <c r="AJ147" s="14">
        <v>0.62249999999999994</v>
      </c>
      <c r="AK147" s="17">
        <v>43514</v>
      </c>
      <c r="AL147" s="18" t="s">
        <v>291</v>
      </c>
      <c r="AM147" s="14" t="s">
        <v>292</v>
      </c>
      <c r="AN147" s="14" t="s">
        <v>36</v>
      </c>
      <c r="AO147" s="14" t="s">
        <v>462</v>
      </c>
      <c r="AP147" s="14" t="s">
        <v>37</v>
      </c>
      <c r="AQ147" s="14" t="s">
        <v>184</v>
      </c>
      <c r="AR147" s="14" t="s">
        <v>4</v>
      </c>
      <c r="AS147" s="14">
        <v>0</v>
      </c>
      <c r="AT147" s="14">
        <v>0</v>
      </c>
      <c r="AU147" s="14">
        <v>0</v>
      </c>
      <c r="AV147" s="14">
        <v>0</v>
      </c>
      <c r="AW147" s="14"/>
      <c r="AX147" s="14"/>
      <c r="AY147" s="14"/>
      <c r="AZ147" s="14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  <c r="BM147" s="11"/>
      <c r="BN147" s="11"/>
    </row>
    <row r="148" spans="1:66" s="2" customFormat="1" ht="12" customHeight="1" x14ac:dyDescent="0.25">
      <c r="A148" s="9">
        <f t="shared" si="2"/>
        <v>1</v>
      </c>
      <c r="B148" s="6"/>
      <c r="C148" s="6"/>
      <c r="D148" s="24"/>
      <c r="E148" s="12" t="s">
        <v>38</v>
      </c>
      <c r="F148" s="25">
        <v>0</v>
      </c>
      <c r="G148" s="12" t="s">
        <v>463</v>
      </c>
      <c r="H148" s="12">
        <v>0</v>
      </c>
      <c r="I148" s="12">
        <v>0</v>
      </c>
      <c r="J148" s="12">
        <v>0</v>
      </c>
      <c r="K148" s="12">
        <v>0</v>
      </c>
      <c r="L148" s="13">
        <v>0</v>
      </c>
      <c r="M148" s="13">
        <v>0</v>
      </c>
      <c r="N148" s="12">
        <v>0</v>
      </c>
      <c r="O148" s="12">
        <v>0</v>
      </c>
      <c r="P148" s="12">
        <v>0</v>
      </c>
      <c r="Q148" s="14">
        <v>0</v>
      </c>
      <c r="R148" s="15">
        <v>612931.31695499993</v>
      </c>
      <c r="S148" s="16">
        <v>612931.31695499993</v>
      </c>
      <c r="T148" s="15">
        <v>303601.3</v>
      </c>
      <c r="U148" s="16">
        <v>0</v>
      </c>
      <c r="V148" s="15">
        <v>216595</v>
      </c>
      <c r="W148" s="16">
        <v>0</v>
      </c>
      <c r="X148" s="15">
        <v>37475.056499999999</v>
      </c>
      <c r="Y148" s="16">
        <v>0</v>
      </c>
      <c r="Z148" s="15">
        <v>15161.650000000001</v>
      </c>
      <c r="AA148" s="16">
        <v>0</v>
      </c>
      <c r="AB148" s="15">
        <v>40098.310454999999</v>
      </c>
      <c r="AC148" s="16">
        <v>0</v>
      </c>
      <c r="AD148" s="15">
        <v>0</v>
      </c>
      <c r="AE148" s="16">
        <v>0</v>
      </c>
      <c r="AF148" s="15">
        <v>0</v>
      </c>
      <c r="AG148" s="16">
        <v>0</v>
      </c>
      <c r="AH148" s="15">
        <v>0</v>
      </c>
      <c r="AI148" s="15" t="s">
        <v>464</v>
      </c>
      <c r="AJ148" s="14">
        <v>0.41972222222222227</v>
      </c>
      <c r="AK148" s="17">
        <v>43517</v>
      </c>
      <c r="AL148" s="18" t="s">
        <v>291</v>
      </c>
      <c r="AM148" s="14" t="s">
        <v>292</v>
      </c>
      <c r="AN148" s="14" t="s">
        <v>36</v>
      </c>
      <c r="AO148" s="14" t="s">
        <v>465</v>
      </c>
      <c r="AP148" s="14" t="s">
        <v>37</v>
      </c>
      <c r="AQ148" s="14" t="s">
        <v>184</v>
      </c>
      <c r="AR148" s="14" t="s">
        <v>4</v>
      </c>
      <c r="AS148" s="14">
        <v>0</v>
      </c>
      <c r="AT148" s="14">
        <v>0</v>
      </c>
      <c r="AU148" s="14">
        <v>0</v>
      </c>
      <c r="AV148" s="14">
        <v>0</v>
      </c>
      <c r="AW148" s="14"/>
      <c r="AX148" s="14"/>
      <c r="AY148" s="14"/>
      <c r="AZ148" s="14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  <c r="BL148" s="11"/>
      <c r="BM148" s="11"/>
      <c r="BN148" s="11"/>
    </row>
    <row r="149" spans="1:66" s="2" customFormat="1" ht="12" customHeight="1" x14ac:dyDescent="0.25">
      <c r="A149" s="9">
        <f t="shared" si="2"/>
        <v>1</v>
      </c>
      <c r="B149" s="6"/>
      <c r="C149" s="6"/>
      <c r="D149" s="24"/>
      <c r="E149" s="12" t="s">
        <v>38</v>
      </c>
      <c r="F149" s="25">
        <v>0</v>
      </c>
      <c r="G149" s="12" t="s">
        <v>466</v>
      </c>
      <c r="H149" s="12">
        <v>0</v>
      </c>
      <c r="I149" s="12">
        <v>0</v>
      </c>
      <c r="J149" s="12">
        <v>0</v>
      </c>
      <c r="K149" s="12">
        <v>0</v>
      </c>
      <c r="L149" s="13">
        <v>0</v>
      </c>
      <c r="M149" s="13">
        <v>0</v>
      </c>
      <c r="N149" s="12">
        <v>0</v>
      </c>
      <c r="O149" s="12">
        <v>0</v>
      </c>
      <c r="P149" s="12">
        <v>0</v>
      </c>
      <c r="Q149" s="14">
        <v>0</v>
      </c>
      <c r="R149" s="15">
        <v>579782.28307</v>
      </c>
      <c r="S149" s="16">
        <v>579782.28307</v>
      </c>
      <c r="T149" s="15">
        <v>294555</v>
      </c>
      <c r="U149" s="16">
        <v>0</v>
      </c>
      <c r="V149" s="15">
        <v>197990</v>
      </c>
      <c r="W149" s="16">
        <v>0</v>
      </c>
      <c r="X149" s="15">
        <v>35448.300999999999</v>
      </c>
      <c r="Y149" s="16">
        <v>0</v>
      </c>
      <c r="Z149" s="15">
        <v>13859.300000000001</v>
      </c>
      <c r="AA149" s="16">
        <v>0</v>
      </c>
      <c r="AB149" s="15">
        <v>37929.682070000003</v>
      </c>
      <c r="AC149" s="16">
        <v>0</v>
      </c>
      <c r="AD149" s="15">
        <v>0</v>
      </c>
      <c r="AE149" s="16">
        <v>0</v>
      </c>
      <c r="AF149" s="15">
        <v>0</v>
      </c>
      <c r="AG149" s="16">
        <v>0</v>
      </c>
      <c r="AH149" s="15">
        <v>0</v>
      </c>
      <c r="AI149" s="15" t="s">
        <v>467</v>
      </c>
      <c r="AJ149" s="14">
        <v>0.5647685185185185</v>
      </c>
      <c r="AK149" s="17">
        <v>43530</v>
      </c>
      <c r="AL149" s="18" t="s">
        <v>291</v>
      </c>
      <c r="AM149" s="14" t="s">
        <v>292</v>
      </c>
      <c r="AN149" s="14" t="s">
        <v>36</v>
      </c>
      <c r="AO149" s="14" t="s">
        <v>468</v>
      </c>
      <c r="AP149" s="14" t="s">
        <v>37</v>
      </c>
      <c r="AQ149" s="14" t="s">
        <v>184</v>
      </c>
      <c r="AR149" s="14" t="s">
        <v>4</v>
      </c>
      <c r="AS149" s="14">
        <v>0</v>
      </c>
      <c r="AT149" s="14">
        <v>0</v>
      </c>
      <c r="AU149" s="14">
        <v>0</v>
      </c>
      <c r="AV149" s="14">
        <v>0</v>
      </c>
      <c r="AW149" s="14"/>
      <c r="AX149" s="14"/>
      <c r="AY149" s="14"/>
      <c r="AZ149" s="14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  <c r="BL149" s="11"/>
      <c r="BM149" s="11"/>
      <c r="BN149" s="11"/>
    </row>
    <row r="150" spans="1:66" s="2" customFormat="1" ht="12" customHeight="1" x14ac:dyDescent="0.25">
      <c r="A150" s="9">
        <f t="shared" si="2"/>
        <v>1</v>
      </c>
      <c r="B150" s="6"/>
      <c r="C150" s="6"/>
      <c r="D150" s="24"/>
      <c r="E150" s="12" t="s">
        <v>38</v>
      </c>
      <c r="F150" s="25">
        <v>0</v>
      </c>
      <c r="G150" s="12" t="s">
        <v>469</v>
      </c>
      <c r="H150" s="12">
        <v>0</v>
      </c>
      <c r="I150" s="12">
        <v>0</v>
      </c>
      <c r="J150" s="12">
        <v>0</v>
      </c>
      <c r="K150" s="12">
        <v>0</v>
      </c>
      <c r="L150" s="13">
        <v>0</v>
      </c>
      <c r="M150" s="13">
        <v>0</v>
      </c>
      <c r="N150" s="12">
        <v>0</v>
      </c>
      <c r="O150" s="12">
        <v>0</v>
      </c>
      <c r="P150" s="12">
        <v>0</v>
      </c>
      <c r="Q150" s="14">
        <v>0</v>
      </c>
      <c r="R150" s="15">
        <v>1922956.9580920001</v>
      </c>
      <c r="S150" s="16">
        <v>1922956.9580920001</v>
      </c>
      <c r="T150" s="15">
        <v>998376</v>
      </c>
      <c r="U150" s="16">
        <v>0</v>
      </c>
      <c r="V150" s="15">
        <v>636644</v>
      </c>
      <c r="W150" s="16">
        <v>0</v>
      </c>
      <c r="X150" s="15">
        <v>117570.95560000002</v>
      </c>
      <c r="Y150" s="16">
        <v>0</v>
      </c>
      <c r="Z150" s="15">
        <v>44565.08</v>
      </c>
      <c r="AA150" s="16">
        <v>0</v>
      </c>
      <c r="AB150" s="15">
        <v>125800.92249200001</v>
      </c>
      <c r="AC150" s="16">
        <v>0</v>
      </c>
      <c r="AD150" s="15">
        <v>0</v>
      </c>
      <c r="AE150" s="16">
        <v>0</v>
      </c>
      <c r="AF150" s="15">
        <v>0</v>
      </c>
      <c r="AG150" s="16">
        <v>0</v>
      </c>
      <c r="AH150" s="15">
        <v>0</v>
      </c>
      <c r="AI150" s="15" t="s">
        <v>470</v>
      </c>
      <c r="AJ150" s="14">
        <v>0.49349537037037039</v>
      </c>
      <c r="AK150" s="17">
        <v>43536</v>
      </c>
      <c r="AL150" s="18" t="s">
        <v>291</v>
      </c>
      <c r="AM150" s="14" t="s">
        <v>292</v>
      </c>
      <c r="AN150" s="14" t="s">
        <v>36</v>
      </c>
      <c r="AO150" s="14" t="s">
        <v>471</v>
      </c>
      <c r="AP150" s="14" t="s">
        <v>37</v>
      </c>
      <c r="AQ150" s="14" t="s">
        <v>184</v>
      </c>
      <c r="AR150" s="14" t="s">
        <v>4</v>
      </c>
      <c r="AS150" s="14">
        <v>0</v>
      </c>
      <c r="AT150" s="14">
        <v>0</v>
      </c>
      <c r="AU150" s="14">
        <v>0</v>
      </c>
      <c r="AV150" s="14">
        <v>0</v>
      </c>
      <c r="AW150" s="14"/>
      <c r="AX150" s="14"/>
      <c r="AY150" s="14"/>
      <c r="AZ150" s="14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  <c r="BL150" s="11"/>
      <c r="BM150" s="11"/>
      <c r="BN150" s="11"/>
    </row>
    <row r="151" spans="1:66" s="2" customFormat="1" ht="12" customHeight="1" x14ac:dyDescent="0.25">
      <c r="A151" s="9">
        <f t="shared" si="2"/>
        <v>1</v>
      </c>
      <c r="B151" s="6"/>
      <c r="C151" s="6"/>
      <c r="D151" s="24"/>
      <c r="E151" s="12" t="s">
        <v>38</v>
      </c>
      <c r="F151" s="25">
        <v>0</v>
      </c>
      <c r="G151" s="12" t="s">
        <v>472</v>
      </c>
      <c r="H151" s="12">
        <v>0</v>
      </c>
      <c r="I151" s="12">
        <v>0</v>
      </c>
      <c r="J151" s="12">
        <v>0</v>
      </c>
      <c r="K151" s="12">
        <v>0</v>
      </c>
      <c r="L151" s="13">
        <v>0</v>
      </c>
      <c r="M151" s="13">
        <v>0</v>
      </c>
      <c r="N151" s="12">
        <v>0</v>
      </c>
      <c r="O151" s="12">
        <v>0</v>
      </c>
      <c r="P151" s="12">
        <v>0</v>
      </c>
      <c r="Q151" s="14">
        <v>0</v>
      </c>
      <c r="R151" s="15">
        <v>1922956.9580920001</v>
      </c>
      <c r="S151" s="16">
        <v>1922956.9580920001</v>
      </c>
      <c r="T151" s="15">
        <v>998376</v>
      </c>
      <c r="U151" s="16">
        <v>0</v>
      </c>
      <c r="V151" s="15">
        <v>636644</v>
      </c>
      <c r="W151" s="16">
        <v>0</v>
      </c>
      <c r="X151" s="15">
        <v>117570.95560000002</v>
      </c>
      <c r="Y151" s="16">
        <v>0</v>
      </c>
      <c r="Z151" s="15">
        <v>44565.08</v>
      </c>
      <c r="AA151" s="16">
        <v>0</v>
      </c>
      <c r="AB151" s="15">
        <v>125800.92249200001</v>
      </c>
      <c r="AC151" s="16">
        <v>0</v>
      </c>
      <c r="AD151" s="15">
        <v>0</v>
      </c>
      <c r="AE151" s="16">
        <v>0</v>
      </c>
      <c r="AF151" s="15">
        <v>0</v>
      </c>
      <c r="AG151" s="16">
        <v>0</v>
      </c>
      <c r="AH151" s="15">
        <v>0</v>
      </c>
      <c r="AI151" s="15" t="s">
        <v>473</v>
      </c>
      <c r="AJ151" s="14">
        <v>0.45693287037037034</v>
      </c>
      <c r="AK151" s="17">
        <v>43642</v>
      </c>
      <c r="AL151" s="18" t="s">
        <v>291</v>
      </c>
      <c r="AM151" s="14" t="s">
        <v>292</v>
      </c>
      <c r="AN151" s="14" t="s">
        <v>36</v>
      </c>
      <c r="AO151" s="14" t="s">
        <v>474</v>
      </c>
      <c r="AP151" s="14" t="s">
        <v>37</v>
      </c>
      <c r="AQ151" s="14" t="s">
        <v>184</v>
      </c>
      <c r="AR151" s="14" t="s">
        <v>4</v>
      </c>
      <c r="AS151" s="14">
        <v>0</v>
      </c>
      <c r="AT151" s="14">
        <v>0</v>
      </c>
      <c r="AU151" s="14">
        <v>0</v>
      </c>
      <c r="AV151" s="14">
        <v>0</v>
      </c>
      <c r="AW151" s="14"/>
      <c r="AX151" s="14"/>
      <c r="AY151" s="14"/>
      <c r="AZ151" s="14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  <c r="BL151" s="11"/>
      <c r="BM151" s="11"/>
      <c r="BN151" s="11"/>
    </row>
    <row r="152" spans="1:66" s="2" customFormat="1" ht="12" customHeight="1" x14ac:dyDescent="0.25">
      <c r="A152" s="9">
        <f t="shared" si="2"/>
        <v>1</v>
      </c>
      <c r="B152" s="6"/>
      <c r="C152" s="6"/>
      <c r="D152" s="24"/>
      <c r="E152" s="12" t="s">
        <v>38</v>
      </c>
      <c r="F152" s="25">
        <v>0</v>
      </c>
      <c r="G152" s="12" t="s">
        <v>475</v>
      </c>
      <c r="H152" s="12">
        <v>0</v>
      </c>
      <c r="I152" s="12">
        <v>0</v>
      </c>
      <c r="J152" s="12">
        <v>0</v>
      </c>
      <c r="K152" s="12">
        <v>0</v>
      </c>
      <c r="L152" s="13">
        <v>0</v>
      </c>
      <c r="M152" s="13">
        <v>0</v>
      </c>
      <c r="N152" s="12">
        <v>0</v>
      </c>
      <c r="O152" s="12">
        <v>0</v>
      </c>
      <c r="P152" s="12">
        <v>0</v>
      </c>
      <c r="Q152" s="14">
        <v>0</v>
      </c>
      <c r="R152" s="15">
        <v>928886.08000000007</v>
      </c>
      <c r="S152" s="16">
        <v>928886.08000000007</v>
      </c>
      <c r="T152" s="15">
        <v>578655.08000000007</v>
      </c>
      <c r="U152" s="16">
        <v>0</v>
      </c>
      <c r="V152" s="15">
        <v>350231</v>
      </c>
      <c r="W152" s="16">
        <v>0</v>
      </c>
      <c r="X152" s="15">
        <v>0</v>
      </c>
      <c r="Y152" s="16">
        <v>0</v>
      </c>
      <c r="Z152" s="15">
        <v>0</v>
      </c>
      <c r="AA152" s="16">
        <v>0</v>
      </c>
      <c r="AB152" s="15">
        <v>0</v>
      </c>
      <c r="AC152" s="16">
        <v>0</v>
      </c>
      <c r="AD152" s="15">
        <v>0</v>
      </c>
      <c r="AE152" s="16">
        <v>0</v>
      </c>
      <c r="AF152" s="15">
        <v>0</v>
      </c>
      <c r="AG152" s="16">
        <v>0</v>
      </c>
      <c r="AH152" s="15">
        <v>0</v>
      </c>
      <c r="AI152" s="15" t="s">
        <v>476</v>
      </c>
      <c r="AJ152" s="14">
        <v>0.36853009259259256</v>
      </c>
      <c r="AK152" s="17">
        <v>43552</v>
      </c>
      <c r="AL152" s="18" t="s">
        <v>40</v>
      </c>
      <c r="AM152" s="14" t="s">
        <v>410</v>
      </c>
      <c r="AN152" s="14" t="s">
        <v>36</v>
      </c>
      <c r="AO152" s="14" t="s">
        <v>477</v>
      </c>
      <c r="AP152" s="14" t="s">
        <v>37</v>
      </c>
      <c r="AQ152" s="14" t="s">
        <v>184</v>
      </c>
      <c r="AR152" s="14" t="s">
        <v>4</v>
      </c>
      <c r="AS152" s="14">
        <v>0</v>
      </c>
      <c r="AT152" s="14">
        <v>0</v>
      </c>
      <c r="AU152" s="14">
        <v>0</v>
      </c>
      <c r="AV152" s="14">
        <v>0</v>
      </c>
      <c r="AW152" s="14"/>
      <c r="AX152" s="14"/>
      <c r="AY152" s="14"/>
      <c r="AZ152" s="14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  <c r="BL152" s="11"/>
      <c r="BM152" s="11"/>
      <c r="BN152" s="11"/>
    </row>
    <row r="153" spans="1:66" s="2" customFormat="1" ht="12" customHeight="1" x14ac:dyDescent="0.25">
      <c r="A153" s="9">
        <f t="shared" si="2"/>
        <v>1</v>
      </c>
      <c r="B153" s="6"/>
      <c r="C153" s="6"/>
      <c r="D153" s="24"/>
      <c r="E153" s="12" t="s">
        <v>38</v>
      </c>
      <c r="F153" s="25">
        <v>0</v>
      </c>
      <c r="G153" s="12" t="s">
        <v>478</v>
      </c>
      <c r="H153" s="12">
        <v>0</v>
      </c>
      <c r="I153" s="12">
        <v>0</v>
      </c>
      <c r="J153" s="12">
        <v>0</v>
      </c>
      <c r="K153" s="12">
        <v>0</v>
      </c>
      <c r="L153" s="13">
        <v>0</v>
      </c>
      <c r="M153" s="13">
        <v>0</v>
      </c>
      <c r="N153" s="12">
        <v>0</v>
      </c>
      <c r="O153" s="12">
        <v>0</v>
      </c>
      <c r="P153" s="12">
        <v>0</v>
      </c>
      <c r="Q153" s="14">
        <v>0</v>
      </c>
      <c r="R153" s="15">
        <v>1028331.8400000001</v>
      </c>
      <c r="S153" s="16">
        <v>1028331.8400000001</v>
      </c>
      <c r="T153" s="15">
        <v>641116.84000000008</v>
      </c>
      <c r="U153" s="16">
        <v>0</v>
      </c>
      <c r="V153" s="15">
        <v>387215</v>
      </c>
      <c r="W153" s="16">
        <v>0</v>
      </c>
      <c r="X153" s="15">
        <v>0</v>
      </c>
      <c r="Y153" s="16">
        <v>0</v>
      </c>
      <c r="Z153" s="15">
        <v>0</v>
      </c>
      <c r="AA153" s="16">
        <v>0</v>
      </c>
      <c r="AB153" s="15">
        <v>0</v>
      </c>
      <c r="AC153" s="16">
        <v>0</v>
      </c>
      <c r="AD153" s="15">
        <v>0</v>
      </c>
      <c r="AE153" s="16">
        <v>0</v>
      </c>
      <c r="AF153" s="15">
        <v>0</v>
      </c>
      <c r="AG153" s="16">
        <v>0</v>
      </c>
      <c r="AH153" s="15">
        <v>0</v>
      </c>
      <c r="AI153" s="15" t="s">
        <v>479</v>
      </c>
      <c r="AJ153" s="14">
        <v>0.36400462962962959</v>
      </c>
      <c r="AK153" s="17">
        <v>43552</v>
      </c>
      <c r="AL153" s="18" t="s">
        <v>40</v>
      </c>
      <c r="AM153" s="14" t="s">
        <v>410</v>
      </c>
      <c r="AN153" s="14" t="s">
        <v>36</v>
      </c>
      <c r="AO153" s="14" t="s">
        <v>480</v>
      </c>
      <c r="AP153" s="14" t="s">
        <v>37</v>
      </c>
      <c r="AQ153" s="14" t="s">
        <v>184</v>
      </c>
      <c r="AR153" s="14" t="s">
        <v>4</v>
      </c>
      <c r="AS153" s="14">
        <v>0</v>
      </c>
      <c r="AT153" s="14">
        <v>0</v>
      </c>
      <c r="AU153" s="14">
        <v>0</v>
      </c>
      <c r="AV153" s="14">
        <v>0</v>
      </c>
      <c r="AW153" s="14"/>
      <c r="AX153" s="14"/>
      <c r="AY153" s="14"/>
      <c r="AZ153" s="14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  <c r="BL153" s="11"/>
      <c r="BM153" s="11"/>
      <c r="BN153" s="11"/>
    </row>
    <row r="154" spans="1:66" s="2" customFormat="1" ht="12" customHeight="1" x14ac:dyDescent="0.25">
      <c r="A154" s="9">
        <f t="shared" si="2"/>
        <v>1</v>
      </c>
      <c r="B154" s="6"/>
      <c r="C154" s="6"/>
      <c r="D154" s="24"/>
      <c r="E154" s="12" t="s">
        <v>38</v>
      </c>
      <c r="F154" s="25">
        <v>0</v>
      </c>
      <c r="G154" s="12" t="s">
        <v>481</v>
      </c>
      <c r="H154" s="12">
        <v>0</v>
      </c>
      <c r="I154" s="12">
        <v>0</v>
      </c>
      <c r="J154" s="12">
        <v>0</v>
      </c>
      <c r="K154" s="12">
        <v>0</v>
      </c>
      <c r="L154" s="13">
        <v>0</v>
      </c>
      <c r="M154" s="13">
        <v>0</v>
      </c>
      <c r="N154" s="12">
        <v>0</v>
      </c>
      <c r="O154" s="12">
        <v>0</v>
      </c>
      <c r="P154" s="12">
        <v>0</v>
      </c>
      <c r="Q154" s="14">
        <v>0</v>
      </c>
      <c r="R154" s="15">
        <v>757726.48</v>
      </c>
      <c r="S154" s="16">
        <v>757726.48</v>
      </c>
      <c r="T154" s="15">
        <v>476158.47999999992</v>
      </c>
      <c r="U154" s="16">
        <v>0</v>
      </c>
      <c r="V154" s="15">
        <v>281568</v>
      </c>
      <c r="W154" s="16">
        <v>0</v>
      </c>
      <c r="X154" s="15">
        <v>0</v>
      </c>
      <c r="Y154" s="16">
        <v>0</v>
      </c>
      <c r="Z154" s="15">
        <v>0</v>
      </c>
      <c r="AA154" s="16">
        <v>0</v>
      </c>
      <c r="AB154" s="15">
        <v>0</v>
      </c>
      <c r="AC154" s="16">
        <v>0</v>
      </c>
      <c r="AD154" s="15">
        <v>0</v>
      </c>
      <c r="AE154" s="16">
        <v>0</v>
      </c>
      <c r="AF154" s="15">
        <v>0</v>
      </c>
      <c r="AG154" s="16">
        <v>0</v>
      </c>
      <c r="AH154" s="15">
        <v>0</v>
      </c>
      <c r="AI154" s="15" t="s">
        <v>482</v>
      </c>
      <c r="AJ154" s="14">
        <v>0.36874999999999997</v>
      </c>
      <c r="AK154" s="17">
        <v>43552</v>
      </c>
      <c r="AL154" s="18" t="s">
        <v>40</v>
      </c>
      <c r="AM154" s="14" t="s">
        <v>410</v>
      </c>
      <c r="AN154" s="14" t="s">
        <v>36</v>
      </c>
      <c r="AO154" s="14" t="s">
        <v>483</v>
      </c>
      <c r="AP154" s="14" t="s">
        <v>37</v>
      </c>
      <c r="AQ154" s="14" t="s">
        <v>184</v>
      </c>
      <c r="AR154" s="14" t="s">
        <v>4</v>
      </c>
      <c r="AS154" s="14">
        <v>0</v>
      </c>
      <c r="AT154" s="14">
        <v>0</v>
      </c>
      <c r="AU154" s="14">
        <v>0</v>
      </c>
      <c r="AV154" s="14">
        <v>0</v>
      </c>
      <c r="AW154" s="14"/>
      <c r="AX154" s="14"/>
      <c r="AY154" s="14"/>
      <c r="AZ154" s="14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  <c r="BL154" s="11"/>
      <c r="BM154" s="11"/>
      <c r="BN154" s="11"/>
    </row>
    <row r="155" spans="1:66" s="2" customFormat="1" ht="12" customHeight="1" x14ac:dyDescent="0.25">
      <c r="A155" s="9">
        <f t="shared" si="2"/>
        <v>1</v>
      </c>
      <c r="B155" s="6"/>
      <c r="C155" s="6"/>
      <c r="D155" s="24"/>
      <c r="E155" s="12" t="s">
        <v>38</v>
      </c>
      <c r="F155" s="25">
        <v>0</v>
      </c>
      <c r="G155" s="12" t="s">
        <v>484</v>
      </c>
      <c r="H155" s="12">
        <v>0</v>
      </c>
      <c r="I155" s="12">
        <v>0</v>
      </c>
      <c r="J155" s="12">
        <v>0</v>
      </c>
      <c r="K155" s="12">
        <v>0</v>
      </c>
      <c r="L155" s="13">
        <v>0</v>
      </c>
      <c r="M155" s="13">
        <v>0</v>
      </c>
      <c r="N155" s="12">
        <v>0</v>
      </c>
      <c r="O155" s="12">
        <v>0</v>
      </c>
      <c r="P155" s="12">
        <v>0</v>
      </c>
      <c r="Q155" s="14">
        <v>0</v>
      </c>
      <c r="R155" s="15">
        <v>1336211.5077119998</v>
      </c>
      <c r="S155" s="16">
        <v>1336211.5077119998</v>
      </c>
      <c r="T155" s="15">
        <v>774426</v>
      </c>
      <c r="U155" s="16">
        <v>0</v>
      </c>
      <c r="V155" s="15">
        <v>366984</v>
      </c>
      <c r="W155" s="16">
        <v>0</v>
      </c>
      <c r="X155" s="15">
        <v>81696.921600000001</v>
      </c>
      <c r="Y155" s="16">
        <v>0</v>
      </c>
      <c r="Z155" s="15">
        <v>25688.880000000001</v>
      </c>
      <c r="AA155" s="16">
        <v>0</v>
      </c>
      <c r="AB155" s="15">
        <v>87415.706112</v>
      </c>
      <c r="AC155" s="16">
        <v>0</v>
      </c>
      <c r="AD155" s="15">
        <v>0</v>
      </c>
      <c r="AE155" s="16">
        <v>0</v>
      </c>
      <c r="AF155" s="15">
        <v>0</v>
      </c>
      <c r="AG155" s="16">
        <v>0</v>
      </c>
      <c r="AH155" s="15">
        <v>0</v>
      </c>
      <c r="AI155" s="15" t="s">
        <v>485</v>
      </c>
      <c r="AJ155" s="14">
        <v>0.50394675925925925</v>
      </c>
      <c r="AK155" s="17">
        <v>43556</v>
      </c>
      <c r="AL155" s="18" t="s">
        <v>291</v>
      </c>
      <c r="AM155" s="14" t="s">
        <v>292</v>
      </c>
      <c r="AN155" s="14" t="s">
        <v>36</v>
      </c>
      <c r="AO155" s="14" t="s">
        <v>486</v>
      </c>
      <c r="AP155" s="14" t="s">
        <v>37</v>
      </c>
      <c r="AQ155" s="14" t="s">
        <v>184</v>
      </c>
      <c r="AR155" s="14" t="s">
        <v>4</v>
      </c>
      <c r="AS155" s="14">
        <v>0</v>
      </c>
      <c r="AT155" s="14">
        <v>0</v>
      </c>
      <c r="AU155" s="14">
        <v>0</v>
      </c>
      <c r="AV155" s="14">
        <v>0</v>
      </c>
      <c r="AW155" s="14"/>
      <c r="AX155" s="14"/>
      <c r="AY155" s="14"/>
      <c r="AZ155" s="14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  <c r="BL155" s="11"/>
      <c r="BM155" s="11"/>
      <c r="BN155" s="11"/>
    </row>
    <row r="156" spans="1:66" s="2" customFormat="1" ht="12" customHeight="1" x14ac:dyDescent="0.25">
      <c r="A156" s="9">
        <f t="shared" si="2"/>
        <v>1</v>
      </c>
      <c r="B156" s="6"/>
      <c r="C156" s="6"/>
      <c r="D156" s="24"/>
      <c r="E156" s="12" t="s">
        <v>38</v>
      </c>
      <c r="F156" s="25">
        <v>0</v>
      </c>
      <c r="G156" s="12" t="s">
        <v>487</v>
      </c>
      <c r="H156" s="12">
        <v>0</v>
      </c>
      <c r="I156" s="12">
        <v>0</v>
      </c>
      <c r="J156" s="12">
        <v>0</v>
      </c>
      <c r="K156" s="12">
        <v>0</v>
      </c>
      <c r="L156" s="13">
        <v>0</v>
      </c>
      <c r="M156" s="13">
        <v>0</v>
      </c>
      <c r="N156" s="12">
        <v>0</v>
      </c>
      <c r="O156" s="12">
        <v>0</v>
      </c>
      <c r="P156" s="12">
        <v>0</v>
      </c>
      <c r="Q156" s="14">
        <v>0</v>
      </c>
      <c r="R156" s="15">
        <v>1352137.0667119999</v>
      </c>
      <c r="S156" s="16">
        <v>1352137.0667119999</v>
      </c>
      <c r="T156" s="15">
        <v>774426</v>
      </c>
      <c r="U156" s="16">
        <v>0</v>
      </c>
      <c r="V156" s="15">
        <v>379984</v>
      </c>
      <c r="W156" s="16">
        <v>0</v>
      </c>
      <c r="X156" s="15">
        <v>82670.621599999999</v>
      </c>
      <c r="Y156" s="16">
        <v>0</v>
      </c>
      <c r="Z156" s="15">
        <v>26598.880000000001</v>
      </c>
      <c r="AA156" s="16">
        <v>0</v>
      </c>
      <c r="AB156" s="15">
        <v>88457.565111999997</v>
      </c>
      <c r="AC156" s="16">
        <v>0</v>
      </c>
      <c r="AD156" s="15">
        <v>0</v>
      </c>
      <c r="AE156" s="16">
        <v>0</v>
      </c>
      <c r="AF156" s="15">
        <v>0</v>
      </c>
      <c r="AG156" s="16">
        <v>0</v>
      </c>
      <c r="AH156" s="15">
        <v>0</v>
      </c>
      <c r="AI156" s="15" t="s">
        <v>488</v>
      </c>
      <c r="AJ156" s="14">
        <v>0.54335648148148141</v>
      </c>
      <c r="AK156" s="17">
        <v>43556</v>
      </c>
      <c r="AL156" s="18" t="s">
        <v>291</v>
      </c>
      <c r="AM156" s="14" t="s">
        <v>292</v>
      </c>
      <c r="AN156" s="14" t="s">
        <v>36</v>
      </c>
      <c r="AO156" s="14" t="s">
        <v>489</v>
      </c>
      <c r="AP156" s="14" t="s">
        <v>37</v>
      </c>
      <c r="AQ156" s="14" t="s">
        <v>184</v>
      </c>
      <c r="AR156" s="14" t="s">
        <v>4</v>
      </c>
      <c r="AS156" s="14">
        <v>0</v>
      </c>
      <c r="AT156" s="14">
        <v>0</v>
      </c>
      <c r="AU156" s="14">
        <v>0</v>
      </c>
      <c r="AV156" s="14">
        <v>0</v>
      </c>
      <c r="AW156" s="14"/>
      <c r="AX156" s="14"/>
      <c r="AY156" s="14"/>
      <c r="AZ156" s="14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  <c r="BL156" s="11"/>
      <c r="BM156" s="11"/>
      <c r="BN156" s="11"/>
    </row>
    <row r="157" spans="1:66" s="2" customFormat="1" ht="12" customHeight="1" x14ac:dyDescent="0.25">
      <c r="A157" s="9">
        <f t="shared" si="2"/>
        <v>1</v>
      </c>
      <c r="B157" s="6"/>
      <c r="C157" s="6"/>
      <c r="D157" s="24"/>
      <c r="E157" s="12" t="s">
        <v>38</v>
      </c>
      <c r="F157" s="25">
        <v>0</v>
      </c>
      <c r="G157" s="12" t="s">
        <v>490</v>
      </c>
      <c r="H157" s="12">
        <v>0</v>
      </c>
      <c r="I157" s="12">
        <v>0</v>
      </c>
      <c r="J157" s="12">
        <v>0</v>
      </c>
      <c r="K157" s="12">
        <v>0</v>
      </c>
      <c r="L157" s="13">
        <v>0</v>
      </c>
      <c r="M157" s="13">
        <v>0</v>
      </c>
      <c r="N157" s="12">
        <v>0</v>
      </c>
      <c r="O157" s="12">
        <v>0</v>
      </c>
      <c r="P157" s="12">
        <v>0</v>
      </c>
      <c r="Q157" s="14">
        <v>0</v>
      </c>
      <c r="R157" s="15">
        <v>15725.773950000001</v>
      </c>
      <c r="S157" s="16">
        <v>15725.773950000001</v>
      </c>
      <c r="T157" s="15">
        <v>9723</v>
      </c>
      <c r="U157" s="16">
        <v>0</v>
      </c>
      <c r="V157" s="15">
        <v>3750</v>
      </c>
      <c r="W157" s="16">
        <v>0</v>
      </c>
      <c r="X157" s="15">
        <v>961.48500000000013</v>
      </c>
      <c r="Y157" s="16">
        <v>0</v>
      </c>
      <c r="Z157" s="15">
        <v>262.5</v>
      </c>
      <c r="AA157" s="16">
        <v>0</v>
      </c>
      <c r="AB157" s="15">
        <v>1028.7889500000001</v>
      </c>
      <c r="AC157" s="16">
        <v>0</v>
      </c>
      <c r="AD157" s="15">
        <v>0</v>
      </c>
      <c r="AE157" s="16">
        <v>0</v>
      </c>
      <c r="AF157" s="15">
        <v>0</v>
      </c>
      <c r="AG157" s="16">
        <v>0</v>
      </c>
      <c r="AH157" s="15">
        <v>0</v>
      </c>
      <c r="AI157" s="15" t="s">
        <v>491</v>
      </c>
      <c r="AJ157" s="14">
        <v>0.36539351851851848</v>
      </c>
      <c r="AK157" s="17">
        <v>43566</v>
      </c>
      <c r="AL157" s="18" t="s">
        <v>291</v>
      </c>
      <c r="AM157" s="14" t="s">
        <v>292</v>
      </c>
      <c r="AN157" s="14" t="s">
        <v>36</v>
      </c>
      <c r="AO157" s="14" t="s">
        <v>492</v>
      </c>
      <c r="AP157" s="14" t="s">
        <v>37</v>
      </c>
      <c r="AQ157" s="14" t="s">
        <v>184</v>
      </c>
      <c r="AR157" s="14" t="s">
        <v>4</v>
      </c>
      <c r="AS157" s="14">
        <v>0</v>
      </c>
      <c r="AT157" s="14">
        <v>0</v>
      </c>
      <c r="AU157" s="14">
        <v>0</v>
      </c>
      <c r="AV157" s="14">
        <v>0</v>
      </c>
      <c r="AW157" s="14"/>
      <c r="AX157" s="14"/>
      <c r="AY157" s="14"/>
      <c r="AZ157" s="14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  <c r="BL157" s="11"/>
      <c r="BM157" s="11"/>
      <c r="BN157" s="11"/>
    </row>
    <row r="158" spans="1:66" s="2" customFormat="1" ht="12" customHeight="1" x14ac:dyDescent="0.25">
      <c r="A158" s="9">
        <f t="shared" si="2"/>
        <v>1</v>
      </c>
      <c r="B158" s="6"/>
      <c r="C158" s="6"/>
      <c r="D158" s="24"/>
      <c r="E158" s="12" t="s">
        <v>38</v>
      </c>
      <c r="F158" s="25">
        <v>0</v>
      </c>
      <c r="G158" s="12" t="s">
        <v>493</v>
      </c>
      <c r="H158" s="12">
        <v>0</v>
      </c>
      <c r="I158" s="12">
        <v>0</v>
      </c>
      <c r="J158" s="12">
        <v>0</v>
      </c>
      <c r="K158" s="12">
        <v>0</v>
      </c>
      <c r="L158" s="13">
        <v>0</v>
      </c>
      <c r="M158" s="13">
        <v>0</v>
      </c>
      <c r="N158" s="12">
        <v>0</v>
      </c>
      <c r="O158" s="12">
        <v>0</v>
      </c>
      <c r="P158" s="12">
        <v>0</v>
      </c>
      <c r="Q158" s="14">
        <v>0</v>
      </c>
      <c r="R158" s="15">
        <v>2077328.9205759999</v>
      </c>
      <c r="S158" s="16">
        <v>2077328.9205759999</v>
      </c>
      <c r="T158" s="15">
        <v>1192607.3599999999</v>
      </c>
      <c r="U158" s="16">
        <v>0</v>
      </c>
      <c r="V158" s="15">
        <v>700000</v>
      </c>
      <c r="W158" s="16">
        <v>0</v>
      </c>
      <c r="X158" s="15">
        <v>76824.294399999999</v>
      </c>
      <c r="Y158" s="16">
        <v>0</v>
      </c>
      <c r="Z158" s="15">
        <v>28000</v>
      </c>
      <c r="AA158" s="16">
        <v>0</v>
      </c>
      <c r="AB158" s="15">
        <v>79897.26617599999</v>
      </c>
      <c r="AC158" s="16">
        <v>0</v>
      </c>
      <c r="AD158" s="15">
        <v>0</v>
      </c>
      <c r="AE158" s="16">
        <v>0</v>
      </c>
      <c r="AF158" s="15">
        <v>0</v>
      </c>
      <c r="AG158" s="16">
        <v>0</v>
      </c>
      <c r="AH158" s="15">
        <v>0</v>
      </c>
      <c r="AI158" s="15" t="s">
        <v>494</v>
      </c>
      <c r="AJ158" s="14">
        <v>0.59207175925925926</v>
      </c>
      <c r="AK158" s="17">
        <v>43677</v>
      </c>
      <c r="AL158" s="18" t="s">
        <v>40</v>
      </c>
      <c r="AM158" s="14" t="s">
        <v>410</v>
      </c>
      <c r="AN158" s="14" t="s">
        <v>36</v>
      </c>
      <c r="AO158" s="14" t="s">
        <v>495</v>
      </c>
      <c r="AP158" s="14" t="s">
        <v>37</v>
      </c>
      <c r="AQ158" s="14" t="s">
        <v>184</v>
      </c>
      <c r="AR158" s="14" t="s">
        <v>4</v>
      </c>
      <c r="AS158" s="14">
        <v>0</v>
      </c>
      <c r="AT158" s="14">
        <v>0</v>
      </c>
      <c r="AU158" s="14">
        <v>0</v>
      </c>
      <c r="AV158" s="14">
        <v>0</v>
      </c>
      <c r="AW158" s="14"/>
      <c r="AX158" s="14"/>
      <c r="AY158" s="14"/>
      <c r="AZ158" s="14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  <c r="BL158" s="11"/>
      <c r="BM158" s="11"/>
      <c r="BN158" s="11"/>
    </row>
    <row r="159" spans="1:66" s="2" customFormat="1" ht="12" customHeight="1" x14ac:dyDescent="0.25">
      <c r="A159" s="9">
        <f t="shared" si="2"/>
        <v>1</v>
      </c>
      <c r="B159" s="6"/>
      <c r="C159" s="6"/>
      <c r="D159" s="24"/>
      <c r="E159" s="12" t="s">
        <v>38</v>
      </c>
      <c r="F159" s="25">
        <v>0</v>
      </c>
      <c r="G159" s="12" t="s">
        <v>496</v>
      </c>
      <c r="H159" s="12">
        <v>0</v>
      </c>
      <c r="I159" s="12">
        <v>0</v>
      </c>
      <c r="J159" s="12">
        <v>0</v>
      </c>
      <c r="K159" s="12">
        <v>0</v>
      </c>
      <c r="L159" s="13">
        <v>0</v>
      </c>
      <c r="M159" s="13">
        <v>0</v>
      </c>
      <c r="N159" s="12">
        <v>0</v>
      </c>
      <c r="O159" s="12">
        <v>0</v>
      </c>
      <c r="P159" s="12">
        <v>0</v>
      </c>
      <c r="Q159" s="14">
        <v>0</v>
      </c>
      <c r="R159" s="15">
        <v>30352687.66</v>
      </c>
      <c r="S159" s="16">
        <v>30352687.66</v>
      </c>
      <c r="T159" s="15">
        <v>30352687.66</v>
      </c>
      <c r="U159" s="16">
        <v>0</v>
      </c>
      <c r="V159" s="15">
        <v>0</v>
      </c>
      <c r="W159" s="16">
        <v>0</v>
      </c>
      <c r="X159" s="15">
        <v>0</v>
      </c>
      <c r="Y159" s="16">
        <v>0</v>
      </c>
      <c r="Z159" s="15">
        <v>0</v>
      </c>
      <c r="AA159" s="16">
        <v>0</v>
      </c>
      <c r="AB159" s="15">
        <v>0</v>
      </c>
      <c r="AC159" s="16">
        <v>0</v>
      </c>
      <c r="AD159" s="15">
        <v>0</v>
      </c>
      <c r="AE159" s="16">
        <v>0</v>
      </c>
      <c r="AF159" s="15">
        <v>0</v>
      </c>
      <c r="AG159" s="16">
        <v>0</v>
      </c>
      <c r="AH159" s="15">
        <v>0</v>
      </c>
      <c r="AI159" s="15" t="s">
        <v>497</v>
      </c>
      <c r="AJ159" s="14">
        <v>0.5783449074074074</v>
      </c>
      <c r="AK159" s="17">
        <v>43577</v>
      </c>
      <c r="AL159" s="18" t="s">
        <v>291</v>
      </c>
      <c r="AM159" s="14" t="s">
        <v>292</v>
      </c>
      <c r="AN159" s="14" t="s">
        <v>36</v>
      </c>
      <c r="AO159" s="14" t="s">
        <v>498</v>
      </c>
      <c r="AP159" s="14" t="s">
        <v>37</v>
      </c>
      <c r="AQ159" s="14" t="s">
        <v>184</v>
      </c>
      <c r="AR159" s="14" t="s">
        <v>4</v>
      </c>
      <c r="AS159" s="14">
        <v>0</v>
      </c>
      <c r="AT159" s="14">
        <v>0</v>
      </c>
      <c r="AU159" s="14">
        <v>0</v>
      </c>
      <c r="AV159" s="14">
        <v>0</v>
      </c>
      <c r="AW159" s="14"/>
      <c r="AX159" s="14"/>
      <c r="AY159" s="14"/>
      <c r="AZ159" s="14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  <c r="BL159" s="11"/>
      <c r="BM159" s="11"/>
      <c r="BN159" s="11"/>
    </row>
    <row r="160" spans="1:66" s="2" customFormat="1" ht="12" customHeight="1" x14ac:dyDescent="0.25">
      <c r="A160" s="9">
        <f t="shared" si="2"/>
        <v>1</v>
      </c>
      <c r="B160" s="6"/>
      <c r="C160" s="6"/>
      <c r="D160" s="24"/>
      <c r="E160" s="12" t="s">
        <v>38</v>
      </c>
      <c r="F160" s="25">
        <v>0</v>
      </c>
      <c r="G160" s="12" t="s">
        <v>499</v>
      </c>
      <c r="H160" s="12">
        <v>0</v>
      </c>
      <c r="I160" s="12">
        <v>0</v>
      </c>
      <c r="J160" s="12">
        <v>0</v>
      </c>
      <c r="K160" s="12">
        <v>0</v>
      </c>
      <c r="L160" s="13">
        <v>0</v>
      </c>
      <c r="M160" s="13">
        <v>0</v>
      </c>
      <c r="N160" s="12">
        <v>0</v>
      </c>
      <c r="O160" s="12">
        <v>0</v>
      </c>
      <c r="P160" s="12">
        <v>0</v>
      </c>
      <c r="Q160" s="14">
        <v>0</v>
      </c>
      <c r="R160" s="15">
        <v>446369.83383000002</v>
      </c>
      <c r="S160" s="16">
        <v>446369.83383000002</v>
      </c>
      <c r="T160" s="15">
        <v>191766.2</v>
      </c>
      <c r="U160" s="16">
        <v>0</v>
      </c>
      <c r="V160" s="15">
        <v>185150</v>
      </c>
      <c r="W160" s="16">
        <v>0</v>
      </c>
      <c r="X160" s="15">
        <v>27291.369000000002</v>
      </c>
      <c r="Y160" s="16">
        <v>0</v>
      </c>
      <c r="Z160" s="15">
        <v>12960.500000000002</v>
      </c>
      <c r="AA160" s="16">
        <v>0</v>
      </c>
      <c r="AB160" s="15">
        <v>29201.764830000004</v>
      </c>
      <c r="AC160" s="16">
        <v>0</v>
      </c>
      <c r="AD160" s="15">
        <v>0</v>
      </c>
      <c r="AE160" s="16">
        <v>0</v>
      </c>
      <c r="AF160" s="15">
        <v>0</v>
      </c>
      <c r="AG160" s="16">
        <v>0</v>
      </c>
      <c r="AH160" s="15">
        <v>0</v>
      </c>
      <c r="AI160" s="15" t="s">
        <v>500</v>
      </c>
      <c r="AJ160" s="14">
        <v>0.63310185185185186</v>
      </c>
      <c r="AK160" s="17">
        <v>43581</v>
      </c>
      <c r="AL160" s="18" t="s">
        <v>291</v>
      </c>
      <c r="AM160" s="14" t="s">
        <v>292</v>
      </c>
      <c r="AN160" s="14" t="s">
        <v>36</v>
      </c>
      <c r="AO160" s="14" t="s">
        <v>501</v>
      </c>
      <c r="AP160" s="14" t="s">
        <v>37</v>
      </c>
      <c r="AQ160" s="14" t="s">
        <v>184</v>
      </c>
      <c r="AR160" s="14" t="s">
        <v>4</v>
      </c>
      <c r="AS160" s="14">
        <v>0</v>
      </c>
      <c r="AT160" s="14">
        <v>0</v>
      </c>
      <c r="AU160" s="14">
        <v>0</v>
      </c>
      <c r="AV160" s="14">
        <v>0</v>
      </c>
      <c r="AW160" s="14"/>
      <c r="AX160" s="14"/>
      <c r="AY160" s="14"/>
      <c r="AZ160" s="14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  <c r="BL160" s="11"/>
      <c r="BM160" s="11"/>
      <c r="BN160" s="11"/>
    </row>
    <row r="161" spans="1:66" s="2" customFormat="1" ht="12" customHeight="1" x14ac:dyDescent="0.25">
      <c r="A161" s="9">
        <f t="shared" si="2"/>
        <v>1</v>
      </c>
      <c r="B161" s="6"/>
      <c r="C161" s="6"/>
      <c r="D161" s="24"/>
      <c r="E161" s="12" t="s">
        <v>38</v>
      </c>
      <c r="F161" s="25">
        <v>0</v>
      </c>
      <c r="G161" s="12" t="s">
        <v>502</v>
      </c>
      <c r="H161" s="12">
        <v>0</v>
      </c>
      <c r="I161" s="12">
        <v>0</v>
      </c>
      <c r="J161" s="12">
        <v>0</v>
      </c>
      <c r="K161" s="12">
        <v>0</v>
      </c>
      <c r="L161" s="13">
        <v>0</v>
      </c>
      <c r="M161" s="13">
        <v>0</v>
      </c>
      <c r="N161" s="12">
        <v>0</v>
      </c>
      <c r="O161" s="12">
        <v>0</v>
      </c>
      <c r="P161" s="12">
        <v>0</v>
      </c>
      <c r="Q161" s="14">
        <v>0</v>
      </c>
      <c r="R161" s="15">
        <v>438926.55270499998</v>
      </c>
      <c r="S161" s="16">
        <v>438926.55270499998</v>
      </c>
      <c r="T161" s="15">
        <v>184596.2</v>
      </c>
      <c r="U161" s="16">
        <v>0</v>
      </c>
      <c r="V161" s="15">
        <v>185775</v>
      </c>
      <c r="W161" s="16">
        <v>0</v>
      </c>
      <c r="X161" s="15">
        <v>26836.281500000005</v>
      </c>
      <c r="Y161" s="16">
        <v>0</v>
      </c>
      <c r="Z161" s="15">
        <v>13004.250000000002</v>
      </c>
      <c r="AA161" s="16">
        <v>0</v>
      </c>
      <c r="AB161" s="15">
        <v>28714.821205000004</v>
      </c>
      <c r="AC161" s="16">
        <v>0</v>
      </c>
      <c r="AD161" s="15">
        <v>0</v>
      </c>
      <c r="AE161" s="16">
        <v>0</v>
      </c>
      <c r="AF161" s="15">
        <v>0</v>
      </c>
      <c r="AG161" s="16">
        <v>0</v>
      </c>
      <c r="AH161" s="15">
        <v>0</v>
      </c>
      <c r="AI161" s="15" t="s">
        <v>503</v>
      </c>
      <c r="AJ161" s="14">
        <v>0.38314814814814818</v>
      </c>
      <c r="AK161" s="17">
        <v>43581</v>
      </c>
      <c r="AL161" s="18" t="s">
        <v>291</v>
      </c>
      <c r="AM161" s="14" t="s">
        <v>292</v>
      </c>
      <c r="AN161" s="14" t="s">
        <v>36</v>
      </c>
      <c r="AO161" s="14" t="s">
        <v>504</v>
      </c>
      <c r="AP161" s="14" t="s">
        <v>37</v>
      </c>
      <c r="AQ161" s="14" t="s">
        <v>184</v>
      </c>
      <c r="AR161" s="14" t="s">
        <v>4</v>
      </c>
      <c r="AS161" s="14">
        <v>0</v>
      </c>
      <c r="AT161" s="14">
        <v>0</v>
      </c>
      <c r="AU161" s="14">
        <v>0</v>
      </c>
      <c r="AV161" s="14">
        <v>0</v>
      </c>
      <c r="AW161" s="14"/>
      <c r="AX161" s="14"/>
      <c r="AY161" s="14"/>
      <c r="AZ161" s="14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  <c r="BL161" s="11"/>
      <c r="BM161" s="11"/>
      <c r="BN161" s="11"/>
    </row>
    <row r="162" spans="1:66" s="2" customFormat="1" ht="12" customHeight="1" x14ac:dyDescent="0.25">
      <c r="A162" s="9">
        <f t="shared" si="2"/>
        <v>1</v>
      </c>
      <c r="B162" s="6"/>
      <c r="C162" s="6"/>
      <c r="D162" s="24"/>
      <c r="E162" s="12" t="s">
        <v>38</v>
      </c>
      <c r="F162" s="25">
        <v>0</v>
      </c>
      <c r="G162" s="12" t="s">
        <v>505</v>
      </c>
      <c r="H162" s="12">
        <v>0</v>
      </c>
      <c r="I162" s="12">
        <v>0</v>
      </c>
      <c r="J162" s="12">
        <v>0</v>
      </c>
      <c r="K162" s="12">
        <v>0</v>
      </c>
      <c r="L162" s="13">
        <v>0</v>
      </c>
      <c r="M162" s="13">
        <v>0</v>
      </c>
      <c r="N162" s="12">
        <v>0</v>
      </c>
      <c r="O162" s="12">
        <v>0</v>
      </c>
      <c r="P162" s="12">
        <v>0</v>
      </c>
      <c r="Q162" s="14">
        <v>0</v>
      </c>
      <c r="R162" s="15">
        <v>753016.98757999996</v>
      </c>
      <c r="S162" s="16">
        <v>753016.98757999996</v>
      </c>
      <c r="T162" s="15">
        <v>419682</v>
      </c>
      <c r="U162" s="16">
        <v>0</v>
      </c>
      <c r="V162" s="15">
        <v>222460</v>
      </c>
      <c r="W162" s="16">
        <v>0</v>
      </c>
      <c r="X162" s="15">
        <v>46039.993999999999</v>
      </c>
      <c r="Y162" s="16">
        <v>0</v>
      </c>
      <c r="Z162" s="15">
        <v>15572.2</v>
      </c>
      <c r="AA162" s="16">
        <v>0</v>
      </c>
      <c r="AB162" s="15">
        <v>49262.793579999998</v>
      </c>
      <c r="AC162" s="16">
        <v>0</v>
      </c>
      <c r="AD162" s="15">
        <v>0</v>
      </c>
      <c r="AE162" s="16">
        <v>0</v>
      </c>
      <c r="AF162" s="15">
        <v>0</v>
      </c>
      <c r="AG162" s="16">
        <v>0</v>
      </c>
      <c r="AH162" s="15">
        <v>0</v>
      </c>
      <c r="AI162" s="15" t="s">
        <v>506</v>
      </c>
      <c r="AJ162" s="14">
        <v>0.62384259259259256</v>
      </c>
      <c r="AK162" s="17">
        <v>43584</v>
      </c>
      <c r="AL162" s="18" t="s">
        <v>291</v>
      </c>
      <c r="AM162" s="14" t="s">
        <v>292</v>
      </c>
      <c r="AN162" s="14" t="s">
        <v>36</v>
      </c>
      <c r="AO162" s="14" t="s">
        <v>507</v>
      </c>
      <c r="AP162" s="14" t="s">
        <v>37</v>
      </c>
      <c r="AQ162" s="14" t="s">
        <v>184</v>
      </c>
      <c r="AR162" s="14" t="s">
        <v>4</v>
      </c>
      <c r="AS162" s="14">
        <v>0</v>
      </c>
      <c r="AT162" s="14">
        <v>0</v>
      </c>
      <c r="AU162" s="14">
        <v>0</v>
      </c>
      <c r="AV162" s="14">
        <v>0</v>
      </c>
      <c r="AW162" s="14"/>
      <c r="AX162" s="14"/>
      <c r="AY162" s="14"/>
      <c r="AZ162" s="14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  <c r="BL162" s="11"/>
      <c r="BM162" s="11"/>
      <c r="BN162" s="11"/>
    </row>
    <row r="163" spans="1:66" s="2" customFormat="1" ht="12" customHeight="1" x14ac:dyDescent="0.25">
      <c r="A163" s="9">
        <f t="shared" si="2"/>
        <v>1</v>
      </c>
      <c r="B163" s="6"/>
      <c r="C163" s="6"/>
      <c r="D163" s="24"/>
      <c r="E163" s="12" t="s">
        <v>38</v>
      </c>
      <c r="F163" s="25">
        <v>0</v>
      </c>
      <c r="G163" s="12" t="s">
        <v>508</v>
      </c>
      <c r="H163" s="12">
        <v>0</v>
      </c>
      <c r="I163" s="12">
        <v>0</v>
      </c>
      <c r="J163" s="12">
        <v>0</v>
      </c>
      <c r="K163" s="12">
        <v>0</v>
      </c>
      <c r="L163" s="13">
        <v>0</v>
      </c>
      <c r="M163" s="13">
        <v>0</v>
      </c>
      <c r="N163" s="12">
        <v>0</v>
      </c>
      <c r="O163" s="12">
        <v>0</v>
      </c>
      <c r="P163" s="12">
        <v>0</v>
      </c>
      <c r="Q163" s="14">
        <v>0</v>
      </c>
      <c r="R163" s="15">
        <v>26338.370196</v>
      </c>
      <c r="S163" s="16">
        <v>26338.370196</v>
      </c>
      <c r="T163" s="15">
        <v>24826.44</v>
      </c>
      <c r="U163" s="16">
        <v>0</v>
      </c>
      <c r="V163" s="15">
        <v>0</v>
      </c>
      <c r="W163" s="16">
        <v>0</v>
      </c>
      <c r="X163" s="15">
        <v>744.79319999999996</v>
      </c>
      <c r="Y163" s="16">
        <v>0</v>
      </c>
      <c r="Z163" s="15">
        <v>0</v>
      </c>
      <c r="AA163" s="16">
        <v>0</v>
      </c>
      <c r="AB163" s="15">
        <v>767.13699599999995</v>
      </c>
      <c r="AC163" s="16">
        <v>0</v>
      </c>
      <c r="AD163" s="15">
        <v>0</v>
      </c>
      <c r="AE163" s="16">
        <v>0</v>
      </c>
      <c r="AF163" s="15">
        <v>0</v>
      </c>
      <c r="AG163" s="16">
        <v>0</v>
      </c>
      <c r="AH163" s="15">
        <v>0</v>
      </c>
      <c r="AI163" s="15" t="s">
        <v>509</v>
      </c>
      <c r="AJ163" s="14">
        <v>0.61103009259259256</v>
      </c>
      <c r="AK163" s="17">
        <v>43593</v>
      </c>
      <c r="AL163" s="18" t="s">
        <v>291</v>
      </c>
      <c r="AM163" s="14" t="s">
        <v>292</v>
      </c>
      <c r="AN163" s="14" t="s">
        <v>36</v>
      </c>
      <c r="AO163" s="14" t="s">
        <v>510</v>
      </c>
      <c r="AP163" s="14" t="s">
        <v>37</v>
      </c>
      <c r="AQ163" s="14" t="s">
        <v>184</v>
      </c>
      <c r="AR163" s="14" t="s">
        <v>4</v>
      </c>
      <c r="AS163" s="14">
        <v>0</v>
      </c>
      <c r="AT163" s="14">
        <v>0</v>
      </c>
      <c r="AU163" s="14">
        <v>0</v>
      </c>
      <c r="AV163" s="14">
        <v>0</v>
      </c>
      <c r="AW163" s="14"/>
      <c r="AX163" s="14"/>
      <c r="AY163" s="14"/>
      <c r="AZ163" s="14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  <c r="BL163" s="11"/>
      <c r="BM163" s="11"/>
      <c r="BN163" s="11"/>
    </row>
    <row r="164" spans="1:66" s="2" customFormat="1" ht="12" customHeight="1" x14ac:dyDescent="0.25">
      <c r="A164" s="9">
        <f t="shared" si="2"/>
        <v>1</v>
      </c>
      <c r="B164" s="6"/>
      <c r="C164" s="6"/>
      <c r="D164" s="24"/>
      <c r="E164" s="12" t="s">
        <v>38</v>
      </c>
      <c r="F164" s="25">
        <v>0</v>
      </c>
      <c r="G164" s="12" t="s">
        <v>511</v>
      </c>
      <c r="H164" s="12">
        <v>0</v>
      </c>
      <c r="I164" s="12">
        <v>0</v>
      </c>
      <c r="J164" s="12">
        <v>0</v>
      </c>
      <c r="K164" s="12">
        <v>0</v>
      </c>
      <c r="L164" s="13">
        <v>0</v>
      </c>
      <c r="M164" s="13">
        <v>0</v>
      </c>
      <c r="N164" s="12">
        <v>0</v>
      </c>
      <c r="O164" s="12">
        <v>0</v>
      </c>
      <c r="P164" s="12">
        <v>0</v>
      </c>
      <c r="Q164" s="14">
        <v>0</v>
      </c>
      <c r="R164" s="15">
        <v>86449.653781000001</v>
      </c>
      <c r="S164" s="16">
        <v>86449.653781000001</v>
      </c>
      <c r="T164" s="15">
        <v>25714.65</v>
      </c>
      <c r="U164" s="16">
        <v>0</v>
      </c>
      <c r="V164" s="15">
        <v>54148</v>
      </c>
      <c r="W164" s="16">
        <v>0</v>
      </c>
      <c r="X164" s="15">
        <v>2444.6126999999997</v>
      </c>
      <c r="Y164" s="16">
        <v>0</v>
      </c>
      <c r="Z164" s="15">
        <v>1624.4399999999998</v>
      </c>
      <c r="AA164" s="16">
        <v>0</v>
      </c>
      <c r="AB164" s="15">
        <v>2517.9510809999997</v>
      </c>
      <c r="AC164" s="16">
        <v>0</v>
      </c>
      <c r="AD164" s="15">
        <v>0</v>
      </c>
      <c r="AE164" s="16">
        <v>0</v>
      </c>
      <c r="AF164" s="15">
        <v>0</v>
      </c>
      <c r="AG164" s="16">
        <v>0</v>
      </c>
      <c r="AH164" s="15">
        <v>0</v>
      </c>
      <c r="AI164" s="15" t="s">
        <v>512</v>
      </c>
      <c r="AJ164" s="14">
        <v>0.68747685185185192</v>
      </c>
      <c r="AK164" s="17">
        <v>43675</v>
      </c>
      <c r="AL164" s="18" t="s">
        <v>291</v>
      </c>
      <c r="AM164" s="14" t="s">
        <v>292</v>
      </c>
      <c r="AN164" s="14" t="s">
        <v>36</v>
      </c>
      <c r="AO164" s="14" t="s">
        <v>513</v>
      </c>
      <c r="AP164" s="14" t="s">
        <v>37</v>
      </c>
      <c r="AQ164" s="14" t="s">
        <v>184</v>
      </c>
      <c r="AR164" s="14" t="s">
        <v>4</v>
      </c>
      <c r="AS164" s="14">
        <v>0</v>
      </c>
      <c r="AT164" s="14">
        <v>0</v>
      </c>
      <c r="AU164" s="14">
        <v>0</v>
      </c>
      <c r="AV164" s="14">
        <v>0</v>
      </c>
      <c r="AW164" s="14"/>
      <c r="AX164" s="14"/>
      <c r="AY164" s="14"/>
      <c r="AZ164" s="14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  <c r="BL164" s="11"/>
      <c r="BM164" s="11"/>
      <c r="BN164" s="11"/>
    </row>
    <row r="165" spans="1:66" s="2" customFormat="1" ht="12" customHeight="1" x14ac:dyDescent="0.25">
      <c r="A165" s="9">
        <f t="shared" si="2"/>
        <v>1</v>
      </c>
      <c r="B165" s="6"/>
      <c r="C165" s="6"/>
      <c r="D165" s="24"/>
      <c r="E165" s="12" t="s">
        <v>38</v>
      </c>
      <c r="F165" s="25">
        <v>0</v>
      </c>
      <c r="G165" s="12" t="s">
        <v>514</v>
      </c>
      <c r="H165" s="12">
        <v>0</v>
      </c>
      <c r="I165" s="12">
        <v>0</v>
      </c>
      <c r="J165" s="12">
        <v>0</v>
      </c>
      <c r="K165" s="12">
        <v>0</v>
      </c>
      <c r="L165" s="13">
        <v>0</v>
      </c>
      <c r="M165" s="13">
        <v>0</v>
      </c>
      <c r="N165" s="12">
        <v>0</v>
      </c>
      <c r="O165" s="12">
        <v>0</v>
      </c>
      <c r="P165" s="12">
        <v>0</v>
      </c>
      <c r="Q165" s="14">
        <v>0</v>
      </c>
      <c r="R165" s="15">
        <v>11296610.08</v>
      </c>
      <c r="S165" s="16">
        <v>11296610.08</v>
      </c>
      <c r="T165" s="15">
        <v>11296610.08</v>
      </c>
      <c r="U165" s="16">
        <v>0</v>
      </c>
      <c r="V165" s="15">
        <v>0</v>
      </c>
      <c r="W165" s="16">
        <v>0</v>
      </c>
      <c r="X165" s="15">
        <v>0</v>
      </c>
      <c r="Y165" s="16">
        <v>0</v>
      </c>
      <c r="Z165" s="15">
        <v>0</v>
      </c>
      <c r="AA165" s="16">
        <v>0</v>
      </c>
      <c r="AB165" s="15">
        <v>0</v>
      </c>
      <c r="AC165" s="16">
        <v>0</v>
      </c>
      <c r="AD165" s="15">
        <v>0</v>
      </c>
      <c r="AE165" s="16">
        <v>0</v>
      </c>
      <c r="AF165" s="15">
        <v>0</v>
      </c>
      <c r="AG165" s="16">
        <v>0</v>
      </c>
      <c r="AH165" s="15">
        <v>0</v>
      </c>
      <c r="AI165" s="15" t="s">
        <v>515</v>
      </c>
      <c r="AJ165" s="14">
        <v>0.46251157407407412</v>
      </c>
      <c r="AK165" s="17">
        <v>43605</v>
      </c>
      <c r="AL165" s="18" t="s">
        <v>291</v>
      </c>
      <c r="AM165" s="14" t="s">
        <v>292</v>
      </c>
      <c r="AN165" s="14" t="s">
        <v>36</v>
      </c>
      <c r="AO165" s="14" t="s">
        <v>516</v>
      </c>
      <c r="AP165" s="14" t="s">
        <v>37</v>
      </c>
      <c r="AQ165" s="14" t="s">
        <v>184</v>
      </c>
      <c r="AR165" s="14" t="s">
        <v>4</v>
      </c>
      <c r="AS165" s="14">
        <v>0</v>
      </c>
      <c r="AT165" s="14">
        <v>0</v>
      </c>
      <c r="AU165" s="14">
        <v>0</v>
      </c>
      <c r="AV165" s="14">
        <v>0</v>
      </c>
      <c r="AW165" s="14"/>
      <c r="AX165" s="14"/>
      <c r="AY165" s="14"/>
      <c r="AZ165" s="14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  <c r="BL165" s="11"/>
      <c r="BM165" s="11"/>
      <c r="BN165" s="11"/>
    </row>
    <row r="166" spans="1:66" s="2" customFormat="1" ht="12" customHeight="1" x14ac:dyDescent="0.25">
      <c r="A166" s="9">
        <f t="shared" si="2"/>
        <v>1</v>
      </c>
      <c r="B166" s="6"/>
      <c r="C166" s="6"/>
      <c r="D166" s="24"/>
      <c r="E166" s="12" t="s">
        <v>38</v>
      </c>
      <c r="F166" s="25">
        <v>0</v>
      </c>
      <c r="G166" s="12" t="s">
        <v>517</v>
      </c>
      <c r="H166" s="12">
        <v>0</v>
      </c>
      <c r="I166" s="12">
        <v>0</v>
      </c>
      <c r="J166" s="12">
        <v>0</v>
      </c>
      <c r="K166" s="12">
        <v>0</v>
      </c>
      <c r="L166" s="13">
        <v>0</v>
      </c>
      <c r="M166" s="13">
        <v>0</v>
      </c>
      <c r="N166" s="12">
        <v>0</v>
      </c>
      <c r="O166" s="12">
        <v>0</v>
      </c>
      <c r="P166" s="12">
        <v>0</v>
      </c>
      <c r="Q166" s="14">
        <v>0</v>
      </c>
      <c r="R166" s="15">
        <v>765714.40999999992</v>
      </c>
      <c r="S166" s="16">
        <v>765714.40999999992</v>
      </c>
      <c r="T166" s="15">
        <v>478656.41</v>
      </c>
      <c r="U166" s="16">
        <v>0</v>
      </c>
      <c r="V166" s="15">
        <v>287058</v>
      </c>
      <c r="W166" s="16">
        <v>0</v>
      </c>
      <c r="X166" s="15">
        <v>0</v>
      </c>
      <c r="Y166" s="16">
        <v>0</v>
      </c>
      <c r="Z166" s="15">
        <v>0</v>
      </c>
      <c r="AA166" s="16">
        <v>0</v>
      </c>
      <c r="AB166" s="15">
        <v>0</v>
      </c>
      <c r="AC166" s="16">
        <v>0</v>
      </c>
      <c r="AD166" s="15">
        <v>0</v>
      </c>
      <c r="AE166" s="16">
        <v>0</v>
      </c>
      <c r="AF166" s="15">
        <v>0</v>
      </c>
      <c r="AG166" s="16">
        <v>0</v>
      </c>
      <c r="AH166" s="15">
        <v>0</v>
      </c>
      <c r="AI166" s="15" t="s">
        <v>518</v>
      </c>
      <c r="AJ166" s="14">
        <v>0.71550925925925923</v>
      </c>
      <c r="AK166" s="17">
        <v>43626</v>
      </c>
      <c r="AL166" s="18" t="s">
        <v>40</v>
      </c>
      <c r="AM166" s="14" t="s">
        <v>410</v>
      </c>
      <c r="AN166" s="14" t="s">
        <v>36</v>
      </c>
      <c r="AO166" s="14" t="s">
        <v>519</v>
      </c>
      <c r="AP166" s="14" t="s">
        <v>37</v>
      </c>
      <c r="AQ166" s="14" t="s">
        <v>184</v>
      </c>
      <c r="AR166" s="14" t="s">
        <v>4</v>
      </c>
      <c r="AS166" s="14">
        <v>0</v>
      </c>
      <c r="AT166" s="14">
        <v>0</v>
      </c>
      <c r="AU166" s="14">
        <v>0</v>
      </c>
      <c r="AV166" s="14">
        <v>0</v>
      </c>
      <c r="AW166" s="14"/>
      <c r="AX166" s="14"/>
      <c r="AY166" s="14"/>
      <c r="AZ166" s="14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  <c r="BL166" s="11"/>
      <c r="BM166" s="11"/>
      <c r="BN166" s="11"/>
    </row>
    <row r="167" spans="1:66" s="2" customFormat="1" ht="12" customHeight="1" x14ac:dyDescent="0.25">
      <c r="A167" s="9">
        <f t="shared" si="2"/>
        <v>1</v>
      </c>
      <c r="B167" s="6"/>
      <c r="C167" s="6"/>
      <c r="D167" s="24"/>
      <c r="E167" s="12" t="s">
        <v>38</v>
      </c>
      <c r="F167" s="25">
        <v>0</v>
      </c>
      <c r="G167" s="12" t="s">
        <v>520</v>
      </c>
      <c r="H167" s="12">
        <v>0</v>
      </c>
      <c r="I167" s="12">
        <v>0</v>
      </c>
      <c r="J167" s="12">
        <v>0</v>
      </c>
      <c r="K167" s="12">
        <v>0</v>
      </c>
      <c r="L167" s="13">
        <v>0</v>
      </c>
      <c r="M167" s="13">
        <v>0</v>
      </c>
      <c r="N167" s="12">
        <v>0</v>
      </c>
      <c r="O167" s="12">
        <v>0</v>
      </c>
      <c r="P167" s="12">
        <v>0</v>
      </c>
      <c r="Q167" s="14">
        <v>0</v>
      </c>
      <c r="R167" s="15">
        <v>735841.03</v>
      </c>
      <c r="S167" s="16">
        <v>735841.03</v>
      </c>
      <c r="T167" s="15">
        <v>460249.02999999997</v>
      </c>
      <c r="U167" s="16">
        <v>0</v>
      </c>
      <c r="V167" s="15">
        <v>275592</v>
      </c>
      <c r="W167" s="16">
        <v>0</v>
      </c>
      <c r="X167" s="15">
        <v>0</v>
      </c>
      <c r="Y167" s="16">
        <v>0</v>
      </c>
      <c r="Z167" s="15">
        <v>0</v>
      </c>
      <c r="AA167" s="16">
        <v>0</v>
      </c>
      <c r="AB167" s="15">
        <v>0</v>
      </c>
      <c r="AC167" s="16">
        <v>0</v>
      </c>
      <c r="AD167" s="15">
        <v>0</v>
      </c>
      <c r="AE167" s="16">
        <v>0</v>
      </c>
      <c r="AF167" s="15">
        <v>0</v>
      </c>
      <c r="AG167" s="16">
        <v>0</v>
      </c>
      <c r="AH167" s="15">
        <v>0</v>
      </c>
      <c r="AI167" s="15" t="s">
        <v>521</v>
      </c>
      <c r="AJ167" s="14">
        <v>0.71568287037037026</v>
      </c>
      <c r="AK167" s="17">
        <v>43626</v>
      </c>
      <c r="AL167" s="18" t="s">
        <v>40</v>
      </c>
      <c r="AM167" s="14" t="s">
        <v>410</v>
      </c>
      <c r="AN167" s="14" t="s">
        <v>36</v>
      </c>
      <c r="AO167" s="14" t="s">
        <v>522</v>
      </c>
      <c r="AP167" s="14" t="s">
        <v>37</v>
      </c>
      <c r="AQ167" s="14" t="s">
        <v>184</v>
      </c>
      <c r="AR167" s="14" t="s">
        <v>4</v>
      </c>
      <c r="AS167" s="14">
        <v>0</v>
      </c>
      <c r="AT167" s="14">
        <v>0</v>
      </c>
      <c r="AU167" s="14">
        <v>0</v>
      </c>
      <c r="AV167" s="14">
        <v>0</v>
      </c>
      <c r="AW167" s="14"/>
      <c r="AX167" s="14"/>
      <c r="AY167" s="14"/>
      <c r="AZ167" s="14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  <c r="BL167" s="11"/>
      <c r="BM167" s="11"/>
      <c r="BN167" s="11"/>
    </row>
    <row r="168" spans="1:66" s="2" customFormat="1" ht="12" customHeight="1" x14ac:dyDescent="0.25">
      <c r="A168" s="9">
        <f t="shared" si="2"/>
        <v>1</v>
      </c>
      <c r="B168" s="6"/>
      <c r="C168" s="6"/>
      <c r="D168" s="24"/>
      <c r="E168" s="12" t="s">
        <v>38</v>
      </c>
      <c r="F168" s="25">
        <v>0</v>
      </c>
      <c r="G168" s="12" t="s">
        <v>523</v>
      </c>
      <c r="H168" s="12">
        <v>0</v>
      </c>
      <c r="I168" s="12">
        <v>0</v>
      </c>
      <c r="J168" s="12">
        <v>0</v>
      </c>
      <c r="K168" s="12">
        <v>0</v>
      </c>
      <c r="L168" s="13">
        <v>0</v>
      </c>
      <c r="M168" s="13">
        <v>0</v>
      </c>
      <c r="N168" s="12">
        <v>0</v>
      </c>
      <c r="O168" s="12">
        <v>0</v>
      </c>
      <c r="P168" s="12">
        <v>0</v>
      </c>
      <c r="Q168" s="14">
        <v>0</v>
      </c>
      <c r="R168" s="15">
        <v>777267.40999999992</v>
      </c>
      <c r="S168" s="16">
        <v>777267.40999999992</v>
      </c>
      <c r="T168" s="15">
        <v>493106.41</v>
      </c>
      <c r="U168" s="16">
        <v>0</v>
      </c>
      <c r="V168" s="15">
        <v>284161</v>
      </c>
      <c r="W168" s="16">
        <v>0</v>
      </c>
      <c r="X168" s="15">
        <v>0</v>
      </c>
      <c r="Y168" s="16">
        <v>0</v>
      </c>
      <c r="Z168" s="15">
        <v>0</v>
      </c>
      <c r="AA168" s="16">
        <v>0</v>
      </c>
      <c r="AB168" s="15">
        <v>0</v>
      </c>
      <c r="AC168" s="16">
        <v>0</v>
      </c>
      <c r="AD168" s="15">
        <v>0</v>
      </c>
      <c r="AE168" s="16">
        <v>0</v>
      </c>
      <c r="AF168" s="15">
        <v>0</v>
      </c>
      <c r="AG168" s="16">
        <v>0</v>
      </c>
      <c r="AH168" s="15">
        <v>0</v>
      </c>
      <c r="AI168" s="15" t="s">
        <v>524</v>
      </c>
      <c r="AJ168" s="14">
        <v>0.71597222222222223</v>
      </c>
      <c r="AK168" s="17">
        <v>43626</v>
      </c>
      <c r="AL168" s="18" t="s">
        <v>40</v>
      </c>
      <c r="AM168" s="14" t="s">
        <v>410</v>
      </c>
      <c r="AN168" s="14" t="s">
        <v>36</v>
      </c>
      <c r="AO168" s="14" t="s">
        <v>525</v>
      </c>
      <c r="AP168" s="14" t="s">
        <v>37</v>
      </c>
      <c r="AQ168" s="14" t="s">
        <v>184</v>
      </c>
      <c r="AR168" s="14" t="s">
        <v>4</v>
      </c>
      <c r="AS168" s="14">
        <v>0</v>
      </c>
      <c r="AT168" s="14">
        <v>0</v>
      </c>
      <c r="AU168" s="14">
        <v>0</v>
      </c>
      <c r="AV168" s="14">
        <v>0</v>
      </c>
      <c r="AW168" s="14"/>
      <c r="AX168" s="14"/>
      <c r="AY168" s="14"/>
      <c r="AZ168" s="14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  <c r="BL168" s="11"/>
      <c r="BM168" s="11"/>
      <c r="BN168" s="11"/>
    </row>
    <row r="169" spans="1:66" s="2" customFormat="1" ht="12" customHeight="1" x14ac:dyDescent="0.25">
      <c r="A169" s="9">
        <f t="shared" si="2"/>
        <v>1</v>
      </c>
      <c r="B169" s="6"/>
      <c r="C169" s="6"/>
      <c r="D169" s="24"/>
      <c r="E169" s="12" t="s">
        <v>38</v>
      </c>
      <c r="F169" s="25">
        <v>0</v>
      </c>
      <c r="G169" s="12" t="s">
        <v>526</v>
      </c>
      <c r="H169" s="12">
        <v>0</v>
      </c>
      <c r="I169" s="12">
        <v>0</v>
      </c>
      <c r="J169" s="12">
        <v>0</v>
      </c>
      <c r="K169" s="12">
        <v>0</v>
      </c>
      <c r="L169" s="13">
        <v>0</v>
      </c>
      <c r="M169" s="13">
        <v>0</v>
      </c>
      <c r="N169" s="12">
        <v>0</v>
      </c>
      <c r="O169" s="12">
        <v>0</v>
      </c>
      <c r="P169" s="12">
        <v>0</v>
      </c>
      <c r="Q169" s="14">
        <v>0</v>
      </c>
      <c r="R169" s="15">
        <v>871837.52</v>
      </c>
      <c r="S169" s="16">
        <v>871837.52</v>
      </c>
      <c r="T169" s="15">
        <v>552523.52000000002</v>
      </c>
      <c r="U169" s="16">
        <v>0</v>
      </c>
      <c r="V169" s="15">
        <v>319314</v>
      </c>
      <c r="W169" s="16">
        <v>0</v>
      </c>
      <c r="X169" s="15">
        <v>0</v>
      </c>
      <c r="Y169" s="16">
        <v>0</v>
      </c>
      <c r="Z169" s="15">
        <v>0</v>
      </c>
      <c r="AA169" s="16">
        <v>0</v>
      </c>
      <c r="AB169" s="15">
        <v>0</v>
      </c>
      <c r="AC169" s="16">
        <v>0</v>
      </c>
      <c r="AD169" s="15">
        <v>0</v>
      </c>
      <c r="AE169" s="16">
        <v>0</v>
      </c>
      <c r="AF169" s="15">
        <v>0</v>
      </c>
      <c r="AG169" s="16">
        <v>0</v>
      </c>
      <c r="AH169" s="15">
        <v>0</v>
      </c>
      <c r="AI169" s="15" t="s">
        <v>527</v>
      </c>
      <c r="AJ169" s="14">
        <v>0.64254629629629634</v>
      </c>
      <c r="AK169" s="17">
        <v>43626</v>
      </c>
      <c r="AL169" s="18" t="s">
        <v>40</v>
      </c>
      <c r="AM169" s="14" t="s">
        <v>410</v>
      </c>
      <c r="AN169" s="14" t="s">
        <v>36</v>
      </c>
      <c r="AO169" s="14" t="s">
        <v>528</v>
      </c>
      <c r="AP169" s="14" t="s">
        <v>37</v>
      </c>
      <c r="AQ169" s="14" t="s">
        <v>184</v>
      </c>
      <c r="AR169" s="14" t="s">
        <v>4</v>
      </c>
      <c r="AS169" s="14">
        <v>0</v>
      </c>
      <c r="AT169" s="14">
        <v>0</v>
      </c>
      <c r="AU169" s="14">
        <v>0</v>
      </c>
      <c r="AV169" s="14">
        <v>0</v>
      </c>
      <c r="AW169" s="14"/>
      <c r="AX169" s="14"/>
      <c r="AY169" s="14"/>
      <c r="AZ169" s="14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  <c r="BL169" s="11"/>
      <c r="BM169" s="11"/>
      <c r="BN169" s="11"/>
    </row>
    <row r="170" spans="1:66" s="2" customFormat="1" ht="12" customHeight="1" x14ac:dyDescent="0.25">
      <c r="A170" s="9">
        <f t="shared" si="2"/>
        <v>1</v>
      </c>
      <c r="B170" s="6"/>
      <c r="C170" s="6"/>
      <c r="D170" s="24"/>
      <c r="E170" s="12" t="s">
        <v>38</v>
      </c>
      <c r="F170" s="25">
        <v>0</v>
      </c>
      <c r="G170" s="12" t="s">
        <v>529</v>
      </c>
      <c r="H170" s="12">
        <v>0</v>
      </c>
      <c r="I170" s="12">
        <v>0</v>
      </c>
      <c r="J170" s="12">
        <v>0</v>
      </c>
      <c r="K170" s="12">
        <v>0</v>
      </c>
      <c r="L170" s="13">
        <v>0</v>
      </c>
      <c r="M170" s="13">
        <v>0</v>
      </c>
      <c r="N170" s="12">
        <v>0</v>
      </c>
      <c r="O170" s="12">
        <v>0</v>
      </c>
      <c r="P170" s="12">
        <v>0</v>
      </c>
      <c r="Q170" s="14">
        <v>0</v>
      </c>
      <c r="R170" s="15">
        <v>656558.38</v>
      </c>
      <c r="S170" s="16">
        <v>656558.38</v>
      </c>
      <c r="T170" s="15">
        <v>417172.38</v>
      </c>
      <c r="U170" s="16">
        <v>0</v>
      </c>
      <c r="V170" s="15">
        <v>239386</v>
      </c>
      <c r="W170" s="16">
        <v>0</v>
      </c>
      <c r="X170" s="15">
        <v>0</v>
      </c>
      <c r="Y170" s="16">
        <v>0</v>
      </c>
      <c r="Z170" s="15">
        <v>0</v>
      </c>
      <c r="AA170" s="16">
        <v>0</v>
      </c>
      <c r="AB170" s="15">
        <v>0</v>
      </c>
      <c r="AC170" s="16">
        <v>0</v>
      </c>
      <c r="AD170" s="15">
        <v>0</v>
      </c>
      <c r="AE170" s="16">
        <v>0</v>
      </c>
      <c r="AF170" s="15">
        <v>0</v>
      </c>
      <c r="AG170" s="16">
        <v>0</v>
      </c>
      <c r="AH170" s="15">
        <v>0</v>
      </c>
      <c r="AI170" s="15" t="s">
        <v>530</v>
      </c>
      <c r="AJ170" s="14">
        <v>0.65995370370370365</v>
      </c>
      <c r="AK170" s="17">
        <v>43626</v>
      </c>
      <c r="AL170" s="18" t="s">
        <v>40</v>
      </c>
      <c r="AM170" s="14" t="s">
        <v>410</v>
      </c>
      <c r="AN170" s="14" t="s">
        <v>36</v>
      </c>
      <c r="AO170" s="14" t="s">
        <v>531</v>
      </c>
      <c r="AP170" s="14" t="s">
        <v>37</v>
      </c>
      <c r="AQ170" s="14" t="s">
        <v>184</v>
      </c>
      <c r="AR170" s="14" t="s">
        <v>4</v>
      </c>
      <c r="AS170" s="14">
        <v>0</v>
      </c>
      <c r="AT170" s="14">
        <v>0</v>
      </c>
      <c r="AU170" s="14">
        <v>0</v>
      </c>
      <c r="AV170" s="14">
        <v>0</v>
      </c>
      <c r="AW170" s="14"/>
      <c r="AX170" s="14"/>
      <c r="AY170" s="14"/>
      <c r="AZ170" s="14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  <c r="BL170" s="11"/>
      <c r="BM170" s="11"/>
      <c r="BN170" s="11"/>
    </row>
    <row r="171" spans="1:66" s="2" customFormat="1" ht="12" customHeight="1" x14ac:dyDescent="0.25">
      <c r="A171" s="9">
        <f t="shared" si="2"/>
        <v>1</v>
      </c>
      <c r="B171" s="6"/>
      <c r="C171" s="6"/>
      <c r="D171" s="24"/>
      <c r="E171" s="12" t="s">
        <v>38</v>
      </c>
      <c r="F171" s="25">
        <v>0</v>
      </c>
      <c r="G171" s="12" t="s">
        <v>532</v>
      </c>
      <c r="H171" s="12">
        <v>0</v>
      </c>
      <c r="I171" s="12">
        <v>0</v>
      </c>
      <c r="J171" s="12">
        <v>0</v>
      </c>
      <c r="K171" s="12">
        <v>0</v>
      </c>
      <c r="L171" s="13">
        <v>0</v>
      </c>
      <c r="M171" s="13">
        <v>0</v>
      </c>
      <c r="N171" s="12">
        <v>0</v>
      </c>
      <c r="O171" s="12">
        <v>0</v>
      </c>
      <c r="P171" s="12">
        <v>0</v>
      </c>
      <c r="Q171" s="14">
        <v>0</v>
      </c>
      <c r="R171" s="15">
        <v>700975.26</v>
      </c>
      <c r="S171" s="16">
        <v>700975.26</v>
      </c>
      <c r="T171" s="15">
        <v>440237.25999999995</v>
      </c>
      <c r="U171" s="16">
        <v>0</v>
      </c>
      <c r="V171" s="15">
        <v>260738</v>
      </c>
      <c r="W171" s="16">
        <v>0</v>
      </c>
      <c r="X171" s="15">
        <v>0</v>
      </c>
      <c r="Y171" s="16">
        <v>0</v>
      </c>
      <c r="Z171" s="15">
        <v>0</v>
      </c>
      <c r="AA171" s="16">
        <v>0</v>
      </c>
      <c r="AB171" s="15">
        <v>0</v>
      </c>
      <c r="AC171" s="16">
        <v>0</v>
      </c>
      <c r="AD171" s="15">
        <v>0</v>
      </c>
      <c r="AE171" s="16">
        <v>0</v>
      </c>
      <c r="AF171" s="15">
        <v>0</v>
      </c>
      <c r="AG171" s="16">
        <v>0</v>
      </c>
      <c r="AH171" s="15">
        <v>0</v>
      </c>
      <c r="AI171" s="15" t="s">
        <v>533</v>
      </c>
      <c r="AJ171" s="14">
        <v>0.6950925925925926</v>
      </c>
      <c r="AK171" s="17">
        <v>43626</v>
      </c>
      <c r="AL171" s="18" t="s">
        <v>40</v>
      </c>
      <c r="AM171" s="14" t="s">
        <v>410</v>
      </c>
      <c r="AN171" s="14" t="s">
        <v>36</v>
      </c>
      <c r="AO171" s="14" t="s">
        <v>534</v>
      </c>
      <c r="AP171" s="14" t="s">
        <v>37</v>
      </c>
      <c r="AQ171" s="14" t="s">
        <v>184</v>
      </c>
      <c r="AR171" s="14" t="s">
        <v>4</v>
      </c>
      <c r="AS171" s="14">
        <v>0</v>
      </c>
      <c r="AT171" s="14">
        <v>0</v>
      </c>
      <c r="AU171" s="14">
        <v>0</v>
      </c>
      <c r="AV171" s="14">
        <v>0</v>
      </c>
      <c r="AW171" s="14"/>
      <c r="AX171" s="14"/>
      <c r="AY171" s="14"/>
      <c r="AZ171" s="14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  <c r="BL171" s="11"/>
      <c r="BM171" s="11"/>
      <c r="BN171" s="11"/>
    </row>
    <row r="172" spans="1:66" s="2" customFormat="1" ht="12" customHeight="1" x14ac:dyDescent="0.25">
      <c r="A172" s="9">
        <f t="shared" si="2"/>
        <v>1</v>
      </c>
      <c r="B172" s="6"/>
      <c r="C172" s="6"/>
      <c r="D172" s="24"/>
      <c r="E172" s="12" t="s">
        <v>38</v>
      </c>
      <c r="F172" s="25">
        <v>0</v>
      </c>
      <c r="G172" s="12" t="s">
        <v>535</v>
      </c>
      <c r="H172" s="12">
        <v>0</v>
      </c>
      <c r="I172" s="12">
        <v>0</v>
      </c>
      <c r="J172" s="12">
        <v>0</v>
      </c>
      <c r="K172" s="12">
        <v>0</v>
      </c>
      <c r="L172" s="13">
        <v>0</v>
      </c>
      <c r="M172" s="13">
        <v>0</v>
      </c>
      <c r="N172" s="12">
        <v>0</v>
      </c>
      <c r="O172" s="12">
        <v>0</v>
      </c>
      <c r="P172" s="12">
        <v>0</v>
      </c>
      <c r="Q172" s="14">
        <v>0</v>
      </c>
      <c r="R172" s="15">
        <v>715671.7</v>
      </c>
      <c r="S172" s="16">
        <v>715671.7</v>
      </c>
      <c r="T172" s="15">
        <v>447364.69999999995</v>
      </c>
      <c r="U172" s="16">
        <v>0</v>
      </c>
      <c r="V172" s="15">
        <v>268307</v>
      </c>
      <c r="W172" s="16">
        <v>0</v>
      </c>
      <c r="X172" s="15">
        <v>0</v>
      </c>
      <c r="Y172" s="16">
        <v>0</v>
      </c>
      <c r="Z172" s="15">
        <v>0</v>
      </c>
      <c r="AA172" s="16">
        <v>0</v>
      </c>
      <c r="AB172" s="15">
        <v>0</v>
      </c>
      <c r="AC172" s="16">
        <v>0</v>
      </c>
      <c r="AD172" s="15">
        <v>0</v>
      </c>
      <c r="AE172" s="16">
        <v>0</v>
      </c>
      <c r="AF172" s="15">
        <v>0</v>
      </c>
      <c r="AG172" s="16">
        <v>0</v>
      </c>
      <c r="AH172" s="15">
        <v>0</v>
      </c>
      <c r="AI172" s="15" t="s">
        <v>536</v>
      </c>
      <c r="AJ172" s="14">
        <v>0.70706018518518521</v>
      </c>
      <c r="AK172" s="17">
        <v>43626</v>
      </c>
      <c r="AL172" s="18" t="s">
        <v>40</v>
      </c>
      <c r="AM172" s="14" t="s">
        <v>410</v>
      </c>
      <c r="AN172" s="14" t="s">
        <v>36</v>
      </c>
      <c r="AO172" s="14" t="s">
        <v>537</v>
      </c>
      <c r="AP172" s="14" t="s">
        <v>37</v>
      </c>
      <c r="AQ172" s="14" t="s">
        <v>184</v>
      </c>
      <c r="AR172" s="14" t="s">
        <v>4</v>
      </c>
      <c r="AS172" s="14">
        <v>0</v>
      </c>
      <c r="AT172" s="14">
        <v>0</v>
      </c>
      <c r="AU172" s="14">
        <v>0</v>
      </c>
      <c r="AV172" s="14">
        <v>0</v>
      </c>
      <c r="AW172" s="14"/>
      <c r="AX172" s="14"/>
      <c r="AY172" s="14"/>
      <c r="AZ172" s="14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  <c r="BL172" s="11"/>
      <c r="BM172" s="11"/>
      <c r="BN172" s="11"/>
    </row>
    <row r="173" spans="1:66" s="2" customFormat="1" ht="12" customHeight="1" x14ac:dyDescent="0.25">
      <c r="A173" s="9">
        <f t="shared" si="2"/>
        <v>1</v>
      </c>
      <c r="B173" s="6"/>
      <c r="C173" s="6"/>
      <c r="D173" s="24"/>
      <c r="E173" s="12" t="s">
        <v>38</v>
      </c>
      <c r="F173" s="25">
        <v>0</v>
      </c>
      <c r="G173" s="12" t="s">
        <v>538</v>
      </c>
      <c r="H173" s="12">
        <v>0</v>
      </c>
      <c r="I173" s="12">
        <v>0</v>
      </c>
      <c r="J173" s="12">
        <v>0</v>
      </c>
      <c r="K173" s="12">
        <v>0</v>
      </c>
      <c r="L173" s="13">
        <v>0</v>
      </c>
      <c r="M173" s="13">
        <v>0</v>
      </c>
      <c r="N173" s="12">
        <v>0</v>
      </c>
      <c r="O173" s="12">
        <v>0</v>
      </c>
      <c r="P173" s="12">
        <v>0</v>
      </c>
      <c r="Q173" s="14">
        <v>0</v>
      </c>
      <c r="R173" s="15">
        <v>659723.99</v>
      </c>
      <c r="S173" s="16">
        <v>659723.99</v>
      </c>
      <c r="T173" s="15">
        <v>391416.99</v>
      </c>
      <c r="U173" s="16">
        <v>0</v>
      </c>
      <c r="V173" s="15">
        <v>268307</v>
      </c>
      <c r="W173" s="16">
        <v>0</v>
      </c>
      <c r="X173" s="15">
        <v>0</v>
      </c>
      <c r="Y173" s="16">
        <v>0</v>
      </c>
      <c r="Z173" s="15">
        <v>0</v>
      </c>
      <c r="AA173" s="16">
        <v>0</v>
      </c>
      <c r="AB173" s="15">
        <v>0</v>
      </c>
      <c r="AC173" s="16">
        <v>0</v>
      </c>
      <c r="AD173" s="15">
        <v>0</v>
      </c>
      <c r="AE173" s="16">
        <v>0</v>
      </c>
      <c r="AF173" s="15">
        <v>0</v>
      </c>
      <c r="AG173" s="16">
        <v>0</v>
      </c>
      <c r="AH173" s="15">
        <v>0</v>
      </c>
      <c r="AI173" s="15" t="s">
        <v>539</v>
      </c>
      <c r="AJ173" s="14">
        <v>0.43939814814814815</v>
      </c>
      <c r="AK173" s="17">
        <v>43633</v>
      </c>
      <c r="AL173" s="18" t="s">
        <v>40</v>
      </c>
      <c r="AM173" s="14" t="s">
        <v>410</v>
      </c>
      <c r="AN173" s="14" t="s">
        <v>36</v>
      </c>
      <c r="AO173" s="14" t="s">
        <v>540</v>
      </c>
      <c r="AP173" s="14" t="s">
        <v>37</v>
      </c>
      <c r="AQ173" s="14" t="s">
        <v>184</v>
      </c>
      <c r="AR173" s="14" t="s">
        <v>4</v>
      </c>
      <c r="AS173" s="14">
        <v>0</v>
      </c>
      <c r="AT173" s="14">
        <v>0</v>
      </c>
      <c r="AU173" s="14">
        <v>0</v>
      </c>
      <c r="AV173" s="14">
        <v>0</v>
      </c>
      <c r="AW173" s="14"/>
      <c r="AX173" s="14"/>
      <c r="AY173" s="14"/>
      <c r="AZ173" s="14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  <c r="BL173" s="11"/>
      <c r="BM173" s="11"/>
      <c r="BN173" s="11"/>
    </row>
    <row r="174" spans="1:66" s="2" customFormat="1" ht="12" customHeight="1" x14ac:dyDescent="0.25">
      <c r="A174" s="9">
        <f t="shared" si="2"/>
        <v>1</v>
      </c>
      <c r="B174" s="6"/>
      <c r="C174" s="6"/>
      <c r="D174" s="24"/>
      <c r="E174" s="12" t="s">
        <v>38</v>
      </c>
      <c r="F174" s="25">
        <v>0</v>
      </c>
      <c r="G174" s="12" t="s">
        <v>541</v>
      </c>
      <c r="H174" s="12">
        <v>0</v>
      </c>
      <c r="I174" s="12">
        <v>0</v>
      </c>
      <c r="J174" s="12">
        <v>0</v>
      </c>
      <c r="K174" s="12">
        <v>0</v>
      </c>
      <c r="L174" s="13">
        <v>0</v>
      </c>
      <c r="M174" s="13">
        <v>0</v>
      </c>
      <c r="N174" s="12">
        <v>0</v>
      </c>
      <c r="O174" s="12">
        <v>0</v>
      </c>
      <c r="P174" s="12">
        <v>0</v>
      </c>
      <c r="Q174" s="14">
        <v>0</v>
      </c>
      <c r="R174" s="15">
        <v>0</v>
      </c>
      <c r="S174" s="16">
        <v>0</v>
      </c>
      <c r="T174" s="15">
        <v>0</v>
      </c>
      <c r="U174" s="16">
        <v>0</v>
      </c>
      <c r="V174" s="15">
        <v>0</v>
      </c>
      <c r="W174" s="16">
        <v>0</v>
      </c>
      <c r="X174" s="15">
        <v>0</v>
      </c>
      <c r="Y174" s="16">
        <v>0</v>
      </c>
      <c r="Z174" s="15">
        <v>0</v>
      </c>
      <c r="AA174" s="16">
        <v>0</v>
      </c>
      <c r="AB174" s="15">
        <v>0</v>
      </c>
      <c r="AC174" s="16">
        <v>0</v>
      </c>
      <c r="AD174" s="15">
        <v>0</v>
      </c>
      <c r="AE174" s="16">
        <v>0</v>
      </c>
      <c r="AF174" s="15">
        <v>0</v>
      </c>
      <c r="AG174" s="16">
        <v>0</v>
      </c>
      <c r="AH174" s="15">
        <v>0</v>
      </c>
      <c r="AI174" s="15" t="s">
        <v>542</v>
      </c>
      <c r="AJ174" s="14">
        <v>0.35250000000000004</v>
      </c>
      <c r="AK174" s="17">
        <v>43640</v>
      </c>
      <c r="AL174" s="18" t="s">
        <v>291</v>
      </c>
      <c r="AM174" s="14" t="s">
        <v>292</v>
      </c>
      <c r="AN174" s="14" t="s">
        <v>36</v>
      </c>
      <c r="AO174" s="14" t="s">
        <v>543</v>
      </c>
      <c r="AP174" s="14" t="s">
        <v>37</v>
      </c>
      <c r="AQ174" s="14" t="s">
        <v>184</v>
      </c>
      <c r="AR174" s="14" t="s">
        <v>4</v>
      </c>
      <c r="AS174" s="14">
        <v>0</v>
      </c>
      <c r="AT174" s="14">
        <v>0</v>
      </c>
      <c r="AU174" s="14">
        <v>0</v>
      </c>
      <c r="AV174" s="14">
        <v>0</v>
      </c>
      <c r="AW174" s="14"/>
      <c r="AX174" s="14"/>
      <c r="AY174" s="14"/>
      <c r="AZ174" s="14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  <c r="BL174" s="11"/>
      <c r="BM174" s="11"/>
      <c r="BN174" s="11"/>
    </row>
    <row r="175" spans="1:66" s="2" customFormat="1" ht="12" customHeight="1" x14ac:dyDescent="0.25">
      <c r="A175" s="9">
        <f t="shared" si="2"/>
        <v>1</v>
      </c>
      <c r="B175" s="6"/>
      <c r="C175" s="6"/>
      <c r="D175" s="24"/>
      <c r="E175" s="12" t="s">
        <v>38</v>
      </c>
      <c r="F175" s="25">
        <v>0</v>
      </c>
      <c r="G175" s="12" t="s">
        <v>544</v>
      </c>
      <c r="H175" s="12">
        <v>0</v>
      </c>
      <c r="I175" s="12">
        <v>0</v>
      </c>
      <c r="J175" s="12">
        <v>0</v>
      </c>
      <c r="K175" s="12">
        <v>0</v>
      </c>
      <c r="L175" s="13">
        <v>0</v>
      </c>
      <c r="M175" s="13">
        <v>0</v>
      </c>
      <c r="N175" s="12">
        <v>0</v>
      </c>
      <c r="O175" s="12">
        <v>0</v>
      </c>
      <c r="P175" s="12">
        <v>0</v>
      </c>
      <c r="Q175" s="14">
        <v>0</v>
      </c>
      <c r="R175" s="15">
        <v>1434989.8389299999</v>
      </c>
      <c r="S175" s="16">
        <v>1434989.8389299999</v>
      </c>
      <c r="T175" s="15">
        <v>696965</v>
      </c>
      <c r="U175" s="16">
        <v>0</v>
      </c>
      <c r="V175" s="15">
        <v>520010</v>
      </c>
      <c r="W175" s="16">
        <v>0</v>
      </c>
      <c r="X175" s="15">
        <v>87736.298999999999</v>
      </c>
      <c r="Y175" s="16">
        <v>0</v>
      </c>
      <c r="Z175" s="15">
        <v>36400.700000000004</v>
      </c>
      <c r="AA175" s="16">
        <v>0</v>
      </c>
      <c r="AB175" s="15">
        <v>93877.839930000002</v>
      </c>
      <c r="AC175" s="16">
        <v>0</v>
      </c>
      <c r="AD175" s="15">
        <v>0</v>
      </c>
      <c r="AE175" s="16">
        <v>0</v>
      </c>
      <c r="AF175" s="15">
        <v>0</v>
      </c>
      <c r="AG175" s="16">
        <v>0</v>
      </c>
      <c r="AH175" s="15">
        <v>0</v>
      </c>
      <c r="AI175" s="15" t="s">
        <v>545</v>
      </c>
      <c r="AJ175" s="14">
        <v>0.32166666666666666</v>
      </c>
      <c r="AK175" s="17">
        <v>43641</v>
      </c>
      <c r="AL175" s="18" t="s">
        <v>291</v>
      </c>
      <c r="AM175" s="14" t="s">
        <v>292</v>
      </c>
      <c r="AN175" s="14" t="s">
        <v>36</v>
      </c>
      <c r="AO175" s="14" t="s">
        <v>546</v>
      </c>
      <c r="AP175" s="14" t="s">
        <v>37</v>
      </c>
      <c r="AQ175" s="14" t="s">
        <v>184</v>
      </c>
      <c r="AR175" s="14" t="s">
        <v>4</v>
      </c>
      <c r="AS175" s="14">
        <v>0</v>
      </c>
      <c r="AT175" s="14">
        <v>0</v>
      </c>
      <c r="AU175" s="14">
        <v>0</v>
      </c>
      <c r="AV175" s="14">
        <v>0</v>
      </c>
      <c r="AW175" s="14"/>
      <c r="AX175" s="14"/>
      <c r="AY175" s="14"/>
      <c r="AZ175" s="14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  <c r="BL175" s="11"/>
      <c r="BM175" s="11"/>
      <c r="BN175" s="11"/>
    </row>
    <row r="176" spans="1:66" s="2" customFormat="1" ht="12" customHeight="1" x14ac:dyDescent="0.25">
      <c r="A176" s="9">
        <f t="shared" si="2"/>
        <v>1</v>
      </c>
      <c r="B176" s="6"/>
      <c r="C176" s="6"/>
      <c r="D176" s="24"/>
      <c r="E176" s="12" t="s">
        <v>38</v>
      </c>
      <c r="F176" s="25">
        <v>0</v>
      </c>
      <c r="G176" s="12" t="s">
        <v>547</v>
      </c>
      <c r="H176" s="12">
        <v>0</v>
      </c>
      <c r="I176" s="12">
        <v>0</v>
      </c>
      <c r="J176" s="12">
        <v>0</v>
      </c>
      <c r="K176" s="12">
        <v>0</v>
      </c>
      <c r="L176" s="13">
        <v>0</v>
      </c>
      <c r="M176" s="13">
        <v>0</v>
      </c>
      <c r="N176" s="12">
        <v>0</v>
      </c>
      <c r="O176" s="12">
        <v>0</v>
      </c>
      <c r="P176" s="12">
        <v>0</v>
      </c>
      <c r="Q176" s="14">
        <v>0</v>
      </c>
      <c r="R176" s="15">
        <v>16771.422569000002</v>
      </c>
      <c r="S176" s="16">
        <v>16771.422569000002</v>
      </c>
      <c r="T176" s="15">
        <v>6345.61</v>
      </c>
      <c r="U176" s="16">
        <v>0</v>
      </c>
      <c r="V176" s="15">
        <v>7760</v>
      </c>
      <c r="W176" s="16">
        <v>0</v>
      </c>
      <c r="X176" s="15">
        <v>1025.4167000000002</v>
      </c>
      <c r="Y176" s="16">
        <v>0</v>
      </c>
      <c r="Z176" s="15">
        <v>543.20000000000005</v>
      </c>
      <c r="AA176" s="16">
        <v>0</v>
      </c>
      <c r="AB176" s="15">
        <v>1097.1958690000001</v>
      </c>
      <c r="AC176" s="16">
        <v>0</v>
      </c>
      <c r="AD176" s="15">
        <v>0</v>
      </c>
      <c r="AE176" s="16">
        <v>0</v>
      </c>
      <c r="AF176" s="15">
        <v>0</v>
      </c>
      <c r="AG176" s="16">
        <v>0</v>
      </c>
      <c r="AH176" s="15">
        <v>0</v>
      </c>
      <c r="AI176" s="15" t="s">
        <v>548</v>
      </c>
      <c r="AJ176" s="14">
        <v>0.45678240740740739</v>
      </c>
      <c r="AK176" s="17">
        <v>43642</v>
      </c>
      <c r="AL176" s="18" t="s">
        <v>291</v>
      </c>
      <c r="AM176" s="14" t="s">
        <v>292</v>
      </c>
      <c r="AN176" s="14" t="s">
        <v>36</v>
      </c>
      <c r="AO176" s="14" t="s">
        <v>549</v>
      </c>
      <c r="AP176" s="14" t="s">
        <v>37</v>
      </c>
      <c r="AQ176" s="14" t="s">
        <v>184</v>
      </c>
      <c r="AR176" s="14" t="s">
        <v>4</v>
      </c>
      <c r="AS176" s="14">
        <v>0</v>
      </c>
      <c r="AT176" s="14">
        <v>0</v>
      </c>
      <c r="AU176" s="14">
        <v>0</v>
      </c>
      <c r="AV176" s="14">
        <v>0</v>
      </c>
      <c r="AW176" s="14"/>
      <c r="AX176" s="14"/>
      <c r="AY176" s="14"/>
      <c r="AZ176" s="14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  <c r="BL176" s="11"/>
      <c r="BM176" s="11"/>
      <c r="BN176" s="11"/>
    </row>
    <row r="177" spans="1:66" s="2" customFormat="1" ht="12" customHeight="1" x14ac:dyDescent="0.25">
      <c r="A177" s="9">
        <f t="shared" si="2"/>
        <v>1</v>
      </c>
      <c r="B177" s="6"/>
      <c r="C177" s="6"/>
      <c r="D177" s="24"/>
      <c r="E177" s="12" t="s">
        <v>38</v>
      </c>
      <c r="F177" s="25">
        <v>0</v>
      </c>
      <c r="G177" s="12" t="s">
        <v>550</v>
      </c>
      <c r="H177" s="12">
        <v>0</v>
      </c>
      <c r="I177" s="12">
        <v>0</v>
      </c>
      <c r="J177" s="12">
        <v>0</v>
      </c>
      <c r="K177" s="12">
        <v>0</v>
      </c>
      <c r="L177" s="13">
        <v>0</v>
      </c>
      <c r="M177" s="13">
        <v>0</v>
      </c>
      <c r="N177" s="12">
        <v>0</v>
      </c>
      <c r="O177" s="12">
        <v>0</v>
      </c>
      <c r="P177" s="12">
        <v>0</v>
      </c>
      <c r="Q177" s="14">
        <v>0</v>
      </c>
      <c r="R177" s="15">
        <v>844073.44000000006</v>
      </c>
      <c r="S177" s="16">
        <v>844073.44000000006</v>
      </c>
      <c r="T177" s="15">
        <v>521093.44000000006</v>
      </c>
      <c r="U177" s="16">
        <v>0</v>
      </c>
      <c r="V177" s="15">
        <v>322980</v>
      </c>
      <c r="W177" s="16">
        <v>0</v>
      </c>
      <c r="X177" s="15">
        <v>0</v>
      </c>
      <c r="Y177" s="16">
        <v>0</v>
      </c>
      <c r="Z177" s="15">
        <v>0</v>
      </c>
      <c r="AA177" s="16">
        <v>0</v>
      </c>
      <c r="AB177" s="15">
        <v>0</v>
      </c>
      <c r="AC177" s="16">
        <v>0</v>
      </c>
      <c r="AD177" s="15">
        <v>0</v>
      </c>
      <c r="AE177" s="16">
        <v>0</v>
      </c>
      <c r="AF177" s="15">
        <v>0</v>
      </c>
      <c r="AG177" s="16">
        <v>0</v>
      </c>
      <c r="AH177" s="15">
        <v>0</v>
      </c>
      <c r="AI177" s="15" t="s">
        <v>551</v>
      </c>
      <c r="AJ177" s="14">
        <v>0.70807870370370374</v>
      </c>
      <c r="AK177" s="17">
        <v>43643</v>
      </c>
      <c r="AL177" s="18" t="s">
        <v>291</v>
      </c>
      <c r="AM177" s="14" t="s">
        <v>292</v>
      </c>
      <c r="AN177" s="14" t="s">
        <v>36</v>
      </c>
      <c r="AO177" s="14" t="s">
        <v>552</v>
      </c>
      <c r="AP177" s="14" t="s">
        <v>37</v>
      </c>
      <c r="AQ177" s="14" t="s">
        <v>184</v>
      </c>
      <c r="AR177" s="14" t="s">
        <v>4</v>
      </c>
      <c r="AS177" s="14">
        <v>0</v>
      </c>
      <c r="AT177" s="14">
        <v>0</v>
      </c>
      <c r="AU177" s="14">
        <v>0</v>
      </c>
      <c r="AV177" s="14">
        <v>0</v>
      </c>
      <c r="AW177" s="14"/>
      <c r="AX177" s="14"/>
      <c r="AY177" s="14"/>
      <c r="AZ177" s="14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  <c r="BL177" s="11"/>
      <c r="BM177" s="11"/>
      <c r="BN177" s="11"/>
    </row>
    <row r="178" spans="1:66" s="2" customFormat="1" ht="12" customHeight="1" x14ac:dyDescent="0.25">
      <c r="A178" s="9">
        <f t="shared" si="2"/>
        <v>1</v>
      </c>
      <c r="B178" s="6"/>
      <c r="C178" s="6"/>
      <c r="D178" s="24"/>
      <c r="E178" s="12" t="s">
        <v>38</v>
      </c>
      <c r="F178" s="25">
        <v>0</v>
      </c>
      <c r="G178" s="12" t="s">
        <v>553</v>
      </c>
      <c r="H178" s="12">
        <v>0</v>
      </c>
      <c r="I178" s="12">
        <v>0</v>
      </c>
      <c r="J178" s="12">
        <v>0</v>
      </c>
      <c r="K178" s="12">
        <v>0</v>
      </c>
      <c r="L178" s="13">
        <v>0</v>
      </c>
      <c r="M178" s="13">
        <v>0</v>
      </c>
      <c r="N178" s="12">
        <v>0</v>
      </c>
      <c r="O178" s="12">
        <v>0</v>
      </c>
      <c r="P178" s="12">
        <v>0</v>
      </c>
      <c r="Q178" s="14">
        <v>0</v>
      </c>
      <c r="R178" s="15">
        <v>606853.99312200001</v>
      </c>
      <c r="S178" s="16">
        <v>606853.99312200001</v>
      </c>
      <c r="T178" s="15">
        <v>250619.28</v>
      </c>
      <c r="U178" s="16">
        <v>0</v>
      </c>
      <c r="V178" s="15">
        <v>261150</v>
      </c>
      <c r="W178" s="16">
        <v>0</v>
      </c>
      <c r="X178" s="15">
        <v>37103.484600000003</v>
      </c>
      <c r="Y178" s="16">
        <v>0</v>
      </c>
      <c r="Z178" s="15">
        <v>18280.5</v>
      </c>
      <c r="AA178" s="16">
        <v>0</v>
      </c>
      <c r="AB178" s="15">
        <v>39700.728522000005</v>
      </c>
      <c r="AC178" s="16">
        <v>0</v>
      </c>
      <c r="AD178" s="15">
        <v>0</v>
      </c>
      <c r="AE178" s="16">
        <v>0</v>
      </c>
      <c r="AF178" s="15">
        <v>0</v>
      </c>
      <c r="AG178" s="16">
        <v>0</v>
      </c>
      <c r="AH178" s="15">
        <v>0</v>
      </c>
      <c r="AI178" s="15" t="s">
        <v>554</v>
      </c>
      <c r="AJ178" s="14">
        <v>0.49309027777777775</v>
      </c>
      <c r="AK178" s="17">
        <v>43648</v>
      </c>
      <c r="AL178" s="18" t="s">
        <v>291</v>
      </c>
      <c r="AM178" s="14" t="s">
        <v>292</v>
      </c>
      <c r="AN178" s="14" t="s">
        <v>36</v>
      </c>
      <c r="AO178" s="14" t="s">
        <v>555</v>
      </c>
      <c r="AP178" s="14" t="s">
        <v>37</v>
      </c>
      <c r="AQ178" s="14" t="s">
        <v>184</v>
      </c>
      <c r="AR178" s="14" t="s">
        <v>4</v>
      </c>
      <c r="AS178" s="14">
        <v>0</v>
      </c>
      <c r="AT178" s="14">
        <v>0</v>
      </c>
      <c r="AU178" s="14">
        <v>0</v>
      </c>
      <c r="AV178" s="14">
        <v>0</v>
      </c>
      <c r="AW178" s="14"/>
      <c r="AX178" s="14"/>
      <c r="AY178" s="14"/>
      <c r="AZ178" s="14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  <c r="BL178" s="11"/>
      <c r="BM178" s="11"/>
      <c r="BN178" s="11"/>
    </row>
    <row r="179" spans="1:66" s="2" customFormat="1" ht="12" customHeight="1" x14ac:dyDescent="0.25">
      <c r="A179" s="9">
        <f t="shared" si="2"/>
        <v>1</v>
      </c>
      <c r="B179" s="6"/>
      <c r="C179" s="6"/>
      <c r="D179" s="24"/>
      <c r="E179" s="12" t="s">
        <v>38</v>
      </c>
      <c r="F179" s="25">
        <v>0</v>
      </c>
      <c r="G179" s="12" t="s">
        <v>556</v>
      </c>
      <c r="H179" s="12">
        <v>0</v>
      </c>
      <c r="I179" s="12">
        <v>0</v>
      </c>
      <c r="J179" s="12">
        <v>0</v>
      </c>
      <c r="K179" s="12">
        <v>0</v>
      </c>
      <c r="L179" s="13">
        <v>0</v>
      </c>
      <c r="M179" s="13">
        <v>0</v>
      </c>
      <c r="N179" s="12">
        <v>0</v>
      </c>
      <c r="O179" s="12">
        <v>0</v>
      </c>
      <c r="P179" s="12">
        <v>0</v>
      </c>
      <c r="Q179" s="14">
        <v>0</v>
      </c>
      <c r="R179" s="15">
        <v>0</v>
      </c>
      <c r="S179" s="16">
        <v>0</v>
      </c>
      <c r="T179" s="15">
        <v>0</v>
      </c>
      <c r="U179" s="16">
        <v>0</v>
      </c>
      <c r="V179" s="15">
        <v>0</v>
      </c>
      <c r="W179" s="16">
        <v>0</v>
      </c>
      <c r="X179" s="15">
        <v>0</v>
      </c>
      <c r="Y179" s="16">
        <v>0</v>
      </c>
      <c r="Z179" s="15">
        <v>0</v>
      </c>
      <c r="AA179" s="16">
        <v>0</v>
      </c>
      <c r="AB179" s="15">
        <v>0</v>
      </c>
      <c r="AC179" s="16">
        <v>0</v>
      </c>
      <c r="AD179" s="15">
        <v>0</v>
      </c>
      <c r="AE179" s="16">
        <v>0</v>
      </c>
      <c r="AF179" s="15">
        <v>0</v>
      </c>
      <c r="AG179" s="16">
        <v>0</v>
      </c>
      <c r="AH179" s="15">
        <v>0</v>
      </c>
      <c r="AI179" s="15" t="s">
        <v>557</v>
      </c>
      <c r="AJ179" s="14">
        <v>0.35445601851851855</v>
      </c>
      <c r="AK179" s="17">
        <v>43649</v>
      </c>
      <c r="AL179" s="18" t="s">
        <v>291</v>
      </c>
      <c r="AM179" s="14" t="s">
        <v>292</v>
      </c>
      <c r="AN179" s="14" t="s">
        <v>36</v>
      </c>
      <c r="AO179" s="14" t="s">
        <v>558</v>
      </c>
      <c r="AP179" s="14" t="s">
        <v>37</v>
      </c>
      <c r="AQ179" s="14" t="s">
        <v>184</v>
      </c>
      <c r="AR179" s="14" t="s">
        <v>4</v>
      </c>
      <c r="AS179" s="14">
        <v>0</v>
      </c>
      <c r="AT179" s="14">
        <v>0</v>
      </c>
      <c r="AU179" s="14">
        <v>0</v>
      </c>
      <c r="AV179" s="14">
        <v>0</v>
      </c>
      <c r="AW179" s="14"/>
      <c r="AX179" s="14"/>
      <c r="AY179" s="14"/>
      <c r="AZ179" s="14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  <c r="BL179" s="11"/>
      <c r="BM179" s="11"/>
      <c r="BN179" s="11"/>
    </row>
    <row r="180" spans="1:66" s="2" customFormat="1" ht="12" customHeight="1" x14ac:dyDescent="0.25">
      <c r="A180" s="9">
        <f t="shared" si="2"/>
        <v>1</v>
      </c>
      <c r="B180" s="6"/>
      <c r="C180" s="6"/>
      <c r="D180" s="24"/>
      <c r="E180" s="12" t="s">
        <v>38</v>
      </c>
      <c r="F180" s="25">
        <v>0</v>
      </c>
      <c r="G180" s="12" t="s">
        <v>559</v>
      </c>
      <c r="H180" s="12">
        <v>0</v>
      </c>
      <c r="I180" s="12">
        <v>0</v>
      </c>
      <c r="J180" s="12">
        <v>0</v>
      </c>
      <c r="K180" s="12">
        <v>0</v>
      </c>
      <c r="L180" s="13">
        <v>0</v>
      </c>
      <c r="M180" s="13">
        <v>0</v>
      </c>
      <c r="N180" s="12">
        <v>0</v>
      </c>
      <c r="O180" s="12">
        <v>0</v>
      </c>
      <c r="P180" s="12">
        <v>0</v>
      </c>
      <c r="Q180" s="14">
        <v>0</v>
      </c>
      <c r="R180" s="15">
        <v>531150.86952599999</v>
      </c>
      <c r="S180" s="16">
        <v>531150.86952599999</v>
      </c>
      <c r="T180" s="15">
        <v>261965.24</v>
      </c>
      <c r="U180" s="16">
        <v>0</v>
      </c>
      <c r="V180" s="15">
        <v>188750</v>
      </c>
      <c r="W180" s="16">
        <v>0</v>
      </c>
      <c r="X180" s="15">
        <v>32474.941800000004</v>
      </c>
      <c r="Y180" s="16">
        <v>0</v>
      </c>
      <c r="Z180" s="15">
        <v>13212.500000000002</v>
      </c>
      <c r="AA180" s="16">
        <v>0</v>
      </c>
      <c r="AB180" s="15">
        <v>34748.187726000004</v>
      </c>
      <c r="AC180" s="16">
        <v>0</v>
      </c>
      <c r="AD180" s="15">
        <v>0</v>
      </c>
      <c r="AE180" s="16">
        <v>0</v>
      </c>
      <c r="AF180" s="15">
        <v>0</v>
      </c>
      <c r="AG180" s="16">
        <v>0</v>
      </c>
      <c r="AH180" s="15">
        <v>0</v>
      </c>
      <c r="AI180" s="15" t="s">
        <v>560</v>
      </c>
      <c r="AJ180" s="14">
        <v>0.48023148148148148</v>
      </c>
      <c r="AK180" s="17">
        <v>43655</v>
      </c>
      <c r="AL180" s="18" t="s">
        <v>568</v>
      </c>
      <c r="AM180" s="14" t="s">
        <v>569</v>
      </c>
      <c r="AN180" s="14" t="s">
        <v>36</v>
      </c>
      <c r="AO180" s="14" t="s">
        <v>561</v>
      </c>
      <c r="AP180" s="14" t="s">
        <v>37</v>
      </c>
      <c r="AQ180" s="14" t="s">
        <v>184</v>
      </c>
      <c r="AR180" s="14" t="s">
        <v>4</v>
      </c>
      <c r="AS180" s="14">
        <v>0</v>
      </c>
      <c r="AT180" s="14">
        <v>0</v>
      </c>
      <c r="AU180" s="14">
        <v>0</v>
      </c>
      <c r="AV180" s="14">
        <v>0</v>
      </c>
      <c r="AW180" s="14"/>
      <c r="AX180" s="14"/>
      <c r="AY180" s="14"/>
      <c r="AZ180" s="14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  <c r="BL180" s="11"/>
      <c r="BM180" s="11"/>
      <c r="BN180" s="11"/>
    </row>
    <row r="181" spans="1:66" s="2" customFormat="1" ht="12" customHeight="1" x14ac:dyDescent="0.25">
      <c r="A181" s="9">
        <f t="shared" si="2"/>
        <v>1</v>
      </c>
      <c r="B181" s="6"/>
      <c r="C181" s="6"/>
      <c r="D181" s="24"/>
      <c r="E181" s="12" t="s">
        <v>38</v>
      </c>
      <c r="F181" s="25">
        <v>0</v>
      </c>
      <c r="G181" s="12" t="s">
        <v>562</v>
      </c>
      <c r="H181" s="12">
        <v>0</v>
      </c>
      <c r="I181" s="12">
        <v>0</v>
      </c>
      <c r="J181" s="12">
        <v>0</v>
      </c>
      <c r="K181" s="12">
        <v>0</v>
      </c>
      <c r="L181" s="13">
        <v>0</v>
      </c>
      <c r="M181" s="13">
        <v>0</v>
      </c>
      <c r="N181" s="12">
        <v>0</v>
      </c>
      <c r="O181" s="12">
        <v>0</v>
      </c>
      <c r="P181" s="12">
        <v>0</v>
      </c>
      <c r="Q181" s="14">
        <v>0</v>
      </c>
      <c r="R181" s="15">
        <v>372598.05364000006</v>
      </c>
      <c r="S181" s="16">
        <v>372598.05364000006</v>
      </c>
      <c r="T181" s="15">
        <v>224446</v>
      </c>
      <c r="U181" s="16">
        <v>0</v>
      </c>
      <c r="V181" s="15">
        <v>132840</v>
      </c>
      <c r="W181" s="16">
        <v>0</v>
      </c>
      <c r="X181" s="15">
        <v>3652.5640000000003</v>
      </c>
      <c r="Y181" s="16">
        <v>0</v>
      </c>
      <c r="Z181" s="15">
        <v>7970.4</v>
      </c>
      <c r="AA181" s="16">
        <v>0</v>
      </c>
      <c r="AB181" s="15">
        <v>3689.0896400000006</v>
      </c>
      <c r="AC181" s="16">
        <v>0</v>
      </c>
      <c r="AD181" s="15">
        <v>0</v>
      </c>
      <c r="AE181" s="16">
        <v>0</v>
      </c>
      <c r="AF181" s="15">
        <v>0</v>
      </c>
      <c r="AG181" s="16">
        <v>0</v>
      </c>
      <c r="AH181" s="15">
        <v>0</v>
      </c>
      <c r="AI181" s="15" t="s">
        <v>563</v>
      </c>
      <c r="AJ181" s="14">
        <v>0.34527777777777779</v>
      </c>
      <c r="AK181" s="17">
        <v>43651</v>
      </c>
      <c r="AL181" s="18" t="s">
        <v>291</v>
      </c>
      <c r="AM181" s="14" t="s">
        <v>292</v>
      </c>
      <c r="AN181" s="14" t="s">
        <v>36</v>
      </c>
      <c r="AO181" s="14" t="s">
        <v>564</v>
      </c>
      <c r="AP181" s="14" t="s">
        <v>37</v>
      </c>
      <c r="AQ181" s="14" t="s">
        <v>184</v>
      </c>
      <c r="AR181" s="14" t="s">
        <v>4</v>
      </c>
      <c r="AS181" s="14">
        <v>0</v>
      </c>
      <c r="AT181" s="14">
        <v>0</v>
      </c>
      <c r="AU181" s="14">
        <v>0</v>
      </c>
      <c r="AV181" s="14">
        <v>0</v>
      </c>
      <c r="AW181" s="14"/>
      <c r="AX181" s="14"/>
      <c r="AY181" s="14"/>
      <c r="AZ181" s="14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  <c r="BL181" s="11"/>
      <c r="BM181" s="11"/>
      <c r="BN181" s="11"/>
    </row>
    <row r="182" spans="1:66" s="2" customFormat="1" ht="12" customHeight="1" x14ac:dyDescent="0.25">
      <c r="A182" s="9">
        <f t="shared" si="2"/>
        <v>1</v>
      </c>
      <c r="B182" s="6"/>
      <c r="C182" s="6"/>
      <c r="D182" s="24"/>
      <c r="E182" s="12" t="s">
        <v>38</v>
      </c>
      <c r="F182" s="25">
        <v>0</v>
      </c>
      <c r="G182" s="12" t="s">
        <v>565</v>
      </c>
      <c r="H182" s="12">
        <v>0</v>
      </c>
      <c r="I182" s="12">
        <v>0</v>
      </c>
      <c r="J182" s="12">
        <v>0</v>
      </c>
      <c r="K182" s="12">
        <v>0</v>
      </c>
      <c r="L182" s="13">
        <v>0</v>
      </c>
      <c r="M182" s="13">
        <v>0</v>
      </c>
      <c r="N182" s="12">
        <v>0</v>
      </c>
      <c r="O182" s="12">
        <v>0</v>
      </c>
      <c r="P182" s="12">
        <v>0</v>
      </c>
      <c r="Q182" s="14">
        <v>0</v>
      </c>
      <c r="R182" s="15">
        <v>550745.90172000008</v>
      </c>
      <c r="S182" s="16">
        <v>550745.90172000008</v>
      </c>
      <c r="T182" s="15">
        <v>264720.90000000002</v>
      </c>
      <c r="U182" s="16">
        <v>0</v>
      </c>
      <c r="V182" s="15">
        <v>202170</v>
      </c>
      <c r="W182" s="16">
        <v>0</v>
      </c>
      <c r="X182" s="15">
        <v>33672.996000000006</v>
      </c>
      <c r="Y182" s="16">
        <v>0</v>
      </c>
      <c r="Z182" s="15">
        <v>14151.900000000001</v>
      </c>
      <c r="AA182" s="16">
        <v>0</v>
      </c>
      <c r="AB182" s="15">
        <v>36030.105720000007</v>
      </c>
      <c r="AC182" s="16">
        <v>0</v>
      </c>
      <c r="AD182" s="15">
        <v>0</v>
      </c>
      <c r="AE182" s="16">
        <v>0</v>
      </c>
      <c r="AF182" s="15">
        <v>0</v>
      </c>
      <c r="AG182" s="16">
        <v>0</v>
      </c>
      <c r="AH182" s="15">
        <v>0</v>
      </c>
      <c r="AI182" s="15" t="s">
        <v>566</v>
      </c>
      <c r="AJ182" s="14">
        <v>0.51097222222222227</v>
      </c>
      <c r="AK182" s="17">
        <v>43654</v>
      </c>
      <c r="AL182" s="18" t="s">
        <v>291</v>
      </c>
      <c r="AM182" s="14" t="s">
        <v>292</v>
      </c>
      <c r="AN182" s="14" t="s">
        <v>36</v>
      </c>
      <c r="AO182" s="14" t="s">
        <v>567</v>
      </c>
      <c r="AP182" s="14" t="s">
        <v>37</v>
      </c>
      <c r="AQ182" s="14" t="s">
        <v>184</v>
      </c>
      <c r="AR182" s="14" t="s">
        <v>4</v>
      </c>
      <c r="AS182" s="14">
        <v>0</v>
      </c>
      <c r="AT182" s="14">
        <v>0</v>
      </c>
      <c r="AU182" s="14">
        <v>0</v>
      </c>
      <c r="AV182" s="14">
        <v>0</v>
      </c>
      <c r="AW182" s="14"/>
      <c r="AX182" s="14"/>
      <c r="AY182" s="14"/>
      <c r="AZ182" s="14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  <c r="BL182" s="11"/>
      <c r="BM182" s="11"/>
      <c r="BN182" s="11"/>
    </row>
    <row r="183" spans="1:66" s="2" customFormat="1" ht="12" customHeight="1" x14ac:dyDescent="0.25">
      <c r="A183" s="9">
        <f t="shared" si="2"/>
        <v>1</v>
      </c>
      <c r="B183" s="6"/>
      <c r="C183" s="6"/>
      <c r="D183" s="24"/>
      <c r="E183" s="12" t="s">
        <v>38</v>
      </c>
      <c r="F183" s="25">
        <v>0</v>
      </c>
      <c r="G183" s="12" t="s">
        <v>570</v>
      </c>
      <c r="H183" s="12">
        <v>0</v>
      </c>
      <c r="I183" s="12">
        <v>0</v>
      </c>
      <c r="J183" s="12">
        <v>0</v>
      </c>
      <c r="K183" s="12">
        <v>0</v>
      </c>
      <c r="L183" s="13">
        <v>0</v>
      </c>
      <c r="M183" s="13">
        <v>0</v>
      </c>
      <c r="N183" s="12">
        <v>0</v>
      </c>
      <c r="O183" s="12">
        <v>0</v>
      </c>
      <c r="P183" s="12">
        <v>0</v>
      </c>
      <c r="Q183" s="14">
        <v>0</v>
      </c>
      <c r="R183" s="15">
        <v>499634.78361300001</v>
      </c>
      <c r="S183" s="16">
        <v>499634.78361300001</v>
      </c>
      <c r="T183" s="15">
        <v>208742.89</v>
      </c>
      <c r="U183" s="16">
        <v>0</v>
      </c>
      <c r="V183" s="15">
        <v>212764</v>
      </c>
      <c r="W183" s="16">
        <v>0</v>
      </c>
      <c r="X183" s="15">
        <v>30548.025900000004</v>
      </c>
      <c r="Y183" s="16">
        <v>0</v>
      </c>
      <c r="Z183" s="15">
        <v>14893.480000000001</v>
      </c>
      <c r="AA183" s="16">
        <v>0</v>
      </c>
      <c r="AB183" s="15">
        <v>32686.387713000004</v>
      </c>
      <c r="AC183" s="16">
        <v>0</v>
      </c>
      <c r="AD183" s="15">
        <v>0</v>
      </c>
      <c r="AE183" s="16">
        <v>0</v>
      </c>
      <c r="AF183" s="15">
        <v>0</v>
      </c>
      <c r="AG183" s="16">
        <v>0</v>
      </c>
      <c r="AH183" s="15">
        <v>0</v>
      </c>
      <c r="AI183" s="15" t="s">
        <v>571</v>
      </c>
      <c r="AJ183" s="14">
        <v>0.47859953703703706</v>
      </c>
      <c r="AK183" s="17">
        <v>43661</v>
      </c>
      <c r="AL183" s="18" t="s">
        <v>291</v>
      </c>
      <c r="AM183" s="14" t="s">
        <v>292</v>
      </c>
      <c r="AN183" s="14" t="s">
        <v>36</v>
      </c>
      <c r="AO183" s="14" t="s">
        <v>572</v>
      </c>
      <c r="AP183" s="14" t="s">
        <v>37</v>
      </c>
      <c r="AQ183" s="14" t="s">
        <v>184</v>
      </c>
      <c r="AR183" s="14" t="s">
        <v>4</v>
      </c>
      <c r="AS183" s="14">
        <v>0</v>
      </c>
      <c r="AT183" s="14">
        <v>0</v>
      </c>
      <c r="AU183" s="14">
        <v>0</v>
      </c>
      <c r="AV183" s="14">
        <v>0</v>
      </c>
      <c r="AW183" s="14"/>
      <c r="AX183" s="14"/>
      <c r="AY183" s="14"/>
      <c r="AZ183" s="14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  <c r="BL183" s="11"/>
      <c r="BM183" s="11"/>
      <c r="BN183" s="11"/>
    </row>
    <row r="184" spans="1:66" s="2" customFormat="1" ht="12" customHeight="1" x14ac:dyDescent="0.25">
      <c r="A184" s="9">
        <f t="shared" si="2"/>
        <v>1</v>
      </c>
      <c r="B184" s="6"/>
      <c r="C184" s="6"/>
      <c r="D184" s="24"/>
      <c r="E184" s="12" t="s">
        <v>38</v>
      </c>
      <c r="F184" s="25">
        <v>0</v>
      </c>
      <c r="G184" s="12" t="s">
        <v>573</v>
      </c>
      <c r="H184" s="12">
        <v>0</v>
      </c>
      <c r="I184" s="12">
        <v>0</v>
      </c>
      <c r="J184" s="12">
        <v>0</v>
      </c>
      <c r="K184" s="12">
        <v>0</v>
      </c>
      <c r="L184" s="13">
        <v>0</v>
      </c>
      <c r="M184" s="13">
        <v>0</v>
      </c>
      <c r="N184" s="12">
        <v>0</v>
      </c>
      <c r="O184" s="12">
        <v>0</v>
      </c>
      <c r="P184" s="12">
        <v>0</v>
      </c>
      <c r="Q184" s="14">
        <v>0</v>
      </c>
      <c r="R184" s="15">
        <v>314289.52</v>
      </c>
      <c r="S184" s="16">
        <v>314289.52</v>
      </c>
      <c r="T184" s="15">
        <v>112459.52</v>
      </c>
      <c r="U184" s="16">
        <v>0</v>
      </c>
      <c r="V184" s="15">
        <v>201830</v>
      </c>
      <c r="W184" s="16">
        <v>0</v>
      </c>
      <c r="X184" s="15">
        <v>0</v>
      </c>
      <c r="Y184" s="16">
        <v>0</v>
      </c>
      <c r="Z184" s="15">
        <v>0</v>
      </c>
      <c r="AA184" s="16">
        <v>0</v>
      </c>
      <c r="AB184" s="15">
        <v>0</v>
      </c>
      <c r="AC184" s="16">
        <v>0</v>
      </c>
      <c r="AD184" s="15">
        <v>0</v>
      </c>
      <c r="AE184" s="16">
        <v>0</v>
      </c>
      <c r="AF184" s="15">
        <v>0</v>
      </c>
      <c r="AG184" s="16">
        <v>0</v>
      </c>
      <c r="AH184" s="15">
        <v>0</v>
      </c>
      <c r="AI184" s="15" t="s">
        <v>574</v>
      </c>
      <c r="AJ184" s="14">
        <v>0.55812499999999998</v>
      </c>
      <c r="AK184" s="17">
        <v>43661</v>
      </c>
      <c r="AL184" s="18" t="s">
        <v>568</v>
      </c>
      <c r="AM184" s="14" t="s">
        <v>569</v>
      </c>
      <c r="AN184" s="14" t="s">
        <v>36</v>
      </c>
      <c r="AO184" s="14" t="s">
        <v>575</v>
      </c>
      <c r="AP184" s="14" t="s">
        <v>37</v>
      </c>
      <c r="AQ184" s="14" t="s">
        <v>184</v>
      </c>
      <c r="AR184" s="14" t="s">
        <v>4</v>
      </c>
      <c r="AS184" s="14">
        <v>0</v>
      </c>
      <c r="AT184" s="14">
        <v>0</v>
      </c>
      <c r="AU184" s="14">
        <v>0</v>
      </c>
      <c r="AV184" s="14">
        <v>0</v>
      </c>
      <c r="AW184" s="14"/>
      <c r="AX184" s="14"/>
      <c r="AY184" s="14"/>
      <c r="AZ184" s="14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  <c r="BL184" s="11"/>
      <c r="BM184" s="11"/>
      <c r="BN184" s="11"/>
    </row>
    <row r="185" spans="1:66" s="2" customFormat="1" ht="12" customHeight="1" x14ac:dyDescent="0.25">
      <c r="A185" s="9">
        <f t="shared" si="2"/>
        <v>1</v>
      </c>
      <c r="B185" s="6"/>
      <c r="C185" s="6"/>
      <c r="D185" s="24"/>
      <c r="E185" s="12" t="s">
        <v>38</v>
      </c>
      <c r="F185" s="25">
        <v>0</v>
      </c>
      <c r="G185" s="12" t="s">
        <v>576</v>
      </c>
      <c r="H185" s="12">
        <v>0</v>
      </c>
      <c r="I185" s="12">
        <v>0</v>
      </c>
      <c r="J185" s="12">
        <v>0</v>
      </c>
      <c r="K185" s="12">
        <v>0</v>
      </c>
      <c r="L185" s="13">
        <v>0</v>
      </c>
      <c r="M185" s="13">
        <v>0</v>
      </c>
      <c r="N185" s="12">
        <v>0</v>
      </c>
      <c r="O185" s="12">
        <v>0</v>
      </c>
      <c r="P185" s="12">
        <v>0</v>
      </c>
      <c r="Q185" s="14">
        <v>0</v>
      </c>
      <c r="R185" s="15">
        <v>15168</v>
      </c>
      <c r="S185" s="16">
        <v>15168</v>
      </c>
      <c r="T185" s="15">
        <v>0</v>
      </c>
      <c r="U185" s="16">
        <v>0</v>
      </c>
      <c r="V185" s="15">
        <v>15168</v>
      </c>
      <c r="W185" s="16">
        <v>0</v>
      </c>
      <c r="X185" s="15">
        <v>0</v>
      </c>
      <c r="Y185" s="16">
        <v>0</v>
      </c>
      <c r="Z185" s="15">
        <v>0</v>
      </c>
      <c r="AA185" s="16">
        <v>0</v>
      </c>
      <c r="AB185" s="15">
        <v>0</v>
      </c>
      <c r="AC185" s="16">
        <v>0</v>
      </c>
      <c r="AD185" s="15">
        <v>0</v>
      </c>
      <c r="AE185" s="16">
        <v>0</v>
      </c>
      <c r="AF185" s="15">
        <v>0</v>
      </c>
      <c r="AG185" s="16">
        <v>0</v>
      </c>
      <c r="AH185" s="15">
        <v>0</v>
      </c>
      <c r="AI185" s="15" t="s">
        <v>577</v>
      </c>
      <c r="AJ185" s="14">
        <v>0.67965277777777777</v>
      </c>
      <c r="AK185" s="17">
        <v>43661</v>
      </c>
      <c r="AL185" s="18" t="s">
        <v>291</v>
      </c>
      <c r="AM185" s="14" t="s">
        <v>292</v>
      </c>
      <c r="AN185" s="14" t="s">
        <v>36</v>
      </c>
      <c r="AO185" s="14" t="s">
        <v>578</v>
      </c>
      <c r="AP185" s="14" t="s">
        <v>37</v>
      </c>
      <c r="AQ185" s="14" t="s">
        <v>184</v>
      </c>
      <c r="AR185" s="14" t="s">
        <v>4</v>
      </c>
      <c r="AS185" s="14">
        <v>0</v>
      </c>
      <c r="AT185" s="14">
        <v>0</v>
      </c>
      <c r="AU185" s="14">
        <v>0</v>
      </c>
      <c r="AV185" s="14">
        <v>0</v>
      </c>
      <c r="AW185" s="14"/>
      <c r="AX185" s="14"/>
      <c r="AY185" s="14"/>
      <c r="AZ185" s="14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  <c r="BM185" s="11"/>
      <c r="BN185" s="11"/>
    </row>
    <row r="186" spans="1:66" s="2" customFormat="1" ht="12" customHeight="1" x14ac:dyDescent="0.25">
      <c r="A186" s="9">
        <f t="shared" si="2"/>
        <v>1</v>
      </c>
      <c r="B186" s="6"/>
      <c r="C186" s="6"/>
      <c r="D186" s="24"/>
      <c r="E186" s="12" t="s">
        <v>38</v>
      </c>
      <c r="F186" s="25">
        <v>0</v>
      </c>
      <c r="G186" s="12" t="s">
        <v>579</v>
      </c>
      <c r="H186" s="12">
        <v>0</v>
      </c>
      <c r="I186" s="12">
        <v>0</v>
      </c>
      <c r="J186" s="12">
        <v>0</v>
      </c>
      <c r="K186" s="12">
        <v>0</v>
      </c>
      <c r="L186" s="13">
        <v>0</v>
      </c>
      <c r="M186" s="13">
        <v>0</v>
      </c>
      <c r="N186" s="12">
        <v>0</v>
      </c>
      <c r="O186" s="12">
        <v>0</v>
      </c>
      <c r="P186" s="12">
        <v>0</v>
      </c>
      <c r="Q186" s="14">
        <v>0</v>
      </c>
      <c r="R186" s="15">
        <v>131148.58530800001</v>
      </c>
      <c r="S186" s="16">
        <v>131148.58530800001</v>
      </c>
      <c r="T186" s="15">
        <v>36229.770000000004</v>
      </c>
      <c r="U186" s="16">
        <v>0</v>
      </c>
      <c r="V186" s="15">
        <v>84845</v>
      </c>
      <c r="W186" s="16">
        <v>0</v>
      </c>
      <c r="X186" s="15">
        <v>3708.6036000000004</v>
      </c>
      <c r="Y186" s="16">
        <v>0</v>
      </c>
      <c r="Z186" s="15">
        <v>2545.35</v>
      </c>
      <c r="AA186" s="16">
        <v>0</v>
      </c>
      <c r="AB186" s="15">
        <v>3819.8617080000004</v>
      </c>
      <c r="AC186" s="16">
        <v>0</v>
      </c>
      <c r="AD186" s="15">
        <v>0</v>
      </c>
      <c r="AE186" s="16">
        <v>0</v>
      </c>
      <c r="AF186" s="15">
        <v>0</v>
      </c>
      <c r="AG186" s="16">
        <v>0</v>
      </c>
      <c r="AH186" s="15">
        <v>0</v>
      </c>
      <c r="AI186" s="15" t="s">
        <v>580</v>
      </c>
      <c r="AJ186" s="14">
        <v>0.48231481481481481</v>
      </c>
      <c r="AK186" s="17">
        <v>43676</v>
      </c>
      <c r="AL186" s="18" t="s">
        <v>291</v>
      </c>
      <c r="AM186" s="14" t="s">
        <v>292</v>
      </c>
      <c r="AN186" s="14" t="s">
        <v>36</v>
      </c>
      <c r="AO186" s="14" t="s">
        <v>581</v>
      </c>
      <c r="AP186" s="14" t="s">
        <v>37</v>
      </c>
      <c r="AQ186" s="14" t="s">
        <v>184</v>
      </c>
      <c r="AR186" s="14" t="s">
        <v>4</v>
      </c>
      <c r="AS186" s="14">
        <v>0</v>
      </c>
      <c r="AT186" s="14">
        <v>0</v>
      </c>
      <c r="AU186" s="14">
        <v>0</v>
      </c>
      <c r="AV186" s="14">
        <v>0</v>
      </c>
      <c r="AW186" s="14"/>
      <c r="AX186" s="14"/>
      <c r="AY186" s="14"/>
      <c r="AZ186" s="14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  <c r="BL186" s="11"/>
      <c r="BM186" s="11"/>
      <c r="BN186" s="11"/>
    </row>
    <row r="187" spans="1:66" s="2" customFormat="1" ht="12" customHeight="1" x14ac:dyDescent="0.25">
      <c r="A187" s="9">
        <f t="shared" si="2"/>
        <v>1</v>
      </c>
      <c r="B187" s="6"/>
      <c r="C187" s="6"/>
      <c r="D187" s="24"/>
      <c r="E187" s="12" t="s">
        <v>38</v>
      </c>
      <c r="F187" s="25">
        <v>0</v>
      </c>
      <c r="G187" s="12" t="s">
        <v>582</v>
      </c>
      <c r="H187" s="12">
        <v>0</v>
      </c>
      <c r="I187" s="12">
        <v>0</v>
      </c>
      <c r="J187" s="12">
        <v>0</v>
      </c>
      <c r="K187" s="12">
        <v>0</v>
      </c>
      <c r="L187" s="13">
        <v>0</v>
      </c>
      <c r="M187" s="13">
        <v>0</v>
      </c>
      <c r="N187" s="12">
        <v>0</v>
      </c>
      <c r="O187" s="12">
        <v>0</v>
      </c>
      <c r="P187" s="12">
        <v>0</v>
      </c>
      <c r="Q187" s="14">
        <v>0</v>
      </c>
      <c r="R187" s="15">
        <v>4130479.6599999997</v>
      </c>
      <c r="S187" s="16">
        <v>4130479.6599999997</v>
      </c>
      <c r="T187" s="15">
        <v>4130479.6599999997</v>
      </c>
      <c r="U187" s="16">
        <v>0</v>
      </c>
      <c r="V187" s="15">
        <v>0</v>
      </c>
      <c r="W187" s="16">
        <v>0</v>
      </c>
      <c r="X187" s="15">
        <v>0</v>
      </c>
      <c r="Y187" s="16">
        <v>0</v>
      </c>
      <c r="Z187" s="15">
        <v>0</v>
      </c>
      <c r="AA187" s="16">
        <v>0</v>
      </c>
      <c r="AB187" s="15">
        <v>0</v>
      </c>
      <c r="AC187" s="16">
        <v>0</v>
      </c>
      <c r="AD187" s="15">
        <v>0</v>
      </c>
      <c r="AE187" s="16">
        <v>0</v>
      </c>
      <c r="AF187" s="15">
        <v>0</v>
      </c>
      <c r="AG187" s="16">
        <v>0</v>
      </c>
      <c r="AH187" s="15">
        <v>0</v>
      </c>
      <c r="AI187" s="15" t="s">
        <v>583</v>
      </c>
      <c r="AJ187" s="14">
        <v>0.70982638888888883</v>
      </c>
      <c r="AK187" s="17">
        <v>43690</v>
      </c>
      <c r="AL187" s="18" t="s">
        <v>291</v>
      </c>
      <c r="AM187" s="14" t="s">
        <v>292</v>
      </c>
      <c r="AN187" s="14" t="s">
        <v>36</v>
      </c>
      <c r="AO187" s="14" t="s">
        <v>584</v>
      </c>
      <c r="AP187" s="14" t="s">
        <v>37</v>
      </c>
      <c r="AQ187" s="14" t="s">
        <v>184</v>
      </c>
      <c r="AR187" s="14" t="s">
        <v>4</v>
      </c>
      <c r="AS187" s="14">
        <v>0</v>
      </c>
      <c r="AT187" s="14">
        <v>0</v>
      </c>
      <c r="AU187" s="14">
        <v>0</v>
      </c>
      <c r="AV187" s="14">
        <v>0</v>
      </c>
      <c r="AW187" s="14"/>
      <c r="AX187" s="14"/>
      <c r="AY187" s="14"/>
      <c r="AZ187" s="14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  <c r="BL187" s="11"/>
      <c r="BM187" s="11"/>
      <c r="BN187" s="11"/>
    </row>
    <row r="188" spans="1:66" s="2" customFormat="1" ht="12" customHeight="1" x14ac:dyDescent="0.25">
      <c r="A188" s="9">
        <f t="shared" si="2"/>
        <v>1</v>
      </c>
      <c r="B188" s="6"/>
      <c r="C188" s="6"/>
      <c r="D188" s="24"/>
      <c r="E188" s="12" t="s">
        <v>38</v>
      </c>
      <c r="F188" s="25">
        <v>0</v>
      </c>
      <c r="G188" s="12" t="s">
        <v>585</v>
      </c>
      <c r="H188" s="12">
        <v>0</v>
      </c>
      <c r="I188" s="12">
        <v>0</v>
      </c>
      <c r="J188" s="12">
        <v>0</v>
      </c>
      <c r="K188" s="12">
        <v>0</v>
      </c>
      <c r="L188" s="13">
        <v>0</v>
      </c>
      <c r="M188" s="13">
        <v>0</v>
      </c>
      <c r="N188" s="12">
        <v>0</v>
      </c>
      <c r="O188" s="12">
        <v>0</v>
      </c>
      <c r="P188" s="12">
        <v>0</v>
      </c>
      <c r="Q188" s="14">
        <v>0</v>
      </c>
      <c r="R188" s="15">
        <v>724745.6</v>
      </c>
      <c r="S188" s="16">
        <v>724745.6</v>
      </c>
      <c r="T188" s="15">
        <v>452050.6</v>
      </c>
      <c r="U188" s="16">
        <v>0</v>
      </c>
      <c r="V188" s="15">
        <v>272695</v>
      </c>
      <c r="W188" s="16">
        <v>0</v>
      </c>
      <c r="X188" s="15">
        <v>0</v>
      </c>
      <c r="Y188" s="16">
        <v>0</v>
      </c>
      <c r="Z188" s="15">
        <v>0</v>
      </c>
      <c r="AA188" s="16">
        <v>0</v>
      </c>
      <c r="AB188" s="15">
        <v>0</v>
      </c>
      <c r="AC188" s="16">
        <v>0</v>
      </c>
      <c r="AD188" s="15">
        <v>0</v>
      </c>
      <c r="AE188" s="16">
        <v>0</v>
      </c>
      <c r="AF188" s="15">
        <v>0</v>
      </c>
      <c r="AG188" s="16">
        <v>0</v>
      </c>
      <c r="AH188" s="15">
        <v>0</v>
      </c>
      <c r="AI188" s="15" t="s">
        <v>586</v>
      </c>
      <c r="AJ188" s="14">
        <v>0.68259259259259253</v>
      </c>
      <c r="AK188" s="17">
        <v>43692</v>
      </c>
      <c r="AL188" s="18" t="s">
        <v>40</v>
      </c>
      <c r="AM188" s="14" t="s">
        <v>410</v>
      </c>
      <c r="AN188" s="14" t="s">
        <v>36</v>
      </c>
      <c r="AO188" s="14" t="s">
        <v>587</v>
      </c>
      <c r="AP188" s="14" t="s">
        <v>37</v>
      </c>
      <c r="AQ188" s="14" t="s">
        <v>184</v>
      </c>
      <c r="AR188" s="14" t="s">
        <v>4</v>
      </c>
      <c r="AS188" s="14">
        <v>0</v>
      </c>
      <c r="AT188" s="14">
        <v>0</v>
      </c>
      <c r="AU188" s="14">
        <v>0</v>
      </c>
      <c r="AV188" s="14">
        <v>0</v>
      </c>
      <c r="AW188" s="14"/>
      <c r="AX188" s="14"/>
      <c r="AY188" s="14"/>
      <c r="AZ188" s="14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  <c r="BL188" s="11"/>
      <c r="BM188" s="11"/>
      <c r="BN188" s="11"/>
    </row>
    <row r="189" spans="1:66" s="2" customFormat="1" ht="12" customHeight="1" x14ac:dyDescent="0.25">
      <c r="A189" s="9">
        <f t="shared" si="2"/>
        <v>1</v>
      </c>
      <c r="B189" s="6"/>
      <c r="C189" s="6"/>
      <c r="D189" s="24"/>
      <c r="E189" s="12" t="s">
        <v>38</v>
      </c>
      <c r="F189" s="25">
        <v>0</v>
      </c>
      <c r="G189" s="12" t="s">
        <v>588</v>
      </c>
      <c r="H189" s="12">
        <v>0</v>
      </c>
      <c r="I189" s="12">
        <v>0</v>
      </c>
      <c r="J189" s="12">
        <v>0</v>
      </c>
      <c r="K189" s="12">
        <v>0</v>
      </c>
      <c r="L189" s="13">
        <v>0</v>
      </c>
      <c r="M189" s="13">
        <v>0</v>
      </c>
      <c r="N189" s="12">
        <v>0</v>
      </c>
      <c r="O189" s="12">
        <v>0</v>
      </c>
      <c r="P189" s="12">
        <v>0</v>
      </c>
      <c r="Q189" s="14">
        <v>0</v>
      </c>
      <c r="R189" s="15">
        <v>739065.04</v>
      </c>
      <c r="S189" s="16">
        <v>739065.04</v>
      </c>
      <c r="T189" s="15">
        <v>459888.04</v>
      </c>
      <c r="U189" s="16">
        <v>0</v>
      </c>
      <c r="V189" s="15">
        <v>279177</v>
      </c>
      <c r="W189" s="16">
        <v>0</v>
      </c>
      <c r="X189" s="15">
        <v>0</v>
      </c>
      <c r="Y189" s="16">
        <v>0</v>
      </c>
      <c r="Z189" s="15">
        <v>0</v>
      </c>
      <c r="AA189" s="16">
        <v>0</v>
      </c>
      <c r="AB189" s="15">
        <v>0</v>
      </c>
      <c r="AC189" s="16">
        <v>0</v>
      </c>
      <c r="AD189" s="15">
        <v>0</v>
      </c>
      <c r="AE189" s="16">
        <v>0</v>
      </c>
      <c r="AF189" s="15">
        <v>0</v>
      </c>
      <c r="AG189" s="16">
        <v>0</v>
      </c>
      <c r="AH189" s="15">
        <v>0</v>
      </c>
      <c r="AI189" s="15" t="s">
        <v>589</v>
      </c>
      <c r="AJ189" s="14">
        <v>0.41652777777777777</v>
      </c>
      <c r="AK189" s="17">
        <v>43693</v>
      </c>
      <c r="AL189" s="18" t="s">
        <v>40</v>
      </c>
      <c r="AM189" s="14" t="s">
        <v>410</v>
      </c>
      <c r="AN189" s="14" t="s">
        <v>36</v>
      </c>
      <c r="AO189" s="14" t="s">
        <v>590</v>
      </c>
      <c r="AP189" s="14" t="s">
        <v>37</v>
      </c>
      <c r="AQ189" s="14" t="s">
        <v>184</v>
      </c>
      <c r="AR189" s="14" t="s">
        <v>4</v>
      </c>
      <c r="AS189" s="14">
        <v>0</v>
      </c>
      <c r="AT189" s="14">
        <v>0</v>
      </c>
      <c r="AU189" s="14">
        <v>0</v>
      </c>
      <c r="AV189" s="14">
        <v>0</v>
      </c>
      <c r="AW189" s="14"/>
      <c r="AX189" s="14"/>
      <c r="AY189" s="14"/>
      <c r="AZ189" s="14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  <c r="BL189" s="11"/>
      <c r="BM189" s="11"/>
      <c r="BN189" s="11"/>
    </row>
    <row r="190" spans="1:66" s="2" customFormat="1" ht="12" customHeight="1" x14ac:dyDescent="0.25">
      <c r="A190" s="9">
        <f t="shared" si="2"/>
        <v>1</v>
      </c>
      <c r="B190" s="6"/>
      <c r="C190" s="6"/>
      <c r="D190" s="24"/>
      <c r="E190" s="12" t="s">
        <v>38</v>
      </c>
      <c r="F190" s="25">
        <v>0</v>
      </c>
      <c r="G190" s="12" t="s">
        <v>591</v>
      </c>
      <c r="H190" s="12">
        <v>0</v>
      </c>
      <c r="I190" s="12">
        <v>0</v>
      </c>
      <c r="J190" s="12">
        <v>0</v>
      </c>
      <c r="K190" s="12">
        <v>0</v>
      </c>
      <c r="L190" s="13">
        <v>0</v>
      </c>
      <c r="M190" s="13">
        <v>0</v>
      </c>
      <c r="N190" s="12">
        <v>0</v>
      </c>
      <c r="O190" s="12">
        <v>0</v>
      </c>
      <c r="P190" s="12">
        <v>0</v>
      </c>
      <c r="Q190" s="14">
        <v>0</v>
      </c>
      <c r="R190" s="15">
        <v>699707.65999999992</v>
      </c>
      <c r="S190" s="16">
        <v>699707.65999999992</v>
      </c>
      <c r="T190" s="15">
        <v>436298.66</v>
      </c>
      <c r="U190" s="16">
        <v>0</v>
      </c>
      <c r="V190" s="15">
        <v>263409</v>
      </c>
      <c r="W190" s="16">
        <v>0</v>
      </c>
      <c r="X190" s="15">
        <v>0</v>
      </c>
      <c r="Y190" s="16">
        <v>0</v>
      </c>
      <c r="Z190" s="15">
        <v>0</v>
      </c>
      <c r="AA190" s="16">
        <v>0</v>
      </c>
      <c r="AB190" s="15">
        <v>0</v>
      </c>
      <c r="AC190" s="16">
        <v>0</v>
      </c>
      <c r="AD190" s="15">
        <v>0</v>
      </c>
      <c r="AE190" s="16">
        <v>0</v>
      </c>
      <c r="AF190" s="15">
        <v>0</v>
      </c>
      <c r="AG190" s="16">
        <v>0</v>
      </c>
      <c r="AH190" s="15">
        <v>0</v>
      </c>
      <c r="AI190" s="15" t="s">
        <v>592</v>
      </c>
      <c r="AJ190" s="14">
        <v>0.41320601851851851</v>
      </c>
      <c r="AK190" s="17">
        <v>43693</v>
      </c>
      <c r="AL190" s="18" t="s">
        <v>568</v>
      </c>
      <c r="AM190" s="14" t="s">
        <v>569</v>
      </c>
      <c r="AN190" s="14" t="s">
        <v>36</v>
      </c>
      <c r="AO190" s="14" t="s">
        <v>593</v>
      </c>
      <c r="AP190" s="14" t="s">
        <v>37</v>
      </c>
      <c r="AQ190" s="14" t="s">
        <v>184</v>
      </c>
      <c r="AR190" s="14" t="s">
        <v>4</v>
      </c>
      <c r="AS190" s="14">
        <v>0</v>
      </c>
      <c r="AT190" s="14">
        <v>0</v>
      </c>
      <c r="AU190" s="14">
        <v>0</v>
      </c>
      <c r="AV190" s="14">
        <v>0</v>
      </c>
      <c r="AW190" s="14"/>
      <c r="AX190" s="14"/>
      <c r="AY190" s="14"/>
      <c r="AZ190" s="14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  <c r="BL190" s="11"/>
      <c r="BM190" s="11"/>
      <c r="BN190" s="11"/>
    </row>
    <row r="191" spans="1:66" s="2" customFormat="1" ht="12" customHeight="1" x14ac:dyDescent="0.25">
      <c r="A191" s="9">
        <f t="shared" si="2"/>
        <v>1</v>
      </c>
      <c r="B191" s="6"/>
      <c r="C191" s="6"/>
      <c r="D191" s="24"/>
      <c r="E191" s="12" t="s">
        <v>38</v>
      </c>
      <c r="F191" s="25">
        <v>0</v>
      </c>
      <c r="G191" s="12" t="s">
        <v>594</v>
      </c>
      <c r="H191" s="12">
        <v>0</v>
      </c>
      <c r="I191" s="12">
        <v>0</v>
      </c>
      <c r="J191" s="12">
        <v>0</v>
      </c>
      <c r="K191" s="12">
        <v>0</v>
      </c>
      <c r="L191" s="13">
        <v>0</v>
      </c>
      <c r="M191" s="13">
        <v>0</v>
      </c>
      <c r="N191" s="12">
        <v>0</v>
      </c>
      <c r="O191" s="12">
        <v>0</v>
      </c>
      <c r="P191" s="12">
        <v>0</v>
      </c>
      <c r="Q191" s="14">
        <v>0</v>
      </c>
      <c r="R191" s="15">
        <v>0</v>
      </c>
      <c r="S191" s="16">
        <v>0</v>
      </c>
      <c r="T191" s="15">
        <v>0</v>
      </c>
      <c r="U191" s="16">
        <v>0</v>
      </c>
      <c r="V191" s="15">
        <v>0</v>
      </c>
      <c r="W191" s="16">
        <v>0</v>
      </c>
      <c r="X191" s="15">
        <v>0</v>
      </c>
      <c r="Y191" s="16">
        <v>0</v>
      </c>
      <c r="Z191" s="15">
        <v>0</v>
      </c>
      <c r="AA191" s="16">
        <v>0</v>
      </c>
      <c r="AB191" s="15">
        <v>0</v>
      </c>
      <c r="AC191" s="16">
        <v>0</v>
      </c>
      <c r="AD191" s="15">
        <v>0</v>
      </c>
      <c r="AE191" s="16">
        <v>0</v>
      </c>
      <c r="AF191" s="15">
        <v>0</v>
      </c>
      <c r="AG191" s="16">
        <v>0</v>
      </c>
      <c r="AH191" s="15">
        <v>0</v>
      </c>
      <c r="AI191" s="15" t="s">
        <v>595</v>
      </c>
      <c r="AJ191" s="14">
        <v>0.45430555555555557</v>
      </c>
      <c r="AK191" s="17">
        <v>43696</v>
      </c>
      <c r="AL191" s="18" t="s">
        <v>40</v>
      </c>
      <c r="AM191" s="14" t="s">
        <v>410</v>
      </c>
      <c r="AN191" s="14" t="s">
        <v>36</v>
      </c>
      <c r="AO191" s="14" t="s">
        <v>596</v>
      </c>
      <c r="AP191" s="14" t="s">
        <v>37</v>
      </c>
      <c r="AQ191" s="14" t="s">
        <v>184</v>
      </c>
      <c r="AR191" s="14" t="s">
        <v>4</v>
      </c>
      <c r="AS191" s="14">
        <v>0</v>
      </c>
      <c r="AT191" s="14">
        <v>0</v>
      </c>
      <c r="AU191" s="14">
        <v>0</v>
      </c>
      <c r="AV191" s="14">
        <v>0</v>
      </c>
      <c r="AW191" s="14"/>
      <c r="AX191" s="14"/>
      <c r="AY191" s="14"/>
      <c r="AZ191" s="14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  <c r="BL191" s="11"/>
      <c r="BM191" s="11"/>
      <c r="BN191" s="11"/>
    </row>
    <row r="192" spans="1:66" s="2" customFormat="1" ht="12" customHeight="1" x14ac:dyDescent="0.25">
      <c r="A192" s="9">
        <f t="shared" si="2"/>
        <v>1</v>
      </c>
      <c r="B192" s="6"/>
      <c r="C192" s="6"/>
      <c r="D192" s="24"/>
      <c r="E192" s="12" t="s">
        <v>38</v>
      </c>
      <c r="F192" s="25">
        <v>0</v>
      </c>
      <c r="G192" s="12" t="s">
        <v>597</v>
      </c>
      <c r="H192" s="12">
        <v>0</v>
      </c>
      <c r="I192" s="12">
        <v>0</v>
      </c>
      <c r="J192" s="12">
        <v>0</v>
      </c>
      <c r="K192" s="12">
        <v>0</v>
      </c>
      <c r="L192" s="13">
        <v>0</v>
      </c>
      <c r="M192" s="13">
        <v>0</v>
      </c>
      <c r="N192" s="12">
        <v>0</v>
      </c>
      <c r="O192" s="12">
        <v>0</v>
      </c>
      <c r="P192" s="12">
        <v>0</v>
      </c>
      <c r="Q192" s="14">
        <v>0</v>
      </c>
      <c r="R192" s="15">
        <v>571666.27015399991</v>
      </c>
      <c r="S192" s="16">
        <v>571666.27015399991</v>
      </c>
      <c r="T192" s="15">
        <v>283491.11</v>
      </c>
      <c r="U192" s="16">
        <v>0</v>
      </c>
      <c r="V192" s="15">
        <v>201705</v>
      </c>
      <c r="W192" s="16">
        <v>0</v>
      </c>
      <c r="X192" s="15">
        <v>34952.082199999997</v>
      </c>
      <c r="Y192" s="16">
        <v>0</v>
      </c>
      <c r="Z192" s="15">
        <v>14119.350000000002</v>
      </c>
      <c r="AA192" s="16">
        <v>0</v>
      </c>
      <c r="AB192" s="15">
        <v>37398.727953999994</v>
      </c>
      <c r="AC192" s="16">
        <v>0</v>
      </c>
      <c r="AD192" s="15">
        <v>0</v>
      </c>
      <c r="AE192" s="16">
        <v>0</v>
      </c>
      <c r="AF192" s="15">
        <v>0</v>
      </c>
      <c r="AG192" s="16">
        <v>0</v>
      </c>
      <c r="AH192" s="15">
        <v>0</v>
      </c>
      <c r="AI192" s="15" t="s">
        <v>598</v>
      </c>
      <c r="AJ192" s="14">
        <v>0.52173611111111107</v>
      </c>
      <c r="AK192" s="17">
        <v>43698</v>
      </c>
      <c r="AL192" s="18" t="s">
        <v>291</v>
      </c>
      <c r="AM192" s="14" t="s">
        <v>292</v>
      </c>
      <c r="AN192" s="14" t="s">
        <v>36</v>
      </c>
      <c r="AO192" s="14" t="s">
        <v>599</v>
      </c>
      <c r="AP192" s="14" t="s">
        <v>37</v>
      </c>
      <c r="AQ192" s="14" t="s">
        <v>184</v>
      </c>
      <c r="AR192" s="14" t="s">
        <v>4</v>
      </c>
      <c r="AS192" s="14">
        <v>0</v>
      </c>
      <c r="AT192" s="14">
        <v>0</v>
      </c>
      <c r="AU192" s="14">
        <v>0</v>
      </c>
      <c r="AV192" s="14">
        <v>0</v>
      </c>
      <c r="AW192" s="14"/>
      <c r="AX192" s="14"/>
      <c r="AY192" s="14"/>
      <c r="AZ192" s="14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  <c r="BM192" s="11"/>
      <c r="BN192" s="11"/>
    </row>
    <row r="193" spans="1:66" s="2" customFormat="1" ht="12" customHeight="1" x14ac:dyDescent="0.25">
      <c r="A193" s="9">
        <f t="shared" si="2"/>
        <v>1</v>
      </c>
      <c r="B193" s="6"/>
      <c r="C193" s="6"/>
      <c r="D193" s="24"/>
      <c r="E193" s="12" t="s">
        <v>38</v>
      </c>
      <c r="F193" s="25">
        <v>0</v>
      </c>
      <c r="G193" s="12" t="s">
        <v>600</v>
      </c>
      <c r="H193" s="12">
        <v>0</v>
      </c>
      <c r="I193" s="12">
        <v>0</v>
      </c>
      <c r="J193" s="12">
        <v>0</v>
      </c>
      <c r="K193" s="12">
        <v>0</v>
      </c>
      <c r="L193" s="13">
        <v>0</v>
      </c>
      <c r="M193" s="13">
        <v>0</v>
      </c>
      <c r="N193" s="12">
        <v>0</v>
      </c>
      <c r="O193" s="12">
        <v>0</v>
      </c>
      <c r="P193" s="12">
        <v>0</v>
      </c>
      <c r="Q193" s="14">
        <v>0</v>
      </c>
      <c r="R193" s="15">
        <v>605752.73671000008</v>
      </c>
      <c r="S193" s="16">
        <v>605752.73671000008</v>
      </c>
      <c r="T193" s="15">
        <v>296523.40000000002</v>
      </c>
      <c r="U193" s="16">
        <v>0</v>
      </c>
      <c r="V193" s="15">
        <v>217350</v>
      </c>
      <c r="W193" s="16">
        <v>0</v>
      </c>
      <c r="X193" s="15">
        <v>37036.153000000006</v>
      </c>
      <c r="Y193" s="16">
        <v>0</v>
      </c>
      <c r="Z193" s="15">
        <v>15214.500000000002</v>
      </c>
      <c r="AA193" s="16">
        <v>0</v>
      </c>
      <c r="AB193" s="15">
        <v>39628.683710000012</v>
      </c>
      <c r="AC193" s="16">
        <v>0</v>
      </c>
      <c r="AD193" s="15">
        <v>0</v>
      </c>
      <c r="AE193" s="16">
        <v>0</v>
      </c>
      <c r="AF193" s="15">
        <v>0</v>
      </c>
      <c r="AG193" s="16">
        <v>0</v>
      </c>
      <c r="AH193" s="15">
        <v>0</v>
      </c>
      <c r="AI193" s="15" t="s">
        <v>601</v>
      </c>
      <c r="AJ193" s="14">
        <v>0.53217592592592589</v>
      </c>
      <c r="AK193" s="17">
        <v>43698</v>
      </c>
      <c r="AL193" s="18" t="s">
        <v>291</v>
      </c>
      <c r="AM193" s="14" t="s">
        <v>292</v>
      </c>
      <c r="AN193" s="14" t="s">
        <v>36</v>
      </c>
      <c r="AO193" s="14" t="s">
        <v>602</v>
      </c>
      <c r="AP193" s="14" t="s">
        <v>37</v>
      </c>
      <c r="AQ193" s="14" t="s">
        <v>184</v>
      </c>
      <c r="AR193" s="14" t="s">
        <v>4</v>
      </c>
      <c r="AS193" s="14">
        <v>0</v>
      </c>
      <c r="AT193" s="14">
        <v>0</v>
      </c>
      <c r="AU193" s="14">
        <v>0</v>
      </c>
      <c r="AV193" s="14">
        <v>0</v>
      </c>
      <c r="AW193" s="14"/>
      <c r="AX193" s="14"/>
      <c r="AY193" s="14"/>
      <c r="AZ193" s="14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  <c r="BL193" s="11"/>
      <c r="BM193" s="11"/>
      <c r="BN193" s="11"/>
    </row>
    <row r="194" spans="1:66" s="2" customFormat="1" ht="12" customHeight="1" x14ac:dyDescent="0.25">
      <c r="A194" s="9">
        <f t="shared" si="2"/>
        <v>1</v>
      </c>
      <c r="B194" s="6"/>
      <c r="C194" s="6"/>
      <c r="D194" s="24"/>
      <c r="E194" s="12" t="s">
        <v>38</v>
      </c>
      <c r="F194" s="25">
        <v>0</v>
      </c>
      <c r="G194" s="12" t="s">
        <v>603</v>
      </c>
      <c r="H194" s="12">
        <v>0</v>
      </c>
      <c r="I194" s="12">
        <v>0</v>
      </c>
      <c r="J194" s="12">
        <v>0</v>
      </c>
      <c r="K194" s="12">
        <v>0</v>
      </c>
      <c r="L194" s="13">
        <v>0</v>
      </c>
      <c r="M194" s="13">
        <v>0</v>
      </c>
      <c r="N194" s="12">
        <v>0</v>
      </c>
      <c r="O194" s="12">
        <v>0</v>
      </c>
      <c r="P194" s="12">
        <v>0</v>
      </c>
      <c r="Q194" s="14">
        <v>0</v>
      </c>
      <c r="R194" s="15">
        <v>2429581.8714099997</v>
      </c>
      <c r="S194" s="16">
        <v>2429581.8714099997</v>
      </c>
      <c r="T194" s="15">
        <v>1383031.2</v>
      </c>
      <c r="U194" s="16">
        <v>0</v>
      </c>
      <c r="V194" s="15">
        <v>690710</v>
      </c>
      <c r="W194" s="16">
        <v>0</v>
      </c>
      <c r="X194" s="15">
        <v>148546.36300000001</v>
      </c>
      <c r="Y194" s="16">
        <v>0</v>
      </c>
      <c r="Z194" s="15">
        <v>48349.700000000004</v>
      </c>
      <c r="AA194" s="16">
        <v>0</v>
      </c>
      <c r="AB194" s="15">
        <v>158944.60841000002</v>
      </c>
      <c r="AC194" s="16">
        <v>0</v>
      </c>
      <c r="AD194" s="15">
        <v>0</v>
      </c>
      <c r="AE194" s="16">
        <v>0</v>
      </c>
      <c r="AF194" s="15">
        <v>0</v>
      </c>
      <c r="AG194" s="16">
        <v>0</v>
      </c>
      <c r="AH194" s="15">
        <v>0</v>
      </c>
      <c r="AI194" s="15" t="s">
        <v>604</v>
      </c>
      <c r="AJ194" s="14">
        <v>0.69950231481481484</v>
      </c>
      <c r="AK194" s="17">
        <v>43706</v>
      </c>
      <c r="AL194" s="18" t="s">
        <v>291</v>
      </c>
      <c r="AM194" s="14" t="s">
        <v>292</v>
      </c>
      <c r="AN194" s="14" t="s">
        <v>36</v>
      </c>
      <c r="AO194" s="14" t="s">
        <v>605</v>
      </c>
      <c r="AP194" s="14" t="s">
        <v>37</v>
      </c>
      <c r="AQ194" s="14" t="s">
        <v>184</v>
      </c>
      <c r="AR194" s="14" t="s">
        <v>4</v>
      </c>
      <c r="AS194" s="14">
        <v>0</v>
      </c>
      <c r="AT194" s="14">
        <v>0</v>
      </c>
      <c r="AU194" s="14">
        <v>0</v>
      </c>
      <c r="AV194" s="14">
        <v>0</v>
      </c>
      <c r="AW194" s="14"/>
      <c r="AX194" s="14"/>
      <c r="AY194" s="14"/>
      <c r="AZ194" s="14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  <c r="BL194" s="11"/>
      <c r="BM194" s="11"/>
      <c r="BN194" s="11"/>
    </row>
    <row r="195" spans="1:66" s="2" customFormat="1" ht="12" customHeight="1" x14ac:dyDescent="0.25">
      <c r="A195" s="9">
        <f t="shared" si="2"/>
        <v>1</v>
      </c>
      <c r="B195" s="6"/>
      <c r="C195" s="6"/>
      <c r="D195" s="24"/>
      <c r="E195" s="12" t="s">
        <v>38</v>
      </c>
      <c r="F195" s="25">
        <v>0</v>
      </c>
      <c r="G195" s="12" t="s">
        <v>606</v>
      </c>
      <c r="H195" s="12">
        <v>0</v>
      </c>
      <c r="I195" s="12">
        <v>0</v>
      </c>
      <c r="J195" s="12">
        <v>0</v>
      </c>
      <c r="K195" s="12">
        <v>0</v>
      </c>
      <c r="L195" s="13">
        <v>0</v>
      </c>
      <c r="M195" s="13">
        <v>0</v>
      </c>
      <c r="N195" s="12">
        <v>0</v>
      </c>
      <c r="O195" s="12">
        <v>0</v>
      </c>
      <c r="P195" s="12">
        <v>0</v>
      </c>
      <c r="Q195" s="14">
        <v>0</v>
      </c>
      <c r="R195" s="15">
        <v>946340.94000000006</v>
      </c>
      <c r="S195" s="16">
        <v>946340.94000000006</v>
      </c>
      <c r="T195" s="15">
        <v>579157.94000000006</v>
      </c>
      <c r="U195" s="16">
        <v>0</v>
      </c>
      <c r="V195" s="15">
        <v>367183</v>
      </c>
      <c r="W195" s="16">
        <v>0</v>
      </c>
      <c r="X195" s="15">
        <v>0</v>
      </c>
      <c r="Y195" s="16">
        <v>0</v>
      </c>
      <c r="Z195" s="15">
        <v>0</v>
      </c>
      <c r="AA195" s="16">
        <v>0</v>
      </c>
      <c r="AB195" s="15">
        <v>0</v>
      </c>
      <c r="AC195" s="16">
        <v>0</v>
      </c>
      <c r="AD195" s="15">
        <v>0</v>
      </c>
      <c r="AE195" s="16">
        <v>0</v>
      </c>
      <c r="AF195" s="15">
        <v>0</v>
      </c>
      <c r="AG195" s="16">
        <v>0</v>
      </c>
      <c r="AH195" s="15">
        <v>0</v>
      </c>
      <c r="AI195" s="15" t="s">
        <v>607</v>
      </c>
      <c r="AJ195" s="14">
        <v>0.46067129629629627</v>
      </c>
      <c r="AK195" s="17">
        <v>43705</v>
      </c>
      <c r="AL195" s="18" t="s">
        <v>40</v>
      </c>
      <c r="AM195" s="14" t="s">
        <v>410</v>
      </c>
      <c r="AN195" s="14" t="s">
        <v>36</v>
      </c>
      <c r="AO195" s="14" t="s">
        <v>608</v>
      </c>
      <c r="AP195" s="14" t="s">
        <v>37</v>
      </c>
      <c r="AQ195" s="14" t="s">
        <v>184</v>
      </c>
      <c r="AR195" s="14" t="s">
        <v>4</v>
      </c>
      <c r="AS195" s="14">
        <v>0</v>
      </c>
      <c r="AT195" s="14">
        <v>0</v>
      </c>
      <c r="AU195" s="14">
        <v>0</v>
      </c>
      <c r="AV195" s="14">
        <v>0</v>
      </c>
      <c r="AW195" s="14"/>
      <c r="AX195" s="14"/>
      <c r="AY195" s="14"/>
      <c r="AZ195" s="14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  <c r="BL195" s="11"/>
      <c r="BM195" s="11"/>
      <c r="BN195" s="11"/>
    </row>
    <row r="196" spans="1:66" s="2" customFormat="1" ht="12" customHeight="1" x14ac:dyDescent="0.25">
      <c r="A196" s="9">
        <f t="shared" si="2"/>
        <v>1</v>
      </c>
      <c r="B196" s="6"/>
      <c r="C196" s="6"/>
      <c r="D196" s="24"/>
      <c r="E196" s="12" t="s">
        <v>38</v>
      </c>
      <c r="F196" s="25">
        <v>0</v>
      </c>
      <c r="G196" s="12" t="s">
        <v>609</v>
      </c>
      <c r="H196" s="12">
        <v>0</v>
      </c>
      <c r="I196" s="12">
        <v>0</v>
      </c>
      <c r="J196" s="12">
        <v>0</v>
      </c>
      <c r="K196" s="12">
        <v>0</v>
      </c>
      <c r="L196" s="13">
        <v>0</v>
      </c>
      <c r="M196" s="13">
        <v>0</v>
      </c>
      <c r="N196" s="12">
        <v>0</v>
      </c>
      <c r="O196" s="12">
        <v>0</v>
      </c>
      <c r="P196" s="12">
        <v>0</v>
      </c>
      <c r="Q196" s="14">
        <v>0</v>
      </c>
      <c r="R196" s="15">
        <v>874008.98</v>
      </c>
      <c r="S196" s="16">
        <v>874008.98</v>
      </c>
      <c r="T196" s="15">
        <v>541124.98</v>
      </c>
      <c r="U196" s="16">
        <v>0</v>
      </c>
      <c r="V196" s="15">
        <v>332884</v>
      </c>
      <c r="W196" s="16">
        <v>0</v>
      </c>
      <c r="X196" s="15">
        <v>0</v>
      </c>
      <c r="Y196" s="16">
        <v>0</v>
      </c>
      <c r="Z196" s="15">
        <v>0</v>
      </c>
      <c r="AA196" s="16">
        <v>0</v>
      </c>
      <c r="AB196" s="15">
        <v>0</v>
      </c>
      <c r="AC196" s="16">
        <v>0</v>
      </c>
      <c r="AD196" s="15">
        <v>0</v>
      </c>
      <c r="AE196" s="16">
        <v>0</v>
      </c>
      <c r="AF196" s="15">
        <v>0</v>
      </c>
      <c r="AG196" s="16">
        <v>0</v>
      </c>
      <c r="AH196" s="15">
        <v>0</v>
      </c>
      <c r="AI196" s="15" t="s">
        <v>610</v>
      </c>
      <c r="AJ196" s="14">
        <v>0.46082175925925922</v>
      </c>
      <c r="AK196" s="17">
        <v>43705</v>
      </c>
      <c r="AL196" s="18" t="s">
        <v>40</v>
      </c>
      <c r="AM196" s="14" t="s">
        <v>410</v>
      </c>
      <c r="AN196" s="14" t="s">
        <v>36</v>
      </c>
      <c r="AO196" s="14" t="s">
        <v>611</v>
      </c>
      <c r="AP196" s="14" t="s">
        <v>37</v>
      </c>
      <c r="AQ196" s="14" t="s">
        <v>184</v>
      </c>
      <c r="AR196" s="14" t="s">
        <v>4</v>
      </c>
      <c r="AS196" s="14">
        <v>0</v>
      </c>
      <c r="AT196" s="14">
        <v>0</v>
      </c>
      <c r="AU196" s="14">
        <v>0</v>
      </c>
      <c r="AV196" s="14">
        <v>0</v>
      </c>
      <c r="AW196" s="14"/>
      <c r="AX196" s="14"/>
      <c r="AY196" s="14"/>
      <c r="AZ196" s="14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  <c r="BL196" s="11"/>
      <c r="BM196" s="11"/>
      <c r="BN196" s="11"/>
    </row>
    <row r="197" spans="1:66" s="2" customFormat="1" ht="12" customHeight="1" x14ac:dyDescent="0.25">
      <c r="A197" s="9">
        <f t="shared" si="2"/>
        <v>1</v>
      </c>
      <c r="B197" s="6"/>
      <c r="C197" s="6"/>
      <c r="D197" s="24"/>
      <c r="E197" s="12" t="s">
        <v>38</v>
      </c>
      <c r="F197" s="25">
        <v>0</v>
      </c>
      <c r="G197" s="12" t="s">
        <v>612</v>
      </c>
      <c r="H197" s="12">
        <v>0</v>
      </c>
      <c r="I197" s="12">
        <v>0</v>
      </c>
      <c r="J197" s="12">
        <v>0</v>
      </c>
      <c r="K197" s="12">
        <v>0</v>
      </c>
      <c r="L197" s="13">
        <v>0</v>
      </c>
      <c r="M197" s="13">
        <v>0</v>
      </c>
      <c r="N197" s="12">
        <v>0</v>
      </c>
      <c r="O197" s="12">
        <v>0</v>
      </c>
      <c r="P197" s="12">
        <v>0</v>
      </c>
      <c r="Q197" s="14">
        <v>0</v>
      </c>
      <c r="R197" s="15">
        <v>21408.485100000002</v>
      </c>
      <c r="S197" s="16">
        <v>21408.485100000002</v>
      </c>
      <c r="T197" s="15">
        <v>14761.4</v>
      </c>
      <c r="U197" s="16">
        <v>0</v>
      </c>
      <c r="V197" s="15">
        <v>3680</v>
      </c>
      <c r="W197" s="16">
        <v>0</v>
      </c>
      <c r="X197" s="15">
        <v>1308.93</v>
      </c>
      <c r="Y197" s="16">
        <v>0</v>
      </c>
      <c r="Z197" s="15">
        <v>257.60000000000002</v>
      </c>
      <c r="AA197" s="16">
        <v>0</v>
      </c>
      <c r="AB197" s="15">
        <v>1400.5551000000003</v>
      </c>
      <c r="AC197" s="16">
        <v>0</v>
      </c>
      <c r="AD197" s="15">
        <v>0</v>
      </c>
      <c r="AE197" s="16">
        <v>0</v>
      </c>
      <c r="AF197" s="15">
        <v>0</v>
      </c>
      <c r="AG197" s="16">
        <v>0</v>
      </c>
      <c r="AH197" s="15">
        <v>0</v>
      </c>
      <c r="AI197" s="15" t="s">
        <v>613</v>
      </c>
      <c r="AJ197" s="14">
        <v>0.61805555555555558</v>
      </c>
      <c r="AK197" s="17">
        <v>43707</v>
      </c>
      <c r="AL197" s="18" t="s">
        <v>291</v>
      </c>
      <c r="AM197" s="14" t="s">
        <v>292</v>
      </c>
      <c r="AN197" s="14" t="s">
        <v>36</v>
      </c>
      <c r="AO197" s="14" t="s">
        <v>614</v>
      </c>
      <c r="AP197" s="14" t="s">
        <v>37</v>
      </c>
      <c r="AQ197" s="14" t="s">
        <v>184</v>
      </c>
      <c r="AR197" s="14" t="s">
        <v>4</v>
      </c>
      <c r="AS197" s="14">
        <v>0</v>
      </c>
      <c r="AT197" s="14">
        <v>0</v>
      </c>
      <c r="AU197" s="14">
        <v>0</v>
      </c>
      <c r="AV197" s="14">
        <v>0</v>
      </c>
      <c r="AW197" s="14"/>
      <c r="AX197" s="14"/>
      <c r="AY197" s="14"/>
      <c r="AZ197" s="14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  <c r="BL197" s="11"/>
      <c r="BM197" s="11"/>
      <c r="BN197" s="11"/>
    </row>
    <row r="198" spans="1:66" s="2" customFormat="1" ht="12" customHeight="1" x14ac:dyDescent="0.25">
      <c r="A198" s="9">
        <f t="shared" si="2"/>
        <v>1</v>
      </c>
      <c r="B198" s="6"/>
      <c r="C198" s="6"/>
      <c r="D198" s="24"/>
      <c r="E198" s="12" t="s">
        <v>38</v>
      </c>
      <c r="F198" s="25">
        <v>0</v>
      </c>
      <c r="G198" s="12" t="s">
        <v>615</v>
      </c>
      <c r="H198" s="12">
        <v>0</v>
      </c>
      <c r="I198" s="12">
        <v>0</v>
      </c>
      <c r="J198" s="12">
        <v>0</v>
      </c>
      <c r="K198" s="12">
        <v>0</v>
      </c>
      <c r="L198" s="13">
        <v>0</v>
      </c>
      <c r="M198" s="13">
        <v>0</v>
      </c>
      <c r="N198" s="12">
        <v>0</v>
      </c>
      <c r="O198" s="12">
        <v>0</v>
      </c>
      <c r="P198" s="12">
        <v>0</v>
      </c>
      <c r="Q198" s="14">
        <v>0</v>
      </c>
      <c r="R198" s="15">
        <v>308331.87410000002</v>
      </c>
      <c r="S198" s="16">
        <v>308331.87410000002</v>
      </c>
      <c r="T198" s="15">
        <v>133338.75</v>
      </c>
      <c r="U198" s="16">
        <v>0</v>
      </c>
      <c r="V198" s="15">
        <v>127075</v>
      </c>
      <c r="W198" s="16">
        <v>0</v>
      </c>
      <c r="X198" s="15">
        <v>18851.63</v>
      </c>
      <c r="Y198" s="16">
        <v>0</v>
      </c>
      <c r="Z198" s="15">
        <v>8895.25</v>
      </c>
      <c r="AA198" s="16">
        <v>0</v>
      </c>
      <c r="AB198" s="15">
        <v>20171.244100000004</v>
      </c>
      <c r="AC198" s="16">
        <v>0</v>
      </c>
      <c r="AD198" s="15">
        <v>0</v>
      </c>
      <c r="AE198" s="16">
        <v>0</v>
      </c>
      <c r="AF198" s="15">
        <v>0</v>
      </c>
      <c r="AG198" s="16">
        <v>0</v>
      </c>
      <c r="AH198" s="15">
        <v>0</v>
      </c>
      <c r="AI198" s="15" t="s">
        <v>616</v>
      </c>
      <c r="AJ198" s="14">
        <v>0.58805555555555555</v>
      </c>
      <c r="AK198" s="17">
        <v>43710</v>
      </c>
      <c r="AL198" s="18" t="s">
        <v>291</v>
      </c>
      <c r="AM198" s="14" t="s">
        <v>292</v>
      </c>
      <c r="AN198" s="14" t="s">
        <v>36</v>
      </c>
      <c r="AO198" s="14" t="s">
        <v>617</v>
      </c>
      <c r="AP198" s="14" t="s">
        <v>37</v>
      </c>
      <c r="AQ198" s="14" t="s">
        <v>184</v>
      </c>
      <c r="AR198" s="14" t="s">
        <v>4</v>
      </c>
      <c r="AS198" s="14">
        <v>0</v>
      </c>
      <c r="AT198" s="14">
        <v>0</v>
      </c>
      <c r="AU198" s="14">
        <v>0</v>
      </c>
      <c r="AV198" s="14">
        <v>0</v>
      </c>
      <c r="AW198" s="14"/>
      <c r="AX198" s="14"/>
      <c r="AY198" s="14"/>
      <c r="AZ198" s="14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  <c r="BL198" s="11"/>
      <c r="BM198" s="11"/>
      <c r="BN198" s="11"/>
    </row>
    <row r="199" spans="1:66" s="2" customFormat="1" ht="12" customHeight="1" x14ac:dyDescent="0.25">
      <c r="A199" s="9">
        <f t="shared" si="2"/>
        <v>1</v>
      </c>
      <c r="B199" s="6"/>
      <c r="C199" s="6"/>
      <c r="D199" s="24"/>
      <c r="E199" s="12" t="s">
        <v>38</v>
      </c>
      <c r="F199" s="25">
        <v>0</v>
      </c>
      <c r="G199" s="12" t="s">
        <v>618</v>
      </c>
      <c r="H199" s="12">
        <v>0</v>
      </c>
      <c r="I199" s="12">
        <v>0</v>
      </c>
      <c r="J199" s="12">
        <v>0</v>
      </c>
      <c r="K199" s="12">
        <v>0</v>
      </c>
      <c r="L199" s="13">
        <v>0</v>
      </c>
      <c r="M199" s="13">
        <v>0</v>
      </c>
      <c r="N199" s="12">
        <v>0</v>
      </c>
      <c r="O199" s="12">
        <v>0</v>
      </c>
      <c r="P199" s="12">
        <v>0</v>
      </c>
      <c r="Q199" s="14">
        <v>0</v>
      </c>
      <c r="R199" s="15">
        <v>712949.39168900007</v>
      </c>
      <c r="S199" s="16">
        <v>712949.39168900007</v>
      </c>
      <c r="T199" s="15">
        <v>339884.51</v>
      </c>
      <c r="U199" s="16">
        <v>0</v>
      </c>
      <c r="V199" s="15">
        <v>264330</v>
      </c>
      <c r="W199" s="16">
        <v>0</v>
      </c>
      <c r="X199" s="15">
        <v>43590.2327</v>
      </c>
      <c r="Y199" s="16">
        <v>0</v>
      </c>
      <c r="Z199" s="15">
        <v>18503.100000000002</v>
      </c>
      <c r="AA199" s="16">
        <v>0</v>
      </c>
      <c r="AB199" s="15">
        <v>46641.54898900001</v>
      </c>
      <c r="AC199" s="16">
        <v>0</v>
      </c>
      <c r="AD199" s="15">
        <v>0</v>
      </c>
      <c r="AE199" s="16">
        <v>0</v>
      </c>
      <c r="AF199" s="15">
        <v>0</v>
      </c>
      <c r="AG199" s="16">
        <v>0</v>
      </c>
      <c r="AH199" s="15">
        <v>0</v>
      </c>
      <c r="AI199" s="15" t="s">
        <v>619</v>
      </c>
      <c r="AJ199" s="14">
        <v>0.69413194444444448</v>
      </c>
      <c r="AK199" s="17">
        <v>43713</v>
      </c>
      <c r="AL199" s="18" t="s">
        <v>291</v>
      </c>
      <c r="AM199" s="14" t="s">
        <v>292</v>
      </c>
      <c r="AN199" s="14" t="s">
        <v>36</v>
      </c>
      <c r="AO199" s="14" t="s">
        <v>620</v>
      </c>
      <c r="AP199" s="14" t="s">
        <v>37</v>
      </c>
      <c r="AQ199" s="14" t="s">
        <v>184</v>
      </c>
      <c r="AR199" s="14" t="s">
        <v>4</v>
      </c>
      <c r="AS199" s="14">
        <v>0</v>
      </c>
      <c r="AT199" s="14">
        <v>0</v>
      </c>
      <c r="AU199" s="14">
        <v>0</v>
      </c>
      <c r="AV199" s="14">
        <v>0</v>
      </c>
      <c r="AW199" s="14"/>
      <c r="AX199" s="14"/>
      <c r="AY199" s="14"/>
      <c r="AZ199" s="14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  <c r="BL199" s="11"/>
      <c r="BM199" s="11"/>
      <c r="BN199" s="11"/>
    </row>
    <row r="200" spans="1:66" s="2" customFormat="1" ht="12" customHeight="1" x14ac:dyDescent="0.25">
      <c r="A200" s="9">
        <f t="shared" si="2"/>
        <v>1</v>
      </c>
      <c r="B200" s="6"/>
      <c r="C200" s="6"/>
      <c r="D200" s="24"/>
      <c r="E200" s="12" t="s">
        <v>38</v>
      </c>
      <c r="F200" s="25">
        <v>0</v>
      </c>
      <c r="G200" s="12" t="s">
        <v>621</v>
      </c>
      <c r="H200" s="12">
        <v>0</v>
      </c>
      <c r="I200" s="12">
        <v>0</v>
      </c>
      <c r="J200" s="12">
        <v>0</v>
      </c>
      <c r="K200" s="12">
        <v>0</v>
      </c>
      <c r="L200" s="13">
        <v>0</v>
      </c>
      <c r="M200" s="13">
        <v>0</v>
      </c>
      <c r="N200" s="12">
        <v>0</v>
      </c>
      <c r="O200" s="12">
        <v>0</v>
      </c>
      <c r="P200" s="12">
        <v>0</v>
      </c>
      <c r="Q200" s="14">
        <v>0</v>
      </c>
      <c r="R200" s="15">
        <v>567916.29904100008</v>
      </c>
      <c r="S200" s="16">
        <v>567916.29904100008</v>
      </c>
      <c r="T200" s="15">
        <v>251256.19</v>
      </c>
      <c r="U200" s="16">
        <v>0</v>
      </c>
      <c r="V200" s="15">
        <v>228770</v>
      </c>
      <c r="W200" s="16">
        <v>0</v>
      </c>
      <c r="X200" s="15">
        <v>34722.806300000004</v>
      </c>
      <c r="Y200" s="16">
        <v>0</v>
      </c>
      <c r="Z200" s="15">
        <v>16013.900000000001</v>
      </c>
      <c r="AA200" s="16">
        <v>0</v>
      </c>
      <c r="AB200" s="15">
        <v>37153.402741000005</v>
      </c>
      <c r="AC200" s="16">
        <v>0</v>
      </c>
      <c r="AD200" s="15">
        <v>0</v>
      </c>
      <c r="AE200" s="16">
        <v>0</v>
      </c>
      <c r="AF200" s="15">
        <v>0</v>
      </c>
      <c r="AG200" s="16">
        <v>0</v>
      </c>
      <c r="AH200" s="15">
        <v>0</v>
      </c>
      <c r="AI200" s="15" t="s">
        <v>622</v>
      </c>
      <c r="AJ200" s="14">
        <v>0.36483796296296295</v>
      </c>
      <c r="AK200" s="17">
        <v>43717</v>
      </c>
      <c r="AL200" s="18" t="s">
        <v>291</v>
      </c>
      <c r="AM200" s="14" t="s">
        <v>292</v>
      </c>
      <c r="AN200" s="14" t="s">
        <v>36</v>
      </c>
      <c r="AO200" s="14" t="s">
        <v>623</v>
      </c>
      <c r="AP200" s="14" t="s">
        <v>37</v>
      </c>
      <c r="AQ200" s="14" t="s">
        <v>184</v>
      </c>
      <c r="AR200" s="14" t="s">
        <v>4</v>
      </c>
      <c r="AS200" s="14">
        <v>0</v>
      </c>
      <c r="AT200" s="14">
        <v>0</v>
      </c>
      <c r="AU200" s="14">
        <v>0</v>
      </c>
      <c r="AV200" s="14">
        <v>0</v>
      </c>
      <c r="AW200" s="14"/>
      <c r="AX200" s="14"/>
      <c r="AY200" s="14"/>
      <c r="AZ200" s="14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  <c r="BL200" s="11"/>
      <c r="BM200" s="11"/>
      <c r="BN200" s="11"/>
    </row>
    <row r="201" spans="1:66" s="2" customFormat="1" ht="12" customHeight="1" x14ac:dyDescent="0.25">
      <c r="A201" s="9">
        <f t="shared" si="2"/>
        <v>1</v>
      </c>
      <c r="B201" s="6"/>
      <c r="C201" s="6"/>
      <c r="D201" s="24"/>
      <c r="E201" s="12" t="s">
        <v>38</v>
      </c>
      <c r="F201" s="25">
        <v>0</v>
      </c>
      <c r="G201" s="12" t="s">
        <v>624</v>
      </c>
      <c r="H201" s="12">
        <v>0</v>
      </c>
      <c r="I201" s="12">
        <v>0</v>
      </c>
      <c r="J201" s="12">
        <v>0</v>
      </c>
      <c r="K201" s="12">
        <v>0</v>
      </c>
      <c r="L201" s="13">
        <v>0</v>
      </c>
      <c r="M201" s="13">
        <v>0</v>
      </c>
      <c r="N201" s="12">
        <v>0</v>
      </c>
      <c r="O201" s="12">
        <v>0</v>
      </c>
      <c r="P201" s="12">
        <v>0</v>
      </c>
      <c r="Q201" s="14">
        <v>0</v>
      </c>
      <c r="R201" s="15">
        <v>131920.39000000001</v>
      </c>
      <c r="S201" s="16">
        <v>131920.39000000001</v>
      </c>
      <c r="T201" s="15">
        <v>59240.39</v>
      </c>
      <c r="U201" s="16">
        <v>0</v>
      </c>
      <c r="V201" s="15">
        <v>72680</v>
      </c>
      <c r="W201" s="16">
        <v>0</v>
      </c>
      <c r="X201" s="15">
        <v>0</v>
      </c>
      <c r="Y201" s="16">
        <v>0</v>
      </c>
      <c r="Z201" s="15">
        <v>0</v>
      </c>
      <c r="AA201" s="16">
        <v>0</v>
      </c>
      <c r="AB201" s="15">
        <v>0</v>
      </c>
      <c r="AC201" s="16">
        <v>0</v>
      </c>
      <c r="AD201" s="15">
        <v>0</v>
      </c>
      <c r="AE201" s="16">
        <v>0</v>
      </c>
      <c r="AF201" s="15">
        <v>0</v>
      </c>
      <c r="AG201" s="16">
        <v>0</v>
      </c>
      <c r="AH201" s="15">
        <v>0</v>
      </c>
      <c r="AI201" s="15" t="s">
        <v>625</v>
      </c>
      <c r="AJ201" s="14">
        <v>0.69378472222222232</v>
      </c>
      <c r="AK201" s="17">
        <v>43720</v>
      </c>
      <c r="AL201" s="18" t="s">
        <v>40</v>
      </c>
      <c r="AM201" s="14" t="s">
        <v>410</v>
      </c>
      <c r="AN201" s="14" t="s">
        <v>36</v>
      </c>
      <c r="AO201" s="14" t="s">
        <v>626</v>
      </c>
      <c r="AP201" s="14" t="s">
        <v>37</v>
      </c>
      <c r="AQ201" s="14" t="s">
        <v>184</v>
      </c>
      <c r="AR201" s="14" t="s">
        <v>4</v>
      </c>
      <c r="AS201" s="14">
        <v>0</v>
      </c>
      <c r="AT201" s="14">
        <v>0</v>
      </c>
      <c r="AU201" s="14">
        <v>0</v>
      </c>
      <c r="AV201" s="14">
        <v>0</v>
      </c>
      <c r="AW201" s="14"/>
      <c r="AX201" s="14"/>
      <c r="AY201" s="14"/>
      <c r="AZ201" s="14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  <c r="BL201" s="11"/>
      <c r="BM201" s="11"/>
      <c r="BN201" s="11"/>
    </row>
    <row r="202" spans="1:66" s="2" customFormat="1" ht="12" customHeight="1" x14ac:dyDescent="0.25">
      <c r="A202" s="9">
        <f t="shared" si="2"/>
        <v>1</v>
      </c>
      <c r="B202" s="6"/>
      <c r="C202" s="6"/>
      <c r="D202" s="24"/>
      <c r="E202" s="12" t="s">
        <v>38</v>
      </c>
      <c r="F202" s="25">
        <v>0</v>
      </c>
      <c r="G202" s="12" t="s">
        <v>627</v>
      </c>
      <c r="H202" s="12">
        <v>0</v>
      </c>
      <c r="I202" s="12">
        <v>0</v>
      </c>
      <c r="J202" s="12">
        <v>0</v>
      </c>
      <c r="K202" s="12">
        <v>0</v>
      </c>
      <c r="L202" s="13">
        <v>0</v>
      </c>
      <c r="M202" s="13">
        <v>0</v>
      </c>
      <c r="N202" s="12">
        <v>0</v>
      </c>
      <c r="O202" s="12">
        <v>0</v>
      </c>
      <c r="P202" s="12">
        <v>0</v>
      </c>
      <c r="Q202" s="14">
        <v>0</v>
      </c>
      <c r="R202" s="15">
        <v>131445.39000000001</v>
      </c>
      <c r="S202" s="16">
        <v>131445.39000000001</v>
      </c>
      <c r="T202" s="15">
        <v>59165.39</v>
      </c>
      <c r="U202" s="16">
        <v>0</v>
      </c>
      <c r="V202" s="15">
        <v>72280</v>
      </c>
      <c r="W202" s="16">
        <v>0</v>
      </c>
      <c r="X202" s="15">
        <v>0</v>
      </c>
      <c r="Y202" s="16">
        <v>0</v>
      </c>
      <c r="Z202" s="15">
        <v>0</v>
      </c>
      <c r="AA202" s="16">
        <v>0</v>
      </c>
      <c r="AB202" s="15">
        <v>0</v>
      </c>
      <c r="AC202" s="16">
        <v>0</v>
      </c>
      <c r="AD202" s="15">
        <v>0</v>
      </c>
      <c r="AE202" s="16">
        <v>0</v>
      </c>
      <c r="AF202" s="15">
        <v>0</v>
      </c>
      <c r="AG202" s="16">
        <v>0</v>
      </c>
      <c r="AH202" s="15">
        <v>0</v>
      </c>
      <c r="AI202" s="15" t="s">
        <v>628</v>
      </c>
      <c r="AJ202" s="14">
        <v>0.69472222222222213</v>
      </c>
      <c r="AK202" s="17">
        <v>43720</v>
      </c>
      <c r="AL202" s="18" t="s">
        <v>40</v>
      </c>
      <c r="AM202" s="14" t="s">
        <v>410</v>
      </c>
      <c r="AN202" s="14" t="s">
        <v>36</v>
      </c>
      <c r="AO202" s="14" t="s">
        <v>629</v>
      </c>
      <c r="AP202" s="14" t="s">
        <v>37</v>
      </c>
      <c r="AQ202" s="14" t="s">
        <v>184</v>
      </c>
      <c r="AR202" s="14" t="s">
        <v>4</v>
      </c>
      <c r="AS202" s="14">
        <v>0</v>
      </c>
      <c r="AT202" s="14">
        <v>0</v>
      </c>
      <c r="AU202" s="14">
        <v>0</v>
      </c>
      <c r="AV202" s="14">
        <v>0</v>
      </c>
      <c r="AW202" s="14"/>
      <c r="AX202" s="14"/>
      <c r="AY202" s="14"/>
      <c r="AZ202" s="14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  <c r="BL202" s="11"/>
      <c r="BM202" s="11"/>
      <c r="BN202" s="11"/>
    </row>
    <row r="203" spans="1:66" s="2" customFormat="1" ht="12" customHeight="1" x14ac:dyDescent="0.25">
      <c r="A203" s="9">
        <f t="shared" si="2"/>
        <v>1</v>
      </c>
      <c r="B203" s="6"/>
      <c r="C203" s="6"/>
      <c r="D203" s="24"/>
      <c r="E203" s="12" t="s">
        <v>38</v>
      </c>
      <c r="F203" s="25">
        <v>0</v>
      </c>
      <c r="G203" s="12" t="s">
        <v>630</v>
      </c>
      <c r="H203" s="12">
        <v>0</v>
      </c>
      <c r="I203" s="12">
        <v>0</v>
      </c>
      <c r="J203" s="12">
        <v>0</v>
      </c>
      <c r="K203" s="12">
        <v>0</v>
      </c>
      <c r="L203" s="13">
        <v>0</v>
      </c>
      <c r="M203" s="13">
        <v>0</v>
      </c>
      <c r="N203" s="12">
        <v>0</v>
      </c>
      <c r="O203" s="12">
        <v>0</v>
      </c>
      <c r="P203" s="12">
        <v>0</v>
      </c>
      <c r="Q203" s="14">
        <v>0</v>
      </c>
      <c r="R203" s="15">
        <v>46073.41</v>
      </c>
      <c r="S203" s="16">
        <v>46073.41</v>
      </c>
      <c r="T203" s="15">
        <v>30496.880000000001</v>
      </c>
      <c r="U203" s="16">
        <v>0</v>
      </c>
      <c r="V203" s="15">
        <v>15576.529999999999</v>
      </c>
      <c r="W203" s="16">
        <v>0</v>
      </c>
      <c r="X203" s="15">
        <v>0</v>
      </c>
      <c r="Y203" s="16">
        <v>0</v>
      </c>
      <c r="Z203" s="15">
        <v>0</v>
      </c>
      <c r="AA203" s="16">
        <v>0</v>
      </c>
      <c r="AB203" s="15">
        <v>0</v>
      </c>
      <c r="AC203" s="16">
        <v>0</v>
      </c>
      <c r="AD203" s="15">
        <v>0</v>
      </c>
      <c r="AE203" s="16">
        <v>0</v>
      </c>
      <c r="AF203" s="15">
        <v>0</v>
      </c>
      <c r="AG203" s="16">
        <v>0</v>
      </c>
      <c r="AH203" s="15">
        <v>0</v>
      </c>
      <c r="AI203" s="15" t="s">
        <v>631</v>
      </c>
      <c r="AJ203" s="14">
        <v>0.67874999999999996</v>
      </c>
      <c r="AK203" s="17">
        <v>43725</v>
      </c>
      <c r="AL203" s="18" t="s">
        <v>291</v>
      </c>
      <c r="AM203" s="14" t="s">
        <v>292</v>
      </c>
      <c r="AN203" s="14" t="s">
        <v>36</v>
      </c>
      <c r="AO203" s="14" t="s">
        <v>632</v>
      </c>
      <c r="AP203" s="14" t="s">
        <v>37</v>
      </c>
      <c r="AQ203" s="14" t="s">
        <v>184</v>
      </c>
      <c r="AR203" s="14" t="s">
        <v>4</v>
      </c>
      <c r="AS203" s="14">
        <v>0</v>
      </c>
      <c r="AT203" s="14">
        <v>0</v>
      </c>
      <c r="AU203" s="14">
        <v>0</v>
      </c>
      <c r="AV203" s="14">
        <v>0</v>
      </c>
      <c r="AW203" s="14"/>
      <c r="AX203" s="14"/>
      <c r="AY203" s="14"/>
      <c r="AZ203" s="14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  <c r="BL203" s="11"/>
      <c r="BM203" s="11"/>
      <c r="BN203" s="11"/>
    </row>
    <row r="204" spans="1:66" s="2" customFormat="1" ht="12" customHeight="1" x14ac:dyDescent="0.25">
      <c r="A204" s="9">
        <f t="shared" ref="A204:A267" si="3">IF(G204&gt;0,1,0)</f>
        <v>1</v>
      </c>
      <c r="B204" s="6"/>
      <c r="C204" s="6"/>
      <c r="D204" s="24"/>
      <c r="E204" s="12" t="s">
        <v>38</v>
      </c>
      <c r="F204" s="25">
        <v>0</v>
      </c>
      <c r="G204" s="12" t="s">
        <v>633</v>
      </c>
      <c r="H204" s="12">
        <v>0</v>
      </c>
      <c r="I204" s="12">
        <v>0</v>
      </c>
      <c r="J204" s="12">
        <v>0</v>
      </c>
      <c r="K204" s="12">
        <v>0</v>
      </c>
      <c r="L204" s="13">
        <v>0</v>
      </c>
      <c r="M204" s="13">
        <v>0</v>
      </c>
      <c r="N204" s="12">
        <v>0</v>
      </c>
      <c r="O204" s="12">
        <v>0</v>
      </c>
      <c r="P204" s="12">
        <v>0</v>
      </c>
      <c r="Q204" s="14">
        <v>0</v>
      </c>
      <c r="R204" s="15">
        <v>70155.08</v>
      </c>
      <c r="S204" s="16">
        <v>70155.08</v>
      </c>
      <c r="T204" s="15">
        <v>53262.67</v>
      </c>
      <c r="U204" s="16">
        <v>0</v>
      </c>
      <c r="V204" s="15">
        <v>16892.41</v>
      </c>
      <c r="W204" s="16">
        <v>0</v>
      </c>
      <c r="X204" s="15">
        <v>0</v>
      </c>
      <c r="Y204" s="16">
        <v>0</v>
      </c>
      <c r="Z204" s="15">
        <v>0</v>
      </c>
      <c r="AA204" s="16">
        <v>0</v>
      </c>
      <c r="AB204" s="15">
        <v>0</v>
      </c>
      <c r="AC204" s="16">
        <v>0</v>
      </c>
      <c r="AD204" s="15">
        <v>0</v>
      </c>
      <c r="AE204" s="16">
        <v>0</v>
      </c>
      <c r="AF204" s="15">
        <v>0</v>
      </c>
      <c r="AG204" s="16">
        <v>0</v>
      </c>
      <c r="AH204" s="15">
        <v>0</v>
      </c>
      <c r="AI204" s="15" t="s">
        <v>634</v>
      </c>
      <c r="AJ204" s="14">
        <v>0.63923611111111112</v>
      </c>
      <c r="AK204" s="17">
        <v>43735</v>
      </c>
      <c r="AL204" s="18" t="s">
        <v>291</v>
      </c>
      <c r="AM204" s="14" t="s">
        <v>292</v>
      </c>
      <c r="AN204" s="14" t="s">
        <v>36</v>
      </c>
      <c r="AO204" s="14" t="s">
        <v>635</v>
      </c>
      <c r="AP204" s="14" t="s">
        <v>37</v>
      </c>
      <c r="AQ204" s="14" t="s">
        <v>184</v>
      </c>
      <c r="AR204" s="14" t="s">
        <v>4</v>
      </c>
      <c r="AS204" s="14">
        <v>0</v>
      </c>
      <c r="AT204" s="14">
        <v>0</v>
      </c>
      <c r="AU204" s="14">
        <v>0</v>
      </c>
      <c r="AV204" s="14">
        <v>0</v>
      </c>
      <c r="AW204" s="14"/>
      <c r="AX204" s="14"/>
      <c r="AY204" s="14"/>
      <c r="AZ204" s="14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  <c r="BL204" s="11"/>
      <c r="BM204" s="11"/>
      <c r="BN204" s="11"/>
    </row>
    <row r="205" spans="1:66" s="2" customFormat="1" ht="12" customHeight="1" x14ac:dyDescent="0.25">
      <c r="A205" s="9">
        <f t="shared" si="3"/>
        <v>1</v>
      </c>
      <c r="B205" s="6"/>
      <c r="C205" s="6"/>
      <c r="D205" s="24"/>
      <c r="E205" s="12" t="s">
        <v>38</v>
      </c>
      <c r="F205" s="25">
        <v>0</v>
      </c>
      <c r="G205" s="12" t="s">
        <v>636</v>
      </c>
      <c r="H205" s="12">
        <v>0</v>
      </c>
      <c r="I205" s="12">
        <v>0</v>
      </c>
      <c r="J205" s="12">
        <v>0</v>
      </c>
      <c r="K205" s="12">
        <v>0</v>
      </c>
      <c r="L205" s="13">
        <v>0</v>
      </c>
      <c r="M205" s="13">
        <v>0</v>
      </c>
      <c r="N205" s="12">
        <v>0</v>
      </c>
      <c r="O205" s="12">
        <v>0</v>
      </c>
      <c r="P205" s="12">
        <v>0</v>
      </c>
      <c r="Q205" s="14">
        <v>0</v>
      </c>
      <c r="R205" s="15">
        <v>23613.276274999997</v>
      </c>
      <c r="S205" s="16">
        <v>23613.276274999997</v>
      </c>
      <c r="T205" s="15">
        <v>17949.75</v>
      </c>
      <c r="U205" s="16">
        <v>0</v>
      </c>
      <c r="V205" s="15">
        <v>2500</v>
      </c>
      <c r="W205" s="16">
        <v>0</v>
      </c>
      <c r="X205" s="15">
        <v>1443.7325000000001</v>
      </c>
      <c r="Y205" s="16">
        <v>0</v>
      </c>
      <c r="Z205" s="15">
        <v>175.00000000000003</v>
      </c>
      <c r="AA205" s="16">
        <v>0</v>
      </c>
      <c r="AB205" s="15">
        <v>1544.7937750000001</v>
      </c>
      <c r="AC205" s="16">
        <v>0</v>
      </c>
      <c r="AD205" s="15">
        <v>0</v>
      </c>
      <c r="AE205" s="16">
        <v>0</v>
      </c>
      <c r="AF205" s="15">
        <v>0</v>
      </c>
      <c r="AG205" s="16">
        <v>0</v>
      </c>
      <c r="AH205" s="15">
        <v>0</v>
      </c>
      <c r="AI205" s="15" t="s">
        <v>637</v>
      </c>
      <c r="AJ205" s="14">
        <v>0.44806712962962963</v>
      </c>
      <c r="AK205" s="17">
        <v>43741</v>
      </c>
      <c r="AL205" s="18" t="s">
        <v>291</v>
      </c>
      <c r="AM205" s="14" t="s">
        <v>292</v>
      </c>
      <c r="AN205" s="14" t="s">
        <v>36</v>
      </c>
      <c r="AO205" s="14" t="s">
        <v>638</v>
      </c>
      <c r="AP205" s="14" t="s">
        <v>37</v>
      </c>
      <c r="AQ205" s="14" t="s">
        <v>184</v>
      </c>
      <c r="AR205" s="14" t="s">
        <v>4</v>
      </c>
      <c r="AS205" s="14">
        <v>0</v>
      </c>
      <c r="AT205" s="14">
        <v>0</v>
      </c>
      <c r="AU205" s="14">
        <v>0</v>
      </c>
      <c r="AV205" s="14">
        <v>0</v>
      </c>
      <c r="AW205" s="14"/>
      <c r="AX205" s="14"/>
      <c r="AY205" s="14"/>
      <c r="AZ205" s="14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  <c r="BL205" s="11"/>
      <c r="BM205" s="11"/>
      <c r="BN205" s="11"/>
    </row>
    <row r="206" spans="1:66" s="2" customFormat="1" ht="12" customHeight="1" x14ac:dyDescent="0.25">
      <c r="A206" s="9">
        <f t="shared" si="3"/>
        <v>1</v>
      </c>
      <c r="B206" s="6"/>
      <c r="C206" s="6"/>
      <c r="D206" s="24"/>
      <c r="E206" s="12" t="s">
        <v>38</v>
      </c>
      <c r="F206" s="25">
        <v>0</v>
      </c>
      <c r="G206" s="12" t="s">
        <v>639</v>
      </c>
      <c r="H206" s="12">
        <v>0</v>
      </c>
      <c r="I206" s="12">
        <v>0</v>
      </c>
      <c r="J206" s="12">
        <v>0</v>
      </c>
      <c r="K206" s="12">
        <v>0</v>
      </c>
      <c r="L206" s="13">
        <v>0</v>
      </c>
      <c r="M206" s="13">
        <v>0</v>
      </c>
      <c r="N206" s="12">
        <v>0</v>
      </c>
      <c r="O206" s="12">
        <v>0</v>
      </c>
      <c r="P206" s="12">
        <v>0</v>
      </c>
      <c r="Q206" s="14">
        <v>0</v>
      </c>
      <c r="R206" s="15">
        <v>131180.79999999999</v>
      </c>
      <c r="S206" s="16">
        <v>131180.79999999999</v>
      </c>
      <c r="T206" s="15">
        <v>55860.800000000003</v>
      </c>
      <c r="U206" s="16">
        <v>0</v>
      </c>
      <c r="V206" s="15">
        <v>75320</v>
      </c>
      <c r="W206" s="16">
        <v>0</v>
      </c>
      <c r="X206" s="15">
        <v>0</v>
      </c>
      <c r="Y206" s="16">
        <v>0</v>
      </c>
      <c r="Z206" s="15">
        <v>0</v>
      </c>
      <c r="AA206" s="16">
        <v>0</v>
      </c>
      <c r="AB206" s="15">
        <v>0</v>
      </c>
      <c r="AC206" s="16">
        <v>0</v>
      </c>
      <c r="AD206" s="15">
        <v>0</v>
      </c>
      <c r="AE206" s="16">
        <v>0</v>
      </c>
      <c r="AF206" s="15">
        <v>0</v>
      </c>
      <c r="AG206" s="16">
        <v>0</v>
      </c>
      <c r="AH206" s="15">
        <v>0</v>
      </c>
      <c r="AI206" s="15" t="s">
        <v>640</v>
      </c>
      <c r="AJ206" s="14">
        <v>0.3558912037037037</v>
      </c>
      <c r="AK206" s="17">
        <v>43742</v>
      </c>
      <c r="AL206" s="18" t="s">
        <v>40</v>
      </c>
      <c r="AM206" s="14" t="s">
        <v>410</v>
      </c>
      <c r="AN206" s="14" t="s">
        <v>36</v>
      </c>
      <c r="AO206" s="14" t="s">
        <v>641</v>
      </c>
      <c r="AP206" s="14" t="s">
        <v>37</v>
      </c>
      <c r="AQ206" s="14" t="s">
        <v>184</v>
      </c>
      <c r="AR206" s="14" t="s">
        <v>4</v>
      </c>
      <c r="AS206" s="14">
        <v>0</v>
      </c>
      <c r="AT206" s="14">
        <v>0</v>
      </c>
      <c r="AU206" s="14">
        <v>0</v>
      </c>
      <c r="AV206" s="14">
        <v>0</v>
      </c>
      <c r="AW206" s="14"/>
      <c r="AX206" s="14"/>
      <c r="AY206" s="14"/>
      <c r="AZ206" s="14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  <c r="BL206" s="11"/>
      <c r="BM206" s="11"/>
      <c r="BN206" s="11"/>
    </row>
    <row r="207" spans="1:66" s="2" customFormat="1" ht="12" customHeight="1" x14ac:dyDescent="0.25">
      <c r="A207" s="9">
        <f t="shared" si="3"/>
        <v>1</v>
      </c>
      <c r="B207" s="6"/>
      <c r="C207" s="6"/>
      <c r="D207" s="24"/>
      <c r="E207" s="12" t="s">
        <v>38</v>
      </c>
      <c r="F207" s="25">
        <v>0</v>
      </c>
      <c r="G207" s="12" t="s">
        <v>642</v>
      </c>
      <c r="H207" s="12">
        <v>0</v>
      </c>
      <c r="I207" s="12">
        <v>0</v>
      </c>
      <c r="J207" s="12">
        <v>0</v>
      </c>
      <c r="K207" s="12">
        <v>0</v>
      </c>
      <c r="L207" s="13">
        <v>0</v>
      </c>
      <c r="M207" s="13">
        <v>0</v>
      </c>
      <c r="N207" s="12">
        <v>0</v>
      </c>
      <c r="O207" s="12">
        <v>0</v>
      </c>
      <c r="P207" s="12">
        <v>0</v>
      </c>
      <c r="Q207" s="14">
        <v>0</v>
      </c>
      <c r="R207" s="15">
        <v>131180.79999999999</v>
      </c>
      <c r="S207" s="16">
        <v>131180.79999999999</v>
      </c>
      <c r="T207" s="15">
        <v>55860.800000000003</v>
      </c>
      <c r="U207" s="16">
        <v>0</v>
      </c>
      <c r="V207" s="15">
        <v>75320</v>
      </c>
      <c r="W207" s="16">
        <v>0</v>
      </c>
      <c r="X207" s="15">
        <v>0</v>
      </c>
      <c r="Y207" s="16">
        <v>0</v>
      </c>
      <c r="Z207" s="15">
        <v>0</v>
      </c>
      <c r="AA207" s="16">
        <v>0</v>
      </c>
      <c r="AB207" s="15">
        <v>0</v>
      </c>
      <c r="AC207" s="16">
        <v>0</v>
      </c>
      <c r="AD207" s="15">
        <v>0</v>
      </c>
      <c r="AE207" s="16">
        <v>0</v>
      </c>
      <c r="AF207" s="15">
        <v>0</v>
      </c>
      <c r="AG207" s="16">
        <v>0</v>
      </c>
      <c r="AH207" s="15">
        <v>0</v>
      </c>
      <c r="AI207" s="15" t="s">
        <v>643</v>
      </c>
      <c r="AJ207" s="14">
        <v>0.35736111111111107</v>
      </c>
      <c r="AK207" s="17">
        <v>43742</v>
      </c>
      <c r="AL207" s="18" t="s">
        <v>40</v>
      </c>
      <c r="AM207" s="14" t="s">
        <v>410</v>
      </c>
      <c r="AN207" s="14" t="s">
        <v>36</v>
      </c>
      <c r="AO207" s="14" t="s">
        <v>644</v>
      </c>
      <c r="AP207" s="14" t="s">
        <v>37</v>
      </c>
      <c r="AQ207" s="14" t="s">
        <v>184</v>
      </c>
      <c r="AR207" s="14" t="s">
        <v>4</v>
      </c>
      <c r="AS207" s="14">
        <v>0</v>
      </c>
      <c r="AT207" s="14">
        <v>0</v>
      </c>
      <c r="AU207" s="14">
        <v>0</v>
      </c>
      <c r="AV207" s="14">
        <v>0</v>
      </c>
      <c r="AW207" s="14"/>
      <c r="AX207" s="14"/>
      <c r="AY207" s="14"/>
      <c r="AZ207" s="14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  <c r="BL207" s="11"/>
      <c r="BM207" s="11"/>
      <c r="BN207" s="11"/>
    </row>
    <row r="208" spans="1:66" s="2" customFormat="1" ht="12" customHeight="1" x14ac:dyDescent="0.25">
      <c r="A208" s="9">
        <f t="shared" si="3"/>
        <v>1</v>
      </c>
      <c r="B208" s="6"/>
      <c r="C208" s="6"/>
      <c r="D208" s="24"/>
      <c r="E208" s="12" t="s">
        <v>38</v>
      </c>
      <c r="F208" s="25">
        <v>0</v>
      </c>
      <c r="G208" s="12" t="s">
        <v>645</v>
      </c>
      <c r="H208" s="12">
        <v>0</v>
      </c>
      <c r="I208" s="12">
        <v>0</v>
      </c>
      <c r="J208" s="12">
        <v>0</v>
      </c>
      <c r="K208" s="12">
        <v>0</v>
      </c>
      <c r="L208" s="13">
        <v>0</v>
      </c>
      <c r="M208" s="13">
        <v>0</v>
      </c>
      <c r="N208" s="12">
        <v>0</v>
      </c>
      <c r="O208" s="12">
        <v>0</v>
      </c>
      <c r="P208" s="12">
        <v>0</v>
      </c>
      <c r="Q208" s="14">
        <v>0</v>
      </c>
      <c r="R208" s="15">
        <v>40647.199999999997</v>
      </c>
      <c r="S208" s="16">
        <v>40647.199999999997</v>
      </c>
      <c r="T208" s="15">
        <v>16397.2</v>
      </c>
      <c r="U208" s="16">
        <v>0</v>
      </c>
      <c r="V208" s="15">
        <v>24250</v>
      </c>
      <c r="W208" s="16">
        <v>0</v>
      </c>
      <c r="X208" s="15">
        <v>0</v>
      </c>
      <c r="Y208" s="16">
        <v>0</v>
      </c>
      <c r="Z208" s="15">
        <v>0</v>
      </c>
      <c r="AA208" s="16">
        <v>0</v>
      </c>
      <c r="AB208" s="15">
        <v>0</v>
      </c>
      <c r="AC208" s="16">
        <v>0</v>
      </c>
      <c r="AD208" s="15">
        <v>0</v>
      </c>
      <c r="AE208" s="16">
        <v>0</v>
      </c>
      <c r="AF208" s="15">
        <v>0</v>
      </c>
      <c r="AG208" s="16">
        <v>0</v>
      </c>
      <c r="AH208" s="15">
        <v>0</v>
      </c>
      <c r="AI208" s="15" t="s">
        <v>646</v>
      </c>
      <c r="AJ208" s="14">
        <v>0.3601273148148148</v>
      </c>
      <c r="AK208" s="17">
        <v>43742</v>
      </c>
      <c r="AL208" s="18" t="s">
        <v>40</v>
      </c>
      <c r="AM208" s="14" t="s">
        <v>410</v>
      </c>
      <c r="AN208" s="14" t="s">
        <v>36</v>
      </c>
      <c r="AO208" s="14" t="s">
        <v>647</v>
      </c>
      <c r="AP208" s="14" t="s">
        <v>37</v>
      </c>
      <c r="AQ208" s="14" t="s">
        <v>184</v>
      </c>
      <c r="AR208" s="14" t="s">
        <v>4</v>
      </c>
      <c r="AS208" s="14">
        <v>0</v>
      </c>
      <c r="AT208" s="14">
        <v>0</v>
      </c>
      <c r="AU208" s="14">
        <v>0</v>
      </c>
      <c r="AV208" s="14">
        <v>0</v>
      </c>
      <c r="AW208" s="14"/>
      <c r="AX208" s="14"/>
      <c r="AY208" s="14"/>
      <c r="AZ208" s="14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  <c r="BL208" s="11"/>
      <c r="BM208" s="11"/>
      <c r="BN208" s="11"/>
    </row>
    <row r="209" spans="1:66" s="2" customFormat="1" ht="12" customHeight="1" x14ac:dyDescent="0.25">
      <c r="A209" s="9">
        <f t="shared" si="3"/>
        <v>1</v>
      </c>
      <c r="B209" s="6"/>
      <c r="C209" s="6"/>
      <c r="D209" s="24"/>
      <c r="E209" s="12" t="s">
        <v>38</v>
      </c>
      <c r="F209" s="25">
        <v>0</v>
      </c>
      <c r="G209" s="12" t="s">
        <v>648</v>
      </c>
      <c r="H209" s="12">
        <v>0</v>
      </c>
      <c r="I209" s="12">
        <v>0</v>
      </c>
      <c r="J209" s="12">
        <v>0</v>
      </c>
      <c r="K209" s="12">
        <v>0</v>
      </c>
      <c r="L209" s="13">
        <v>0</v>
      </c>
      <c r="M209" s="13">
        <v>0</v>
      </c>
      <c r="N209" s="12">
        <v>0</v>
      </c>
      <c r="O209" s="12">
        <v>0</v>
      </c>
      <c r="P209" s="12">
        <v>0</v>
      </c>
      <c r="Q209" s="14">
        <v>0</v>
      </c>
      <c r="R209" s="15">
        <v>40647.199999999997</v>
      </c>
      <c r="S209" s="16">
        <v>40647.199999999997</v>
      </c>
      <c r="T209" s="15">
        <v>16397.2</v>
      </c>
      <c r="U209" s="16">
        <v>0</v>
      </c>
      <c r="V209" s="15">
        <v>24250</v>
      </c>
      <c r="W209" s="16">
        <v>0</v>
      </c>
      <c r="X209" s="15">
        <v>0</v>
      </c>
      <c r="Y209" s="16">
        <v>0</v>
      </c>
      <c r="Z209" s="15">
        <v>0</v>
      </c>
      <c r="AA209" s="16">
        <v>0</v>
      </c>
      <c r="AB209" s="15">
        <v>0</v>
      </c>
      <c r="AC209" s="16">
        <v>0</v>
      </c>
      <c r="AD209" s="15">
        <v>0</v>
      </c>
      <c r="AE209" s="16">
        <v>0</v>
      </c>
      <c r="AF209" s="15">
        <v>0</v>
      </c>
      <c r="AG209" s="16">
        <v>0</v>
      </c>
      <c r="AH209" s="15">
        <v>0</v>
      </c>
      <c r="AI209" s="15" t="s">
        <v>649</v>
      </c>
      <c r="AJ209" s="14">
        <v>0.36174768518518513</v>
      </c>
      <c r="AK209" s="17">
        <v>43742</v>
      </c>
      <c r="AL209" s="18" t="s">
        <v>40</v>
      </c>
      <c r="AM209" s="14" t="s">
        <v>410</v>
      </c>
      <c r="AN209" s="14" t="s">
        <v>36</v>
      </c>
      <c r="AO209" s="14" t="s">
        <v>650</v>
      </c>
      <c r="AP209" s="14" t="s">
        <v>37</v>
      </c>
      <c r="AQ209" s="14" t="s">
        <v>184</v>
      </c>
      <c r="AR209" s="14" t="s">
        <v>4</v>
      </c>
      <c r="AS209" s="14">
        <v>0</v>
      </c>
      <c r="AT209" s="14">
        <v>0</v>
      </c>
      <c r="AU209" s="14">
        <v>0</v>
      </c>
      <c r="AV209" s="14">
        <v>0</v>
      </c>
      <c r="AW209" s="14"/>
      <c r="AX209" s="14"/>
      <c r="AY209" s="14"/>
      <c r="AZ209" s="14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  <c r="BL209" s="11"/>
      <c r="BM209" s="11"/>
      <c r="BN209" s="11"/>
    </row>
    <row r="210" spans="1:66" s="2" customFormat="1" ht="12" customHeight="1" x14ac:dyDescent="0.25">
      <c r="A210" s="9">
        <f t="shared" si="3"/>
        <v>1</v>
      </c>
      <c r="B210" s="6"/>
      <c r="C210" s="6"/>
      <c r="D210" s="24"/>
      <c r="E210" s="12" t="s">
        <v>38</v>
      </c>
      <c r="F210" s="25">
        <v>0</v>
      </c>
      <c r="G210" s="12" t="s">
        <v>651</v>
      </c>
      <c r="H210" s="12">
        <v>0</v>
      </c>
      <c r="I210" s="12">
        <v>0</v>
      </c>
      <c r="J210" s="12">
        <v>0</v>
      </c>
      <c r="K210" s="12">
        <v>0</v>
      </c>
      <c r="L210" s="13">
        <v>0</v>
      </c>
      <c r="M210" s="13">
        <v>0</v>
      </c>
      <c r="N210" s="12">
        <v>0</v>
      </c>
      <c r="O210" s="12">
        <v>0</v>
      </c>
      <c r="P210" s="12">
        <v>0</v>
      </c>
      <c r="Q210" s="14">
        <v>0</v>
      </c>
      <c r="R210" s="15">
        <v>41921.9</v>
      </c>
      <c r="S210" s="16">
        <v>41921.9</v>
      </c>
      <c r="T210" s="15">
        <v>16971.900000000001</v>
      </c>
      <c r="U210" s="16">
        <v>0</v>
      </c>
      <c r="V210" s="15">
        <v>24950</v>
      </c>
      <c r="W210" s="16">
        <v>0</v>
      </c>
      <c r="X210" s="15">
        <v>0</v>
      </c>
      <c r="Y210" s="16">
        <v>0</v>
      </c>
      <c r="Z210" s="15">
        <v>0</v>
      </c>
      <c r="AA210" s="16">
        <v>0</v>
      </c>
      <c r="AB210" s="15">
        <v>0</v>
      </c>
      <c r="AC210" s="16">
        <v>0</v>
      </c>
      <c r="AD210" s="15">
        <v>0</v>
      </c>
      <c r="AE210" s="16">
        <v>0</v>
      </c>
      <c r="AF210" s="15">
        <v>0</v>
      </c>
      <c r="AG210" s="16">
        <v>0</v>
      </c>
      <c r="AH210" s="15">
        <v>0</v>
      </c>
      <c r="AI210" s="15" t="s">
        <v>652</v>
      </c>
      <c r="AJ210" s="14">
        <v>0.36396990740740742</v>
      </c>
      <c r="AK210" s="17">
        <v>43742</v>
      </c>
      <c r="AL210" s="18" t="s">
        <v>40</v>
      </c>
      <c r="AM210" s="14" t="s">
        <v>410</v>
      </c>
      <c r="AN210" s="14" t="s">
        <v>36</v>
      </c>
      <c r="AO210" s="14" t="s">
        <v>653</v>
      </c>
      <c r="AP210" s="14" t="s">
        <v>37</v>
      </c>
      <c r="AQ210" s="14" t="s">
        <v>184</v>
      </c>
      <c r="AR210" s="14" t="s">
        <v>4</v>
      </c>
      <c r="AS210" s="14">
        <v>0</v>
      </c>
      <c r="AT210" s="14">
        <v>0</v>
      </c>
      <c r="AU210" s="14">
        <v>0</v>
      </c>
      <c r="AV210" s="14">
        <v>0</v>
      </c>
      <c r="AW210" s="14"/>
      <c r="AX210" s="14"/>
      <c r="AY210" s="14"/>
      <c r="AZ210" s="14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  <c r="BL210" s="11"/>
      <c r="BM210" s="11"/>
      <c r="BN210" s="11"/>
    </row>
    <row r="211" spans="1:66" s="2" customFormat="1" ht="12" customHeight="1" x14ac:dyDescent="0.25">
      <c r="A211" s="9">
        <f t="shared" si="3"/>
        <v>1</v>
      </c>
      <c r="B211" s="6"/>
      <c r="C211" s="6"/>
      <c r="D211" s="24"/>
      <c r="E211" s="12" t="s">
        <v>38</v>
      </c>
      <c r="F211" s="25">
        <v>0</v>
      </c>
      <c r="G211" s="12" t="s">
        <v>654</v>
      </c>
      <c r="H211" s="12">
        <v>0</v>
      </c>
      <c r="I211" s="12">
        <v>0</v>
      </c>
      <c r="J211" s="12">
        <v>0</v>
      </c>
      <c r="K211" s="12">
        <v>0</v>
      </c>
      <c r="L211" s="13">
        <v>0</v>
      </c>
      <c r="M211" s="13">
        <v>0</v>
      </c>
      <c r="N211" s="12">
        <v>0</v>
      </c>
      <c r="O211" s="12">
        <v>0</v>
      </c>
      <c r="P211" s="12">
        <v>0</v>
      </c>
      <c r="Q211" s="14">
        <v>0</v>
      </c>
      <c r="R211" s="15">
        <v>44686.9</v>
      </c>
      <c r="S211" s="16">
        <v>44686.9</v>
      </c>
      <c r="T211" s="15">
        <v>17486.900000000001</v>
      </c>
      <c r="U211" s="16">
        <v>0</v>
      </c>
      <c r="V211" s="15">
        <v>27200</v>
      </c>
      <c r="W211" s="16">
        <v>0</v>
      </c>
      <c r="X211" s="15">
        <v>0</v>
      </c>
      <c r="Y211" s="16">
        <v>0</v>
      </c>
      <c r="Z211" s="15">
        <v>0</v>
      </c>
      <c r="AA211" s="16">
        <v>0</v>
      </c>
      <c r="AB211" s="15">
        <v>0</v>
      </c>
      <c r="AC211" s="16">
        <v>0</v>
      </c>
      <c r="AD211" s="15">
        <v>0</v>
      </c>
      <c r="AE211" s="16">
        <v>0</v>
      </c>
      <c r="AF211" s="15">
        <v>0</v>
      </c>
      <c r="AG211" s="16">
        <v>0</v>
      </c>
      <c r="AH211" s="15">
        <v>0</v>
      </c>
      <c r="AI211" s="15" t="s">
        <v>655</v>
      </c>
      <c r="AJ211" s="14">
        <v>0.36592592592592593</v>
      </c>
      <c r="AK211" s="17">
        <v>43742</v>
      </c>
      <c r="AL211" s="18" t="s">
        <v>40</v>
      </c>
      <c r="AM211" s="14" t="s">
        <v>410</v>
      </c>
      <c r="AN211" s="14" t="s">
        <v>36</v>
      </c>
      <c r="AO211" s="14" t="s">
        <v>656</v>
      </c>
      <c r="AP211" s="14" t="s">
        <v>37</v>
      </c>
      <c r="AQ211" s="14" t="s">
        <v>184</v>
      </c>
      <c r="AR211" s="14" t="s">
        <v>4</v>
      </c>
      <c r="AS211" s="14">
        <v>0</v>
      </c>
      <c r="AT211" s="14">
        <v>0</v>
      </c>
      <c r="AU211" s="14">
        <v>0</v>
      </c>
      <c r="AV211" s="14">
        <v>0</v>
      </c>
      <c r="AW211" s="14"/>
      <c r="AX211" s="14"/>
      <c r="AY211" s="14"/>
      <c r="AZ211" s="14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  <c r="BL211" s="11"/>
      <c r="BM211" s="11"/>
      <c r="BN211" s="11"/>
    </row>
    <row r="212" spans="1:66" s="2" customFormat="1" ht="12" customHeight="1" x14ac:dyDescent="0.25">
      <c r="A212" s="9">
        <f t="shared" si="3"/>
        <v>1</v>
      </c>
      <c r="B212" s="6"/>
      <c r="C212" s="6"/>
      <c r="D212" s="24"/>
      <c r="E212" s="12" t="s">
        <v>38</v>
      </c>
      <c r="F212" s="25">
        <v>0</v>
      </c>
      <c r="G212" s="12" t="s">
        <v>657</v>
      </c>
      <c r="H212" s="12">
        <v>0</v>
      </c>
      <c r="I212" s="12">
        <v>0</v>
      </c>
      <c r="J212" s="12">
        <v>0</v>
      </c>
      <c r="K212" s="12">
        <v>0</v>
      </c>
      <c r="L212" s="13">
        <v>0</v>
      </c>
      <c r="M212" s="13">
        <v>0</v>
      </c>
      <c r="N212" s="12">
        <v>0</v>
      </c>
      <c r="O212" s="12">
        <v>0</v>
      </c>
      <c r="P212" s="12">
        <v>0</v>
      </c>
      <c r="Q212" s="14">
        <v>0</v>
      </c>
      <c r="R212" s="15">
        <v>70647.28</v>
      </c>
      <c r="S212" s="16">
        <v>70647.28</v>
      </c>
      <c r="T212" s="15">
        <v>28597.280000000002</v>
      </c>
      <c r="U212" s="16">
        <v>0</v>
      </c>
      <c r="V212" s="15">
        <v>42050</v>
      </c>
      <c r="W212" s="16">
        <v>0</v>
      </c>
      <c r="X212" s="15">
        <v>0</v>
      </c>
      <c r="Y212" s="16">
        <v>0</v>
      </c>
      <c r="Z212" s="15">
        <v>0</v>
      </c>
      <c r="AA212" s="16">
        <v>0</v>
      </c>
      <c r="AB212" s="15">
        <v>0</v>
      </c>
      <c r="AC212" s="16">
        <v>0</v>
      </c>
      <c r="AD212" s="15">
        <v>0</v>
      </c>
      <c r="AE212" s="16">
        <v>0</v>
      </c>
      <c r="AF212" s="15">
        <v>0</v>
      </c>
      <c r="AG212" s="16">
        <v>0</v>
      </c>
      <c r="AH212" s="15">
        <v>0</v>
      </c>
      <c r="AI212" s="15" t="s">
        <v>658</v>
      </c>
      <c r="AJ212" s="14">
        <v>0.37304398148148149</v>
      </c>
      <c r="AK212" s="17">
        <v>43780</v>
      </c>
      <c r="AL212" s="18" t="s">
        <v>40</v>
      </c>
      <c r="AM212" s="14" t="s">
        <v>410</v>
      </c>
      <c r="AN212" s="14" t="s">
        <v>36</v>
      </c>
      <c r="AO212" s="14" t="s">
        <v>659</v>
      </c>
      <c r="AP212" s="14" t="s">
        <v>37</v>
      </c>
      <c r="AQ212" s="14" t="s">
        <v>184</v>
      </c>
      <c r="AR212" s="14" t="s">
        <v>4</v>
      </c>
      <c r="AS212" s="14">
        <v>0</v>
      </c>
      <c r="AT212" s="14">
        <v>0</v>
      </c>
      <c r="AU212" s="14">
        <v>0</v>
      </c>
      <c r="AV212" s="14">
        <v>0</v>
      </c>
      <c r="AW212" s="14"/>
      <c r="AX212" s="14"/>
      <c r="AY212" s="14"/>
      <c r="AZ212" s="14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  <c r="BL212" s="11"/>
      <c r="BM212" s="11"/>
      <c r="BN212" s="11"/>
    </row>
    <row r="213" spans="1:66" s="2" customFormat="1" ht="12" customHeight="1" x14ac:dyDescent="0.25">
      <c r="A213" s="9">
        <f t="shared" si="3"/>
        <v>1</v>
      </c>
      <c r="B213" s="6"/>
      <c r="C213" s="6"/>
      <c r="D213" s="24"/>
      <c r="E213" s="12" t="s">
        <v>38</v>
      </c>
      <c r="F213" s="25">
        <v>0</v>
      </c>
      <c r="G213" s="12" t="s">
        <v>660</v>
      </c>
      <c r="H213" s="12">
        <v>0</v>
      </c>
      <c r="I213" s="12">
        <v>0</v>
      </c>
      <c r="J213" s="12">
        <v>0</v>
      </c>
      <c r="K213" s="12">
        <v>0</v>
      </c>
      <c r="L213" s="13">
        <v>0</v>
      </c>
      <c r="M213" s="13">
        <v>0</v>
      </c>
      <c r="N213" s="12">
        <v>0</v>
      </c>
      <c r="O213" s="12">
        <v>0</v>
      </c>
      <c r="P213" s="12">
        <v>0</v>
      </c>
      <c r="Q213" s="14">
        <v>0</v>
      </c>
      <c r="R213" s="15">
        <v>11840</v>
      </c>
      <c r="S213" s="16">
        <v>11840</v>
      </c>
      <c r="T213" s="15">
        <v>4340</v>
      </c>
      <c r="U213" s="16">
        <v>0</v>
      </c>
      <c r="V213" s="15">
        <v>7500</v>
      </c>
      <c r="W213" s="16">
        <v>0</v>
      </c>
      <c r="X213" s="15">
        <v>0</v>
      </c>
      <c r="Y213" s="16">
        <v>0</v>
      </c>
      <c r="Z213" s="15">
        <v>0</v>
      </c>
      <c r="AA213" s="16">
        <v>0</v>
      </c>
      <c r="AB213" s="15">
        <v>0</v>
      </c>
      <c r="AC213" s="16">
        <v>0</v>
      </c>
      <c r="AD213" s="15">
        <v>0</v>
      </c>
      <c r="AE213" s="16">
        <v>0</v>
      </c>
      <c r="AF213" s="15">
        <v>0</v>
      </c>
      <c r="AG213" s="16">
        <v>0</v>
      </c>
      <c r="AH213" s="15">
        <v>0</v>
      </c>
      <c r="AI213" s="15" t="s">
        <v>661</v>
      </c>
      <c r="AJ213" s="14">
        <v>0.4168634259259259</v>
      </c>
      <c r="AK213" s="17">
        <v>43752</v>
      </c>
      <c r="AL213" s="18" t="s">
        <v>40</v>
      </c>
      <c r="AM213" s="14" t="s">
        <v>410</v>
      </c>
      <c r="AN213" s="14" t="s">
        <v>36</v>
      </c>
      <c r="AO213" s="14" t="s">
        <v>662</v>
      </c>
      <c r="AP213" s="14" t="s">
        <v>37</v>
      </c>
      <c r="AQ213" s="14" t="s">
        <v>184</v>
      </c>
      <c r="AR213" s="14" t="s">
        <v>4</v>
      </c>
      <c r="AS213" s="14">
        <v>0</v>
      </c>
      <c r="AT213" s="14">
        <v>0</v>
      </c>
      <c r="AU213" s="14">
        <v>0</v>
      </c>
      <c r="AV213" s="14">
        <v>0</v>
      </c>
      <c r="AW213" s="14"/>
      <c r="AX213" s="14"/>
      <c r="AY213" s="14"/>
      <c r="AZ213" s="14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  <c r="BL213" s="11"/>
      <c r="BM213" s="11"/>
      <c r="BN213" s="11"/>
    </row>
    <row r="214" spans="1:66" s="2" customFormat="1" ht="12" customHeight="1" x14ac:dyDescent="0.25">
      <c r="A214" s="9">
        <f t="shared" si="3"/>
        <v>1</v>
      </c>
      <c r="B214" s="6"/>
      <c r="C214" s="6"/>
      <c r="D214" s="24"/>
      <c r="E214" s="12" t="s">
        <v>38</v>
      </c>
      <c r="F214" s="25">
        <v>0</v>
      </c>
      <c r="G214" s="12" t="s">
        <v>663</v>
      </c>
      <c r="H214" s="12">
        <v>0</v>
      </c>
      <c r="I214" s="12">
        <v>0</v>
      </c>
      <c r="J214" s="12">
        <v>0</v>
      </c>
      <c r="K214" s="12">
        <v>0</v>
      </c>
      <c r="L214" s="13">
        <v>0</v>
      </c>
      <c r="M214" s="13">
        <v>0</v>
      </c>
      <c r="N214" s="12">
        <v>0</v>
      </c>
      <c r="O214" s="12">
        <v>0</v>
      </c>
      <c r="P214" s="12">
        <v>0</v>
      </c>
      <c r="Q214" s="14">
        <v>0</v>
      </c>
      <c r="R214" s="15">
        <v>133063.48372000002</v>
      </c>
      <c r="S214" s="16">
        <v>133063.48372000002</v>
      </c>
      <c r="T214" s="15">
        <v>35074</v>
      </c>
      <c r="U214" s="16">
        <v>0</v>
      </c>
      <c r="V214" s="15">
        <v>75840</v>
      </c>
      <c r="W214" s="16">
        <v>0</v>
      </c>
      <c r="X214" s="15">
        <v>8135.5960000000014</v>
      </c>
      <c r="Y214" s="16">
        <v>0</v>
      </c>
      <c r="Z214" s="15">
        <v>5308.8</v>
      </c>
      <c r="AA214" s="16">
        <v>0</v>
      </c>
      <c r="AB214" s="15">
        <v>8705.0877200000014</v>
      </c>
      <c r="AC214" s="16">
        <v>0</v>
      </c>
      <c r="AD214" s="15">
        <v>0</v>
      </c>
      <c r="AE214" s="16">
        <v>0</v>
      </c>
      <c r="AF214" s="15">
        <v>0</v>
      </c>
      <c r="AG214" s="16">
        <v>0</v>
      </c>
      <c r="AH214" s="15">
        <v>0</v>
      </c>
      <c r="AI214" s="15" t="s">
        <v>664</v>
      </c>
      <c r="AJ214" s="14">
        <v>0.54188657407407403</v>
      </c>
      <c r="AK214" s="17">
        <v>43752</v>
      </c>
      <c r="AL214" s="18" t="s">
        <v>291</v>
      </c>
      <c r="AM214" s="14" t="s">
        <v>292</v>
      </c>
      <c r="AN214" s="14" t="s">
        <v>36</v>
      </c>
      <c r="AO214" s="14" t="s">
        <v>665</v>
      </c>
      <c r="AP214" s="14" t="s">
        <v>37</v>
      </c>
      <c r="AQ214" s="14" t="s">
        <v>184</v>
      </c>
      <c r="AR214" s="14" t="s">
        <v>4</v>
      </c>
      <c r="AS214" s="14">
        <v>0</v>
      </c>
      <c r="AT214" s="14">
        <v>0</v>
      </c>
      <c r="AU214" s="14">
        <v>0</v>
      </c>
      <c r="AV214" s="14">
        <v>0</v>
      </c>
      <c r="AW214" s="14"/>
      <c r="AX214" s="14"/>
      <c r="AY214" s="14"/>
      <c r="AZ214" s="14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  <c r="BL214" s="11"/>
      <c r="BM214" s="11"/>
      <c r="BN214" s="11"/>
    </row>
    <row r="215" spans="1:66" s="2" customFormat="1" ht="12" customHeight="1" x14ac:dyDescent="0.25">
      <c r="A215" s="9">
        <f t="shared" si="3"/>
        <v>1</v>
      </c>
      <c r="B215" s="6"/>
      <c r="C215" s="6"/>
      <c r="D215" s="24"/>
      <c r="E215" s="12" t="s">
        <v>38</v>
      </c>
      <c r="F215" s="25">
        <v>0</v>
      </c>
      <c r="G215" s="12" t="s">
        <v>666</v>
      </c>
      <c r="H215" s="12">
        <v>0</v>
      </c>
      <c r="I215" s="12">
        <v>0</v>
      </c>
      <c r="J215" s="12">
        <v>0</v>
      </c>
      <c r="K215" s="12">
        <v>0</v>
      </c>
      <c r="L215" s="13">
        <v>0</v>
      </c>
      <c r="M215" s="13">
        <v>0</v>
      </c>
      <c r="N215" s="12">
        <v>0</v>
      </c>
      <c r="O215" s="12">
        <v>0</v>
      </c>
      <c r="P215" s="12">
        <v>0</v>
      </c>
      <c r="Q215" s="14">
        <v>0</v>
      </c>
      <c r="R215" s="15">
        <v>158184.4</v>
      </c>
      <c r="S215" s="16">
        <v>158184.4</v>
      </c>
      <c r="T215" s="15">
        <v>104169.4</v>
      </c>
      <c r="U215" s="16">
        <v>0</v>
      </c>
      <c r="V215" s="15">
        <v>54015</v>
      </c>
      <c r="W215" s="16">
        <v>0</v>
      </c>
      <c r="X215" s="15">
        <v>0</v>
      </c>
      <c r="Y215" s="16">
        <v>0</v>
      </c>
      <c r="Z215" s="15">
        <v>0</v>
      </c>
      <c r="AA215" s="16">
        <v>0</v>
      </c>
      <c r="AB215" s="15">
        <v>0</v>
      </c>
      <c r="AC215" s="16">
        <v>0</v>
      </c>
      <c r="AD215" s="15">
        <v>0</v>
      </c>
      <c r="AE215" s="16">
        <v>0</v>
      </c>
      <c r="AF215" s="15">
        <v>0</v>
      </c>
      <c r="AG215" s="16">
        <v>0</v>
      </c>
      <c r="AH215" s="15">
        <v>0</v>
      </c>
      <c r="AI215" s="15" t="s">
        <v>667</v>
      </c>
      <c r="AJ215" s="14">
        <v>0.38165509259259256</v>
      </c>
      <c r="AK215" s="17">
        <v>44004</v>
      </c>
      <c r="AL215" s="18" t="s">
        <v>40</v>
      </c>
      <c r="AM215" s="14" t="s">
        <v>410</v>
      </c>
      <c r="AN215" s="14" t="s">
        <v>36</v>
      </c>
      <c r="AO215" s="14" t="s">
        <v>668</v>
      </c>
      <c r="AP215" s="14" t="s">
        <v>37</v>
      </c>
      <c r="AQ215" s="14" t="s">
        <v>184</v>
      </c>
      <c r="AR215" s="14" t="s">
        <v>4</v>
      </c>
      <c r="AS215" s="14">
        <v>0</v>
      </c>
      <c r="AT215" s="14">
        <v>0</v>
      </c>
      <c r="AU215" s="14">
        <v>0</v>
      </c>
      <c r="AV215" s="14">
        <v>0</v>
      </c>
      <c r="AW215" s="14"/>
      <c r="AX215" s="14"/>
      <c r="AY215" s="14"/>
      <c r="AZ215" s="14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  <c r="BL215" s="11"/>
      <c r="BM215" s="11"/>
      <c r="BN215" s="11"/>
    </row>
    <row r="216" spans="1:66" s="2" customFormat="1" ht="12" customHeight="1" x14ac:dyDescent="0.25">
      <c r="A216" s="9">
        <f t="shared" si="3"/>
        <v>1</v>
      </c>
      <c r="B216" s="6"/>
      <c r="C216" s="6"/>
      <c r="D216" s="24"/>
      <c r="E216" s="12" t="s">
        <v>38</v>
      </c>
      <c r="F216" s="25">
        <v>0</v>
      </c>
      <c r="G216" s="12" t="s">
        <v>669</v>
      </c>
      <c r="H216" s="12">
        <v>0</v>
      </c>
      <c r="I216" s="12">
        <v>0</v>
      </c>
      <c r="J216" s="12">
        <v>0</v>
      </c>
      <c r="K216" s="12">
        <v>0</v>
      </c>
      <c r="L216" s="13">
        <v>0</v>
      </c>
      <c r="M216" s="13">
        <v>0</v>
      </c>
      <c r="N216" s="12">
        <v>0</v>
      </c>
      <c r="O216" s="12">
        <v>0</v>
      </c>
      <c r="P216" s="12">
        <v>0</v>
      </c>
      <c r="Q216" s="14">
        <v>0</v>
      </c>
      <c r="R216" s="15">
        <v>250552.5</v>
      </c>
      <c r="S216" s="16">
        <v>250552.5</v>
      </c>
      <c r="T216" s="15">
        <v>162782.5</v>
      </c>
      <c r="U216" s="16">
        <v>0</v>
      </c>
      <c r="V216" s="15">
        <v>87770</v>
      </c>
      <c r="W216" s="16">
        <v>0</v>
      </c>
      <c r="X216" s="15">
        <v>0</v>
      </c>
      <c r="Y216" s="16">
        <v>0</v>
      </c>
      <c r="Z216" s="15">
        <v>0</v>
      </c>
      <c r="AA216" s="16">
        <v>0</v>
      </c>
      <c r="AB216" s="15">
        <v>0</v>
      </c>
      <c r="AC216" s="16">
        <v>0</v>
      </c>
      <c r="AD216" s="15">
        <v>0</v>
      </c>
      <c r="AE216" s="16">
        <v>0</v>
      </c>
      <c r="AF216" s="15">
        <v>0</v>
      </c>
      <c r="AG216" s="16">
        <v>0</v>
      </c>
      <c r="AH216" s="15">
        <v>0</v>
      </c>
      <c r="AI216" s="15" t="s">
        <v>670</v>
      </c>
      <c r="AJ216" s="14">
        <v>0.58034722222222224</v>
      </c>
      <c r="AK216" s="17">
        <v>43984</v>
      </c>
      <c r="AL216" s="18" t="s">
        <v>40</v>
      </c>
      <c r="AM216" s="14" t="s">
        <v>410</v>
      </c>
      <c r="AN216" s="14" t="s">
        <v>36</v>
      </c>
      <c r="AO216" s="14" t="s">
        <v>671</v>
      </c>
      <c r="AP216" s="14" t="s">
        <v>37</v>
      </c>
      <c r="AQ216" s="14" t="s">
        <v>184</v>
      </c>
      <c r="AR216" s="14" t="s">
        <v>4</v>
      </c>
      <c r="AS216" s="14">
        <v>0</v>
      </c>
      <c r="AT216" s="14">
        <v>0</v>
      </c>
      <c r="AU216" s="14">
        <v>0</v>
      </c>
      <c r="AV216" s="14">
        <v>0</v>
      </c>
      <c r="AW216" s="14"/>
      <c r="AX216" s="14"/>
      <c r="AY216" s="14"/>
      <c r="AZ216" s="14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  <c r="BL216" s="11"/>
      <c r="BM216" s="11"/>
      <c r="BN216" s="11"/>
    </row>
    <row r="217" spans="1:66" s="2" customFormat="1" ht="12" customHeight="1" x14ac:dyDescent="0.25">
      <c r="A217" s="9">
        <f t="shared" si="3"/>
        <v>1</v>
      </c>
      <c r="B217" s="6"/>
      <c r="C217" s="6"/>
      <c r="D217" s="24"/>
      <c r="E217" s="12" t="s">
        <v>38</v>
      </c>
      <c r="F217" s="25">
        <v>0</v>
      </c>
      <c r="G217" s="12" t="s">
        <v>672</v>
      </c>
      <c r="H217" s="12">
        <v>0</v>
      </c>
      <c r="I217" s="12">
        <v>0</v>
      </c>
      <c r="J217" s="12">
        <v>0</v>
      </c>
      <c r="K217" s="12">
        <v>0</v>
      </c>
      <c r="L217" s="13">
        <v>0</v>
      </c>
      <c r="M217" s="13">
        <v>0</v>
      </c>
      <c r="N217" s="12">
        <v>0</v>
      </c>
      <c r="O217" s="12">
        <v>0</v>
      </c>
      <c r="P217" s="12">
        <v>0</v>
      </c>
      <c r="Q217" s="14">
        <v>0</v>
      </c>
      <c r="R217" s="15">
        <v>441649.81184500002</v>
      </c>
      <c r="S217" s="16">
        <v>441649.81184500002</v>
      </c>
      <c r="T217" s="15">
        <v>272639</v>
      </c>
      <c r="U217" s="16">
        <v>0</v>
      </c>
      <c r="V217" s="15">
        <v>105715</v>
      </c>
      <c r="W217" s="16">
        <v>0</v>
      </c>
      <c r="X217" s="15">
        <v>27002.783500000001</v>
      </c>
      <c r="Y217" s="16">
        <v>0</v>
      </c>
      <c r="Z217" s="15">
        <v>7400.0500000000011</v>
      </c>
      <c r="AA217" s="16">
        <v>0</v>
      </c>
      <c r="AB217" s="15">
        <v>28892.978345000003</v>
      </c>
      <c r="AC217" s="16">
        <v>0</v>
      </c>
      <c r="AD217" s="15">
        <v>0</v>
      </c>
      <c r="AE217" s="16">
        <v>0</v>
      </c>
      <c r="AF217" s="15">
        <v>0</v>
      </c>
      <c r="AG217" s="16">
        <v>0</v>
      </c>
      <c r="AH217" s="15">
        <v>0</v>
      </c>
      <c r="AI217" s="15" t="s">
        <v>673</v>
      </c>
      <c r="AJ217" s="14">
        <v>0.69380787037037039</v>
      </c>
      <c r="AK217" s="17">
        <v>43763</v>
      </c>
      <c r="AL217" s="18" t="s">
        <v>291</v>
      </c>
      <c r="AM217" s="14" t="s">
        <v>292</v>
      </c>
      <c r="AN217" s="14" t="s">
        <v>36</v>
      </c>
      <c r="AO217" s="14" t="s">
        <v>674</v>
      </c>
      <c r="AP217" s="14" t="s">
        <v>37</v>
      </c>
      <c r="AQ217" s="14" t="s">
        <v>184</v>
      </c>
      <c r="AR217" s="14" t="s">
        <v>4</v>
      </c>
      <c r="AS217" s="14">
        <v>0</v>
      </c>
      <c r="AT217" s="14">
        <v>0</v>
      </c>
      <c r="AU217" s="14">
        <v>0</v>
      </c>
      <c r="AV217" s="14">
        <v>0</v>
      </c>
      <c r="AW217" s="14"/>
      <c r="AX217" s="14"/>
      <c r="AY217" s="14"/>
      <c r="AZ217" s="14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  <c r="BL217" s="11"/>
      <c r="BM217" s="11"/>
      <c r="BN217" s="11"/>
    </row>
    <row r="218" spans="1:66" s="2" customFormat="1" ht="12" customHeight="1" x14ac:dyDescent="0.25">
      <c r="A218" s="9">
        <f t="shared" si="3"/>
        <v>1</v>
      </c>
      <c r="B218" s="6"/>
      <c r="C218" s="6"/>
      <c r="D218" s="24"/>
      <c r="E218" s="12" t="s">
        <v>38</v>
      </c>
      <c r="F218" s="25">
        <v>0</v>
      </c>
      <c r="G218" s="12" t="s">
        <v>675</v>
      </c>
      <c r="H218" s="12">
        <v>0</v>
      </c>
      <c r="I218" s="12">
        <v>0</v>
      </c>
      <c r="J218" s="12">
        <v>0</v>
      </c>
      <c r="K218" s="12">
        <v>0</v>
      </c>
      <c r="L218" s="13">
        <v>0</v>
      </c>
      <c r="M218" s="13">
        <v>0</v>
      </c>
      <c r="N218" s="12">
        <v>0</v>
      </c>
      <c r="O218" s="12">
        <v>0</v>
      </c>
      <c r="P218" s="12">
        <v>0</v>
      </c>
      <c r="Q218" s="14">
        <v>0</v>
      </c>
      <c r="R218" s="15">
        <v>928886.08000000007</v>
      </c>
      <c r="S218" s="16">
        <v>928886.08000000007</v>
      </c>
      <c r="T218" s="15">
        <v>578655.08000000007</v>
      </c>
      <c r="U218" s="16">
        <v>0</v>
      </c>
      <c r="V218" s="15">
        <v>350231</v>
      </c>
      <c r="W218" s="16">
        <v>0</v>
      </c>
      <c r="X218" s="15">
        <v>0</v>
      </c>
      <c r="Y218" s="16">
        <v>0</v>
      </c>
      <c r="Z218" s="15">
        <v>0</v>
      </c>
      <c r="AA218" s="16">
        <v>0</v>
      </c>
      <c r="AB218" s="15">
        <v>0</v>
      </c>
      <c r="AC218" s="16">
        <v>0</v>
      </c>
      <c r="AD218" s="15">
        <v>0</v>
      </c>
      <c r="AE218" s="16">
        <v>0</v>
      </c>
      <c r="AF218" s="15">
        <v>0</v>
      </c>
      <c r="AG218" s="16">
        <v>0</v>
      </c>
      <c r="AH218" s="15">
        <v>0</v>
      </c>
      <c r="AI218" s="15" t="s">
        <v>676</v>
      </c>
      <c r="AJ218" s="14">
        <v>0.64837962962962969</v>
      </c>
      <c r="AK218" s="17">
        <v>43766</v>
      </c>
      <c r="AL218" s="18" t="s">
        <v>40</v>
      </c>
      <c r="AM218" s="14" t="s">
        <v>410</v>
      </c>
      <c r="AN218" s="14" t="s">
        <v>36</v>
      </c>
      <c r="AO218" s="14" t="s">
        <v>677</v>
      </c>
      <c r="AP218" s="14" t="s">
        <v>37</v>
      </c>
      <c r="AQ218" s="14" t="s">
        <v>184</v>
      </c>
      <c r="AR218" s="14" t="s">
        <v>4</v>
      </c>
      <c r="AS218" s="14">
        <v>0</v>
      </c>
      <c r="AT218" s="14">
        <v>0</v>
      </c>
      <c r="AU218" s="14">
        <v>0</v>
      </c>
      <c r="AV218" s="14">
        <v>0</v>
      </c>
      <c r="AW218" s="14"/>
      <c r="AX218" s="14"/>
      <c r="AY218" s="14"/>
      <c r="AZ218" s="14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  <c r="BL218" s="11"/>
      <c r="BM218" s="11"/>
      <c r="BN218" s="11"/>
    </row>
    <row r="219" spans="1:66" s="2" customFormat="1" ht="12" customHeight="1" x14ac:dyDescent="0.25">
      <c r="A219" s="9">
        <f t="shared" si="3"/>
        <v>1</v>
      </c>
      <c r="B219" s="6"/>
      <c r="C219" s="6"/>
      <c r="D219" s="24"/>
      <c r="E219" s="12" t="s">
        <v>38</v>
      </c>
      <c r="F219" s="25">
        <v>0</v>
      </c>
      <c r="G219" s="12" t="s">
        <v>678</v>
      </c>
      <c r="H219" s="12">
        <v>0</v>
      </c>
      <c r="I219" s="12">
        <v>0</v>
      </c>
      <c r="J219" s="12">
        <v>0</v>
      </c>
      <c r="K219" s="12">
        <v>0</v>
      </c>
      <c r="L219" s="13">
        <v>0</v>
      </c>
      <c r="M219" s="13">
        <v>0</v>
      </c>
      <c r="N219" s="12">
        <v>0</v>
      </c>
      <c r="O219" s="12">
        <v>0</v>
      </c>
      <c r="P219" s="12">
        <v>0</v>
      </c>
      <c r="Q219" s="14">
        <v>0</v>
      </c>
      <c r="R219" s="15">
        <v>34820092.779999986</v>
      </c>
      <c r="S219" s="16">
        <v>34820092.779999986</v>
      </c>
      <c r="T219" s="15">
        <v>34820092.779999986</v>
      </c>
      <c r="U219" s="16">
        <v>0</v>
      </c>
      <c r="V219" s="15">
        <v>0</v>
      </c>
      <c r="W219" s="16">
        <v>0</v>
      </c>
      <c r="X219" s="15">
        <v>0</v>
      </c>
      <c r="Y219" s="16">
        <v>0</v>
      </c>
      <c r="Z219" s="15">
        <v>0</v>
      </c>
      <c r="AA219" s="16">
        <v>0</v>
      </c>
      <c r="AB219" s="15">
        <v>0</v>
      </c>
      <c r="AC219" s="16">
        <v>0</v>
      </c>
      <c r="AD219" s="15">
        <v>0</v>
      </c>
      <c r="AE219" s="16">
        <v>0</v>
      </c>
      <c r="AF219" s="15">
        <v>0</v>
      </c>
      <c r="AG219" s="16">
        <v>0</v>
      </c>
      <c r="AH219" s="15">
        <v>0</v>
      </c>
      <c r="AI219" s="15" t="s">
        <v>679</v>
      </c>
      <c r="AJ219" s="14">
        <v>0.35754629629629631</v>
      </c>
      <c r="AK219" s="17">
        <v>43788</v>
      </c>
      <c r="AL219" s="18" t="s">
        <v>291</v>
      </c>
      <c r="AM219" s="14" t="s">
        <v>292</v>
      </c>
      <c r="AN219" s="14" t="s">
        <v>36</v>
      </c>
      <c r="AO219" s="14" t="s">
        <v>680</v>
      </c>
      <c r="AP219" s="14" t="s">
        <v>37</v>
      </c>
      <c r="AQ219" s="14" t="s">
        <v>184</v>
      </c>
      <c r="AR219" s="14" t="s">
        <v>4</v>
      </c>
      <c r="AS219" s="14">
        <v>0</v>
      </c>
      <c r="AT219" s="14">
        <v>0</v>
      </c>
      <c r="AU219" s="14">
        <v>0</v>
      </c>
      <c r="AV219" s="14">
        <v>0</v>
      </c>
      <c r="AW219" s="14"/>
      <c r="AX219" s="14"/>
      <c r="AY219" s="14"/>
      <c r="AZ219" s="14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  <c r="BL219" s="11"/>
      <c r="BM219" s="11"/>
      <c r="BN219" s="11"/>
    </row>
    <row r="220" spans="1:66" s="2" customFormat="1" ht="12" customHeight="1" x14ac:dyDescent="0.25">
      <c r="A220" s="9">
        <f t="shared" si="3"/>
        <v>1</v>
      </c>
      <c r="B220" s="6"/>
      <c r="C220" s="6"/>
      <c r="D220" s="24"/>
      <c r="E220" s="12" t="s">
        <v>38</v>
      </c>
      <c r="F220" s="25">
        <v>0</v>
      </c>
      <c r="G220" s="12" t="s">
        <v>681</v>
      </c>
      <c r="H220" s="12">
        <v>0</v>
      </c>
      <c r="I220" s="12">
        <v>0</v>
      </c>
      <c r="J220" s="12">
        <v>0</v>
      </c>
      <c r="K220" s="12">
        <v>0</v>
      </c>
      <c r="L220" s="13">
        <v>0</v>
      </c>
      <c r="M220" s="13">
        <v>0</v>
      </c>
      <c r="N220" s="12">
        <v>0</v>
      </c>
      <c r="O220" s="12">
        <v>0</v>
      </c>
      <c r="P220" s="12">
        <v>0</v>
      </c>
      <c r="Q220" s="14">
        <v>0</v>
      </c>
      <c r="R220" s="15">
        <v>801862.08525999996</v>
      </c>
      <c r="S220" s="16">
        <v>801862.08525999996</v>
      </c>
      <c r="T220" s="15">
        <v>549165</v>
      </c>
      <c r="U220" s="16">
        <v>0</v>
      </c>
      <c r="V220" s="15">
        <v>141320</v>
      </c>
      <c r="W220" s="16">
        <v>0</v>
      </c>
      <c r="X220" s="15">
        <v>49026.418000000005</v>
      </c>
      <c r="Y220" s="16">
        <v>0</v>
      </c>
      <c r="Z220" s="15">
        <v>9892.4000000000015</v>
      </c>
      <c r="AA220" s="16">
        <v>0</v>
      </c>
      <c r="AB220" s="15">
        <v>52458.267260000001</v>
      </c>
      <c r="AC220" s="16">
        <v>0</v>
      </c>
      <c r="AD220" s="15">
        <v>0</v>
      </c>
      <c r="AE220" s="16">
        <v>0</v>
      </c>
      <c r="AF220" s="15">
        <v>0</v>
      </c>
      <c r="AG220" s="16">
        <v>0</v>
      </c>
      <c r="AH220" s="15">
        <v>0</v>
      </c>
      <c r="AI220" s="15" t="s">
        <v>682</v>
      </c>
      <c r="AJ220" s="14">
        <v>0.67494212962962974</v>
      </c>
      <c r="AK220" s="17">
        <v>43769</v>
      </c>
      <c r="AL220" s="18" t="s">
        <v>291</v>
      </c>
      <c r="AM220" s="14" t="s">
        <v>292</v>
      </c>
      <c r="AN220" s="14" t="s">
        <v>36</v>
      </c>
      <c r="AO220" s="14" t="s">
        <v>683</v>
      </c>
      <c r="AP220" s="14" t="s">
        <v>37</v>
      </c>
      <c r="AQ220" s="14" t="s">
        <v>184</v>
      </c>
      <c r="AR220" s="14" t="s">
        <v>4</v>
      </c>
      <c r="AS220" s="14">
        <v>0</v>
      </c>
      <c r="AT220" s="14">
        <v>0</v>
      </c>
      <c r="AU220" s="14">
        <v>0</v>
      </c>
      <c r="AV220" s="14">
        <v>0</v>
      </c>
      <c r="AW220" s="14"/>
      <c r="AX220" s="14"/>
      <c r="AY220" s="14"/>
      <c r="AZ220" s="14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  <c r="BL220" s="11"/>
      <c r="BM220" s="11"/>
      <c r="BN220" s="11"/>
    </row>
    <row r="221" spans="1:66" s="2" customFormat="1" ht="12" customHeight="1" x14ac:dyDescent="0.25">
      <c r="A221" s="9">
        <f t="shared" si="3"/>
        <v>1</v>
      </c>
      <c r="B221" s="6"/>
      <c r="C221" s="6"/>
      <c r="D221" s="24"/>
      <c r="E221" s="12" t="s">
        <v>38</v>
      </c>
      <c r="F221" s="25">
        <v>0</v>
      </c>
      <c r="G221" s="12" t="s">
        <v>684</v>
      </c>
      <c r="H221" s="12">
        <v>0</v>
      </c>
      <c r="I221" s="12">
        <v>0</v>
      </c>
      <c r="J221" s="12">
        <v>0</v>
      </c>
      <c r="K221" s="12">
        <v>0</v>
      </c>
      <c r="L221" s="13">
        <v>0</v>
      </c>
      <c r="M221" s="13">
        <v>0</v>
      </c>
      <c r="N221" s="12">
        <v>0</v>
      </c>
      <c r="O221" s="12">
        <v>0</v>
      </c>
      <c r="P221" s="12">
        <v>0</v>
      </c>
      <c r="Q221" s="14">
        <v>0</v>
      </c>
      <c r="R221" s="15">
        <v>764488.42762000009</v>
      </c>
      <c r="S221" s="16">
        <v>764488.42762000009</v>
      </c>
      <c r="T221" s="15">
        <v>511150</v>
      </c>
      <c r="U221" s="16">
        <v>0</v>
      </c>
      <c r="V221" s="15">
        <v>146340</v>
      </c>
      <c r="W221" s="16">
        <v>0</v>
      </c>
      <c r="X221" s="15">
        <v>46741.366000000009</v>
      </c>
      <c r="Y221" s="16">
        <v>0</v>
      </c>
      <c r="Z221" s="15">
        <v>10243.800000000001</v>
      </c>
      <c r="AA221" s="16">
        <v>0</v>
      </c>
      <c r="AB221" s="15">
        <v>50013.261620000012</v>
      </c>
      <c r="AC221" s="16">
        <v>0</v>
      </c>
      <c r="AD221" s="15">
        <v>0</v>
      </c>
      <c r="AE221" s="16">
        <v>0</v>
      </c>
      <c r="AF221" s="15">
        <v>0</v>
      </c>
      <c r="AG221" s="16">
        <v>0</v>
      </c>
      <c r="AH221" s="15">
        <v>0</v>
      </c>
      <c r="AI221" s="15" t="s">
        <v>685</v>
      </c>
      <c r="AJ221" s="14">
        <v>0.56945601851851857</v>
      </c>
      <c r="AK221" s="17">
        <v>43822</v>
      </c>
      <c r="AL221" s="18" t="s">
        <v>291</v>
      </c>
      <c r="AM221" s="14" t="s">
        <v>292</v>
      </c>
      <c r="AN221" s="14" t="s">
        <v>36</v>
      </c>
      <c r="AO221" s="14" t="s">
        <v>686</v>
      </c>
      <c r="AP221" s="14" t="s">
        <v>37</v>
      </c>
      <c r="AQ221" s="14" t="s">
        <v>184</v>
      </c>
      <c r="AR221" s="14" t="s">
        <v>4</v>
      </c>
      <c r="AS221" s="14">
        <v>0</v>
      </c>
      <c r="AT221" s="14">
        <v>0</v>
      </c>
      <c r="AU221" s="14">
        <v>0</v>
      </c>
      <c r="AV221" s="14">
        <v>0</v>
      </c>
      <c r="AW221" s="14"/>
      <c r="AX221" s="14"/>
      <c r="AY221" s="14"/>
      <c r="AZ221" s="14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  <c r="BL221" s="11"/>
      <c r="BM221" s="11"/>
      <c r="BN221" s="11"/>
    </row>
    <row r="222" spans="1:66" s="2" customFormat="1" ht="12" customHeight="1" x14ac:dyDescent="0.25">
      <c r="A222" s="9">
        <f t="shared" si="3"/>
        <v>1</v>
      </c>
      <c r="B222" s="6"/>
      <c r="C222" s="6"/>
      <c r="D222" s="24"/>
      <c r="E222" s="12" t="s">
        <v>38</v>
      </c>
      <c r="F222" s="25">
        <v>0</v>
      </c>
      <c r="G222" s="12" t="s">
        <v>687</v>
      </c>
      <c r="H222" s="12">
        <v>0</v>
      </c>
      <c r="I222" s="12">
        <v>0</v>
      </c>
      <c r="J222" s="12">
        <v>0</v>
      </c>
      <c r="K222" s="12">
        <v>0</v>
      </c>
      <c r="L222" s="13">
        <v>0</v>
      </c>
      <c r="M222" s="13">
        <v>0</v>
      </c>
      <c r="N222" s="12">
        <v>0</v>
      </c>
      <c r="O222" s="12">
        <v>0</v>
      </c>
      <c r="P222" s="12">
        <v>0</v>
      </c>
      <c r="Q222" s="14">
        <v>0</v>
      </c>
      <c r="R222" s="15">
        <v>33125.84966</v>
      </c>
      <c r="S222" s="16">
        <v>33125.84966</v>
      </c>
      <c r="T222" s="15">
        <v>8737.15</v>
      </c>
      <c r="U222" s="16">
        <v>0</v>
      </c>
      <c r="V222" s="15">
        <v>18875</v>
      </c>
      <c r="W222" s="16">
        <v>0</v>
      </c>
      <c r="X222" s="15">
        <v>2025.3380000000002</v>
      </c>
      <c r="Y222" s="16">
        <v>0</v>
      </c>
      <c r="Z222" s="15">
        <v>1321.2500000000002</v>
      </c>
      <c r="AA222" s="16">
        <v>0</v>
      </c>
      <c r="AB222" s="15">
        <v>2167.1116600000005</v>
      </c>
      <c r="AC222" s="16">
        <v>0</v>
      </c>
      <c r="AD222" s="15">
        <v>0</v>
      </c>
      <c r="AE222" s="16">
        <v>0</v>
      </c>
      <c r="AF222" s="15">
        <v>0</v>
      </c>
      <c r="AG222" s="16">
        <v>0</v>
      </c>
      <c r="AH222" s="15">
        <v>0</v>
      </c>
      <c r="AI222" s="15" t="s">
        <v>688</v>
      </c>
      <c r="AJ222" s="14">
        <v>0.43556712962962968</v>
      </c>
      <c r="AK222" s="17">
        <v>43777</v>
      </c>
      <c r="AL222" s="18" t="s">
        <v>291</v>
      </c>
      <c r="AM222" s="14" t="s">
        <v>292</v>
      </c>
      <c r="AN222" s="14" t="s">
        <v>36</v>
      </c>
      <c r="AO222" s="14" t="s">
        <v>689</v>
      </c>
      <c r="AP222" s="14" t="s">
        <v>37</v>
      </c>
      <c r="AQ222" s="14" t="s">
        <v>184</v>
      </c>
      <c r="AR222" s="14" t="s">
        <v>4</v>
      </c>
      <c r="AS222" s="14">
        <v>0</v>
      </c>
      <c r="AT222" s="14">
        <v>0</v>
      </c>
      <c r="AU222" s="14">
        <v>0</v>
      </c>
      <c r="AV222" s="14">
        <v>0</v>
      </c>
      <c r="AW222" s="14"/>
      <c r="AX222" s="14"/>
      <c r="AY222" s="14"/>
      <c r="AZ222" s="14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  <c r="BL222" s="11"/>
      <c r="BM222" s="11"/>
      <c r="BN222" s="11"/>
    </row>
    <row r="223" spans="1:66" s="2" customFormat="1" ht="12" customHeight="1" x14ac:dyDescent="0.25">
      <c r="A223" s="9">
        <f t="shared" si="3"/>
        <v>1</v>
      </c>
      <c r="B223" s="6"/>
      <c r="C223" s="6"/>
      <c r="D223" s="24"/>
      <c r="E223" s="12" t="s">
        <v>38</v>
      </c>
      <c r="F223" s="25">
        <v>0</v>
      </c>
      <c r="G223" s="12" t="s">
        <v>690</v>
      </c>
      <c r="H223" s="12">
        <v>0</v>
      </c>
      <c r="I223" s="12">
        <v>0</v>
      </c>
      <c r="J223" s="12">
        <v>0</v>
      </c>
      <c r="K223" s="12">
        <v>0</v>
      </c>
      <c r="L223" s="13">
        <v>0</v>
      </c>
      <c r="M223" s="13">
        <v>0</v>
      </c>
      <c r="N223" s="12">
        <v>0</v>
      </c>
      <c r="O223" s="12">
        <v>0</v>
      </c>
      <c r="P223" s="12">
        <v>0</v>
      </c>
      <c r="Q223" s="14">
        <v>0</v>
      </c>
      <c r="R223" s="15">
        <v>928886.08000000007</v>
      </c>
      <c r="S223" s="16">
        <v>928886.08000000007</v>
      </c>
      <c r="T223" s="15">
        <v>578655.08000000007</v>
      </c>
      <c r="U223" s="16">
        <v>0</v>
      </c>
      <c r="V223" s="15">
        <v>350231</v>
      </c>
      <c r="W223" s="16">
        <v>0</v>
      </c>
      <c r="X223" s="15">
        <v>0</v>
      </c>
      <c r="Y223" s="16">
        <v>0</v>
      </c>
      <c r="Z223" s="15">
        <v>0</v>
      </c>
      <c r="AA223" s="16">
        <v>0</v>
      </c>
      <c r="AB223" s="15">
        <v>0</v>
      </c>
      <c r="AC223" s="16">
        <v>0</v>
      </c>
      <c r="AD223" s="15">
        <v>0</v>
      </c>
      <c r="AE223" s="16">
        <v>0</v>
      </c>
      <c r="AF223" s="15">
        <v>0</v>
      </c>
      <c r="AG223" s="16">
        <v>0</v>
      </c>
      <c r="AH223" s="15">
        <v>0</v>
      </c>
      <c r="AI223" s="15" t="s">
        <v>691</v>
      </c>
      <c r="AJ223" s="14">
        <v>0.44784722222222223</v>
      </c>
      <c r="AK223" s="17">
        <v>43783</v>
      </c>
      <c r="AL223" s="18" t="s">
        <v>40</v>
      </c>
      <c r="AM223" s="14" t="s">
        <v>410</v>
      </c>
      <c r="AN223" s="14" t="s">
        <v>36</v>
      </c>
      <c r="AO223" s="14" t="s">
        <v>692</v>
      </c>
      <c r="AP223" s="14" t="s">
        <v>37</v>
      </c>
      <c r="AQ223" s="14" t="s">
        <v>184</v>
      </c>
      <c r="AR223" s="14" t="s">
        <v>4</v>
      </c>
      <c r="AS223" s="14">
        <v>0</v>
      </c>
      <c r="AT223" s="14">
        <v>0</v>
      </c>
      <c r="AU223" s="14">
        <v>0</v>
      </c>
      <c r="AV223" s="14">
        <v>0</v>
      </c>
      <c r="AW223" s="14"/>
      <c r="AX223" s="14"/>
      <c r="AY223" s="14"/>
      <c r="AZ223" s="14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  <c r="BL223" s="11"/>
      <c r="BM223" s="11"/>
      <c r="BN223" s="11"/>
    </row>
    <row r="224" spans="1:66" s="2" customFormat="1" ht="12" customHeight="1" x14ac:dyDescent="0.25">
      <c r="A224" s="9">
        <f t="shared" si="3"/>
        <v>1</v>
      </c>
      <c r="B224" s="6"/>
      <c r="C224" s="6"/>
      <c r="D224" s="24"/>
      <c r="E224" s="12" t="s">
        <v>38</v>
      </c>
      <c r="F224" s="25">
        <v>0</v>
      </c>
      <c r="G224" s="12" t="s">
        <v>693</v>
      </c>
      <c r="H224" s="12">
        <v>0</v>
      </c>
      <c r="I224" s="12">
        <v>0</v>
      </c>
      <c r="J224" s="12">
        <v>0</v>
      </c>
      <c r="K224" s="12">
        <v>0</v>
      </c>
      <c r="L224" s="13">
        <v>0</v>
      </c>
      <c r="M224" s="13">
        <v>0</v>
      </c>
      <c r="N224" s="12">
        <v>0</v>
      </c>
      <c r="O224" s="12">
        <v>0</v>
      </c>
      <c r="P224" s="12">
        <v>0</v>
      </c>
      <c r="Q224" s="14">
        <v>0</v>
      </c>
      <c r="R224" s="15">
        <v>928886.08000000007</v>
      </c>
      <c r="S224" s="16">
        <v>928886.08000000007</v>
      </c>
      <c r="T224" s="15">
        <v>578655.08000000007</v>
      </c>
      <c r="U224" s="16">
        <v>0</v>
      </c>
      <c r="V224" s="15">
        <v>350231</v>
      </c>
      <c r="W224" s="16">
        <v>0</v>
      </c>
      <c r="X224" s="15">
        <v>0</v>
      </c>
      <c r="Y224" s="16">
        <v>0</v>
      </c>
      <c r="Z224" s="15">
        <v>0</v>
      </c>
      <c r="AA224" s="16">
        <v>0</v>
      </c>
      <c r="AB224" s="15">
        <v>0</v>
      </c>
      <c r="AC224" s="16">
        <v>0</v>
      </c>
      <c r="AD224" s="15">
        <v>0</v>
      </c>
      <c r="AE224" s="16">
        <v>0</v>
      </c>
      <c r="AF224" s="15">
        <v>0</v>
      </c>
      <c r="AG224" s="16">
        <v>0</v>
      </c>
      <c r="AH224" s="15">
        <v>0</v>
      </c>
      <c r="AI224" s="15" t="s">
        <v>694</v>
      </c>
      <c r="AJ224" s="14">
        <v>0.44922453703703707</v>
      </c>
      <c r="AK224" s="17">
        <v>43783</v>
      </c>
      <c r="AL224" s="18" t="s">
        <v>568</v>
      </c>
      <c r="AM224" s="14" t="s">
        <v>569</v>
      </c>
      <c r="AN224" s="14" t="s">
        <v>36</v>
      </c>
      <c r="AO224" s="14" t="s">
        <v>695</v>
      </c>
      <c r="AP224" s="14" t="s">
        <v>37</v>
      </c>
      <c r="AQ224" s="14" t="s">
        <v>184</v>
      </c>
      <c r="AR224" s="14" t="s">
        <v>4</v>
      </c>
      <c r="AS224" s="14">
        <v>0</v>
      </c>
      <c r="AT224" s="14">
        <v>0</v>
      </c>
      <c r="AU224" s="14">
        <v>0</v>
      </c>
      <c r="AV224" s="14">
        <v>0</v>
      </c>
      <c r="AW224" s="14"/>
      <c r="AX224" s="14"/>
      <c r="AY224" s="14"/>
      <c r="AZ224" s="14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  <c r="BL224" s="11"/>
      <c r="BM224" s="11"/>
      <c r="BN224" s="11"/>
    </row>
    <row r="225" spans="1:66" s="2" customFormat="1" ht="12" customHeight="1" x14ac:dyDescent="0.25">
      <c r="A225" s="9">
        <f t="shared" si="3"/>
        <v>1</v>
      </c>
      <c r="B225" s="6"/>
      <c r="C225" s="6"/>
      <c r="D225" s="24"/>
      <c r="E225" s="12" t="s">
        <v>38</v>
      </c>
      <c r="F225" s="25">
        <v>0</v>
      </c>
      <c r="G225" s="12" t="s">
        <v>696</v>
      </c>
      <c r="H225" s="12">
        <v>0</v>
      </c>
      <c r="I225" s="12">
        <v>0</v>
      </c>
      <c r="J225" s="12">
        <v>0</v>
      </c>
      <c r="K225" s="12">
        <v>0</v>
      </c>
      <c r="L225" s="13">
        <v>0</v>
      </c>
      <c r="M225" s="13">
        <v>0</v>
      </c>
      <c r="N225" s="12">
        <v>0</v>
      </c>
      <c r="O225" s="12">
        <v>0</v>
      </c>
      <c r="P225" s="12">
        <v>0</v>
      </c>
      <c r="Q225" s="14">
        <v>0</v>
      </c>
      <c r="R225" s="15">
        <v>366966.41633200005</v>
      </c>
      <c r="S225" s="16">
        <v>366966.41633200005</v>
      </c>
      <c r="T225" s="15">
        <v>194449.93</v>
      </c>
      <c r="U225" s="16">
        <v>0</v>
      </c>
      <c r="V225" s="15">
        <v>117825</v>
      </c>
      <c r="W225" s="16">
        <v>0</v>
      </c>
      <c r="X225" s="15">
        <v>22436.587600000003</v>
      </c>
      <c r="Y225" s="16">
        <v>0</v>
      </c>
      <c r="Z225" s="15">
        <v>8247.75</v>
      </c>
      <c r="AA225" s="16">
        <v>0</v>
      </c>
      <c r="AB225" s="15">
        <v>24007.148732000005</v>
      </c>
      <c r="AC225" s="16">
        <v>0</v>
      </c>
      <c r="AD225" s="15">
        <v>0</v>
      </c>
      <c r="AE225" s="16">
        <v>0</v>
      </c>
      <c r="AF225" s="15">
        <v>0</v>
      </c>
      <c r="AG225" s="16">
        <v>0</v>
      </c>
      <c r="AH225" s="15">
        <v>0</v>
      </c>
      <c r="AI225" s="15" t="s">
        <v>697</v>
      </c>
      <c r="AJ225" s="14">
        <v>0.58016203703703706</v>
      </c>
      <c r="AK225" s="17">
        <v>43794</v>
      </c>
      <c r="AL225" s="18" t="s">
        <v>291</v>
      </c>
      <c r="AM225" s="14" t="s">
        <v>292</v>
      </c>
      <c r="AN225" s="14" t="s">
        <v>36</v>
      </c>
      <c r="AO225" s="14" t="s">
        <v>698</v>
      </c>
      <c r="AP225" s="14" t="s">
        <v>37</v>
      </c>
      <c r="AQ225" s="14" t="s">
        <v>184</v>
      </c>
      <c r="AR225" s="14" t="s">
        <v>4</v>
      </c>
      <c r="AS225" s="14">
        <v>0</v>
      </c>
      <c r="AT225" s="14">
        <v>0</v>
      </c>
      <c r="AU225" s="14">
        <v>0</v>
      </c>
      <c r="AV225" s="14">
        <v>0</v>
      </c>
      <c r="AW225" s="14"/>
      <c r="AX225" s="14"/>
      <c r="AY225" s="14"/>
      <c r="AZ225" s="14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  <c r="BL225" s="11"/>
      <c r="BM225" s="11"/>
      <c r="BN225" s="11"/>
    </row>
    <row r="226" spans="1:66" s="2" customFormat="1" ht="12" customHeight="1" x14ac:dyDescent="0.25">
      <c r="A226" s="9">
        <f t="shared" si="3"/>
        <v>1</v>
      </c>
      <c r="B226" s="6"/>
      <c r="C226" s="6"/>
      <c r="D226" s="24"/>
      <c r="E226" s="12" t="s">
        <v>38</v>
      </c>
      <c r="F226" s="25">
        <v>0</v>
      </c>
      <c r="G226" s="12" t="s">
        <v>699</v>
      </c>
      <c r="H226" s="12">
        <v>0</v>
      </c>
      <c r="I226" s="12">
        <v>0</v>
      </c>
      <c r="J226" s="12">
        <v>0</v>
      </c>
      <c r="K226" s="12">
        <v>0</v>
      </c>
      <c r="L226" s="13">
        <v>0</v>
      </c>
      <c r="M226" s="13">
        <v>0</v>
      </c>
      <c r="N226" s="12">
        <v>0</v>
      </c>
      <c r="O226" s="12">
        <v>0</v>
      </c>
      <c r="P226" s="12">
        <v>0</v>
      </c>
      <c r="Q226" s="14">
        <v>0</v>
      </c>
      <c r="R226" s="15">
        <v>8065772.5294499984</v>
      </c>
      <c r="S226" s="16">
        <v>8065772.5294499984</v>
      </c>
      <c r="T226" s="15">
        <v>6098882.8199999994</v>
      </c>
      <c r="U226" s="16">
        <v>0</v>
      </c>
      <c r="V226" s="15">
        <v>0</v>
      </c>
      <c r="W226" s="16">
        <v>0</v>
      </c>
      <c r="X226" s="15">
        <v>914832.42299999984</v>
      </c>
      <c r="Y226" s="16">
        <v>0</v>
      </c>
      <c r="Z226" s="15">
        <v>0</v>
      </c>
      <c r="AA226" s="16">
        <v>0</v>
      </c>
      <c r="AB226" s="15">
        <v>1052057.2864499998</v>
      </c>
      <c r="AC226" s="16">
        <v>0</v>
      </c>
      <c r="AD226" s="15">
        <v>0</v>
      </c>
      <c r="AE226" s="16">
        <v>0</v>
      </c>
      <c r="AF226" s="15">
        <v>0</v>
      </c>
      <c r="AG226" s="16">
        <v>0</v>
      </c>
      <c r="AH226" s="15">
        <v>0</v>
      </c>
      <c r="AI226" s="15" t="s">
        <v>700</v>
      </c>
      <c r="AJ226" s="14">
        <v>0.43379629629629629</v>
      </c>
      <c r="AK226" s="17">
        <v>43810</v>
      </c>
      <c r="AL226" s="18" t="s">
        <v>291</v>
      </c>
      <c r="AM226" s="14" t="s">
        <v>292</v>
      </c>
      <c r="AN226" s="14" t="s">
        <v>36</v>
      </c>
      <c r="AO226" s="14" t="s">
        <v>701</v>
      </c>
      <c r="AP226" s="14" t="s">
        <v>37</v>
      </c>
      <c r="AQ226" s="14" t="s">
        <v>184</v>
      </c>
      <c r="AR226" s="14" t="s">
        <v>4</v>
      </c>
      <c r="AS226" s="14">
        <v>0</v>
      </c>
      <c r="AT226" s="14">
        <v>0</v>
      </c>
      <c r="AU226" s="14">
        <v>0</v>
      </c>
      <c r="AV226" s="14">
        <v>0</v>
      </c>
      <c r="AW226" s="14"/>
      <c r="AX226" s="14"/>
      <c r="AY226" s="14"/>
      <c r="AZ226" s="14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  <c r="BL226" s="11"/>
      <c r="BM226" s="11"/>
      <c r="BN226" s="11"/>
    </row>
    <row r="227" spans="1:66" s="2" customFormat="1" ht="12" customHeight="1" x14ac:dyDescent="0.25">
      <c r="A227" s="9">
        <f t="shared" si="3"/>
        <v>1</v>
      </c>
      <c r="B227" s="6"/>
      <c r="C227" s="6"/>
      <c r="D227" s="24"/>
      <c r="E227" s="12" t="s">
        <v>38</v>
      </c>
      <c r="F227" s="25">
        <v>0</v>
      </c>
      <c r="G227" s="12" t="s">
        <v>702</v>
      </c>
      <c r="H227" s="12">
        <v>0</v>
      </c>
      <c r="I227" s="12">
        <v>0</v>
      </c>
      <c r="J227" s="12">
        <v>0</v>
      </c>
      <c r="K227" s="12">
        <v>0</v>
      </c>
      <c r="L227" s="13">
        <v>0</v>
      </c>
      <c r="M227" s="13">
        <v>0</v>
      </c>
      <c r="N227" s="12">
        <v>0</v>
      </c>
      <c r="O227" s="12">
        <v>0</v>
      </c>
      <c r="P227" s="12">
        <v>0</v>
      </c>
      <c r="Q227" s="14">
        <v>0</v>
      </c>
      <c r="R227" s="15">
        <v>78764.540399999998</v>
      </c>
      <c r="S227" s="16">
        <v>78764.540399999998</v>
      </c>
      <c r="T227" s="15">
        <v>46604.2</v>
      </c>
      <c r="U227" s="16">
        <v>0</v>
      </c>
      <c r="V227" s="15">
        <v>20740</v>
      </c>
      <c r="W227" s="16">
        <v>0</v>
      </c>
      <c r="X227" s="15">
        <v>4815.72</v>
      </c>
      <c r="Y227" s="16">
        <v>0</v>
      </c>
      <c r="Z227" s="15">
        <v>1451.8000000000002</v>
      </c>
      <c r="AA227" s="16">
        <v>0</v>
      </c>
      <c r="AB227" s="15">
        <v>5152.8204000000005</v>
      </c>
      <c r="AC227" s="16">
        <v>0</v>
      </c>
      <c r="AD227" s="15">
        <v>0</v>
      </c>
      <c r="AE227" s="16">
        <v>0</v>
      </c>
      <c r="AF227" s="15">
        <v>0</v>
      </c>
      <c r="AG227" s="16">
        <v>0</v>
      </c>
      <c r="AH227" s="15">
        <v>0</v>
      </c>
      <c r="AI227" s="15" t="s">
        <v>703</v>
      </c>
      <c r="AJ227" s="14">
        <v>0.35363425925925923</v>
      </c>
      <c r="AK227" s="17">
        <v>43824</v>
      </c>
      <c r="AL227" s="18" t="s">
        <v>291</v>
      </c>
      <c r="AM227" s="14" t="s">
        <v>292</v>
      </c>
      <c r="AN227" s="14" t="s">
        <v>36</v>
      </c>
      <c r="AO227" s="14" t="s">
        <v>704</v>
      </c>
      <c r="AP227" s="14" t="s">
        <v>37</v>
      </c>
      <c r="AQ227" s="14" t="s">
        <v>184</v>
      </c>
      <c r="AR227" s="14" t="s">
        <v>4</v>
      </c>
      <c r="AS227" s="14">
        <v>0</v>
      </c>
      <c r="AT227" s="14">
        <v>0</v>
      </c>
      <c r="AU227" s="14">
        <v>0</v>
      </c>
      <c r="AV227" s="14">
        <v>0</v>
      </c>
      <c r="AW227" s="14"/>
      <c r="AX227" s="14"/>
      <c r="AY227" s="14"/>
      <c r="AZ227" s="14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  <c r="BL227" s="11"/>
      <c r="BM227" s="11"/>
      <c r="BN227" s="11"/>
    </row>
    <row r="228" spans="1:66" s="2" customFormat="1" ht="12" customHeight="1" x14ac:dyDescent="0.25">
      <c r="A228" s="9">
        <f t="shared" si="3"/>
        <v>1</v>
      </c>
      <c r="B228" s="6"/>
      <c r="C228" s="6"/>
      <c r="D228" s="24"/>
      <c r="E228" s="12" t="s">
        <v>38</v>
      </c>
      <c r="F228" s="25">
        <v>0</v>
      </c>
      <c r="G228" s="12" t="s">
        <v>705</v>
      </c>
      <c r="H228" s="12">
        <v>0</v>
      </c>
      <c r="I228" s="12">
        <v>0</v>
      </c>
      <c r="J228" s="12">
        <v>0</v>
      </c>
      <c r="K228" s="12">
        <v>0</v>
      </c>
      <c r="L228" s="13">
        <v>0</v>
      </c>
      <c r="M228" s="13">
        <v>0</v>
      </c>
      <c r="N228" s="12">
        <v>0</v>
      </c>
      <c r="O228" s="12">
        <v>0</v>
      </c>
      <c r="P228" s="12">
        <v>0</v>
      </c>
      <c r="Q228" s="14">
        <v>0</v>
      </c>
      <c r="R228" s="15">
        <v>585711.03323000006</v>
      </c>
      <c r="S228" s="16">
        <v>585711.03323000006</v>
      </c>
      <c r="T228" s="15">
        <v>277456</v>
      </c>
      <c r="U228" s="16">
        <v>0</v>
      </c>
      <c r="V228" s="15">
        <v>218810</v>
      </c>
      <c r="W228" s="16">
        <v>0</v>
      </c>
      <c r="X228" s="15">
        <v>35810.789000000004</v>
      </c>
      <c r="Y228" s="16">
        <v>0</v>
      </c>
      <c r="Z228" s="15">
        <v>15316.7</v>
      </c>
      <c r="AA228" s="16">
        <v>0</v>
      </c>
      <c r="AB228" s="15">
        <v>38317.544230000007</v>
      </c>
      <c r="AC228" s="16">
        <v>0</v>
      </c>
      <c r="AD228" s="15">
        <v>0</v>
      </c>
      <c r="AE228" s="16">
        <v>0</v>
      </c>
      <c r="AF228" s="15">
        <v>0</v>
      </c>
      <c r="AG228" s="16">
        <v>0</v>
      </c>
      <c r="AH228" s="15">
        <v>0</v>
      </c>
      <c r="AI228" s="15" t="s">
        <v>706</v>
      </c>
      <c r="AJ228" s="14">
        <v>0.71283564814814815</v>
      </c>
      <c r="AK228" s="17">
        <v>43839</v>
      </c>
      <c r="AL228" s="18" t="s">
        <v>291</v>
      </c>
      <c r="AM228" s="14" t="s">
        <v>292</v>
      </c>
      <c r="AN228" s="14" t="s">
        <v>36</v>
      </c>
      <c r="AO228" s="14" t="s">
        <v>707</v>
      </c>
      <c r="AP228" s="14" t="s">
        <v>37</v>
      </c>
      <c r="AQ228" s="14" t="s">
        <v>184</v>
      </c>
      <c r="AR228" s="14" t="s">
        <v>4</v>
      </c>
      <c r="AS228" s="14">
        <v>0</v>
      </c>
      <c r="AT228" s="14">
        <v>0</v>
      </c>
      <c r="AU228" s="14">
        <v>0</v>
      </c>
      <c r="AV228" s="14">
        <v>0</v>
      </c>
      <c r="AW228" s="14"/>
      <c r="AX228" s="14"/>
      <c r="AY228" s="14"/>
      <c r="AZ228" s="14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  <c r="BL228" s="11"/>
      <c r="BM228" s="11"/>
      <c r="BN228" s="11"/>
    </row>
    <row r="229" spans="1:66" s="2" customFormat="1" ht="12" customHeight="1" x14ac:dyDescent="0.25">
      <c r="A229" s="9">
        <f t="shared" si="3"/>
        <v>1</v>
      </c>
      <c r="B229" s="6"/>
      <c r="C229" s="6"/>
      <c r="D229" s="24"/>
      <c r="E229" s="12" t="s">
        <v>38</v>
      </c>
      <c r="F229" s="25">
        <v>0</v>
      </c>
      <c r="G229" s="12" t="s">
        <v>708</v>
      </c>
      <c r="H229" s="12">
        <v>0</v>
      </c>
      <c r="I229" s="12">
        <v>0</v>
      </c>
      <c r="J229" s="12">
        <v>0</v>
      </c>
      <c r="K229" s="12">
        <v>0</v>
      </c>
      <c r="L229" s="13">
        <v>0</v>
      </c>
      <c r="M229" s="13">
        <v>0</v>
      </c>
      <c r="N229" s="12">
        <v>0</v>
      </c>
      <c r="O229" s="12">
        <v>0</v>
      </c>
      <c r="P229" s="12">
        <v>0</v>
      </c>
      <c r="Q229" s="14">
        <v>0</v>
      </c>
      <c r="R229" s="15">
        <v>649357.05463999999</v>
      </c>
      <c r="S229" s="16">
        <v>649357.05463999999</v>
      </c>
      <c r="T229" s="15">
        <v>288438.59999999998</v>
      </c>
      <c r="U229" s="16">
        <v>0</v>
      </c>
      <c r="V229" s="15">
        <v>260500</v>
      </c>
      <c r="W229" s="16">
        <v>0</v>
      </c>
      <c r="X229" s="15">
        <v>39702.152000000002</v>
      </c>
      <c r="Y229" s="16">
        <v>0</v>
      </c>
      <c r="Z229" s="15">
        <v>18235</v>
      </c>
      <c r="AA229" s="16">
        <v>0</v>
      </c>
      <c r="AB229" s="15">
        <v>42481.302640000002</v>
      </c>
      <c r="AC229" s="16">
        <v>0</v>
      </c>
      <c r="AD229" s="15">
        <v>0</v>
      </c>
      <c r="AE229" s="16">
        <v>0</v>
      </c>
      <c r="AF229" s="15">
        <v>0</v>
      </c>
      <c r="AG229" s="16">
        <v>0</v>
      </c>
      <c r="AH229" s="15">
        <v>0</v>
      </c>
      <c r="AI229" s="15" t="s">
        <v>709</v>
      </c>
      <c r="AJ229" s="14">
        <v>0.50340277777777775</v>
      </c>
      <c r="AK229" s="17">
        <v>43840</v>
      </c>
      <c r="AL229" s="18" t="s">
        <v>291</v>
      </c>
      <c r="AM229" s="14" t="s">
        <v>292</v>
      </c>
      <c r="AN229" s="14" t="s">
        <v>36</v>
      </c>
      <c r="AO229" s="14" t="s">
        <v>710</v>
      </c>
      <c r="AP229" s="14" t="s">
        <v>37</v>
      </c>
      <c r="AQ229" s="14" t="s">
        <v>184</v>
      </c>
      <c r="AR229" s="14" t="s">
        <v>4</v>
      </c>
      <c r="AS229" s="14">
        <v>0</v>
      </c>
      <c r="AT229" s="14">
        <v>0</v>
      </c>
      <c r="AU229" s="14">
        <v>0</v>
      </c>
      <c r="AV229" s="14">
        <v>0</v>
      </c>
      <c r="AW229" s="14"/>
      <c r="AX229" s="14"/>
      <c r="AY229" s="14"/>
      <c r="AZ229" s="14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  <c r="BL229" s="11"/>
      <c r="BM229" s="11"/>
      <c r="BN229" s="11"/>
    </row>
    <row r="230" spans="1:66" s="2" customFormat="1" ht="12" customHeight="1" x14ac:dyDescent="0.25">
      <c r="A230" s="9">
        <f t="shared" si="3"/>
        <v>1</v>
      </c>
      <c r="B230" s="6"/>
      <c r="C230" s="6"/>
      <c r="D230" s="24"/>
      <c r="E230" s="12" t="s">
        <v>38</v>
      </c>
      <c r="F230" s="25">
        <v>0</v>
      </c>
      <c r="G230" s="12" t="s">
        <v>711</v>
      </c>
      <c r="H230" s="12">
        <v>0</v>
      </c>
      <c r="I230" s="12">
        <v>0</v>
      </c>
      <c r="J230" s="12">
        <v>0</v>
      </c>
      <c r="K230" s="12">
        <v>0</v>
      </c>
      <c r="L230" s="13">
        <v>0</v>
      </c>
      <c r="M230" s="13">
        <v>0</v>
      </c>
      <c r="N230" s="12">
        <v>0</v>
      </c>
      <c r="O230" s="12">
        <v>0</v>
      </c>
      <c r="P230" s="12">
        <v>0</v>
      </c>
      <c r="Q230" s="14">
        <v>0</v>
      </c>
      <c r="R230" s="15">
        <v>264860.70804</v>
      </c>
      <c r="S230" s="16">
        <v>264860.70804</v>
      </c>
      <c r="T230" s="15">
        <v>45288</v>
      </c>
      <c r="U230" s="16">
        <v>0</v>
      </c>
      <c r="V230" s="15">
        <v>173880</v>
      </c>
      <c r="W230" s="16">
        <v>0</v>
      </c>
      <c r="X230" s="15">
        <v>16193.772000000003</v>
      </c>
      <c r="Y230" s="16">
        <v>0</v>
      </c>
      <c r="Z230" s="15">
        <v>12171.6</v>
      </c>
      <c r="AA230" s="16">
        <v>0</v>
      </c>
      <c r="AB230" s="15">
        <v>17327.336040000002</v>
      </c>
      <c r="AC230" s="16">
        <v>0</v>
      </c>
      <c r="AD230" s="15">
        <v>0</v>
      </c>
      <c r="AE230" s="16">
        <v>0</v>
      </c>
      <c r="AF230" s="15">
        <v>0</v>
      </c>
      <c r="AG230" s="16">
        <v>0</v>
      </c>
      <c r="AH230" s="15">
        <v>0</v>
      </c>
      <c r="AI230" s="15" t="s">
        <v>712</v>
      </c>
      <c r="AJ230" s="14">
        <v>0.50585648148148155</v>
      </c>
      <c r="AK230" s="17">
        <v>43847</v>
      </c>
      <c r="AL230" s="18" t="s">
        <v>291</v>
      </c>
      <c r="AM230" s="14" t="s">
        <v>292</v>
      </c>
      <c r="AN230" s="14" t="s">
        <v>36</v>
      </c>
      <c r="AO230" s="14" t="s">
        <v>713</v>
      </c>
      <c r="AP230" s="14" t="s">
        <v>37</v>
      </c>
      <c r="AQ230" s="14" t="s">
        <v>184</v>
      </c>
      <c r="AR230" s="14" t="s">
        <v>4</v>
      </c>
      <c r="AS230" s="14">
        <v>0</v>
      </c>
      <c r="AT230" s="14">
        <v>0</v>
      </c>
      <c r="AU230" s="14">
        <v>0</v>
      </c>
      <c r="AV230" s="14">
        <v>0</v>
      </c>
      <c r="AW230" s="14"/>
      <c r="AX230" s="14"/>
      <c r="AY230" s="14"/>
      <c r="AZ230" s="14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  <c r="BL230" s="11"/>
      <c r="BM230" s="11"/>
      <c r="BN230" s="11"/>
    </row>
    <row r="231" spans="1:66" s="2" customFormat="1" ht="12" customHeight="1" x14ac:dyDescent="0.25">
      <c r="A231" s="9">
        <f t="shared" si="3"/>
        <v>1</v>
      </c>
      <c r="B231" s="6"/>
      <c r="C231" s="6"/>
      <c r="D231" s="24"/>
      <c r="E231" s="12" t="s">
        <v>38</v>
      </c>
      <c r="F231" s="25">
        <v>0</v>
      </c>
      <c r="G231" s="12" t="s">
        <v>714</v>
      </c>
      <c r="H231" s="12">
        <v>0</v>
      </c>
      <c r="I231" s="12">
        <v>0</v>
      </c>
      <c r="J231" s="12">
        <v>0</v>
      </c>
      <c r="K231" s="12">
        <v>0</v>
      </c>
      <c r="L231" s="13">
        <v>0</v>
      </c>
      <c r="M231" s="13">
        <v>0</v>
      </c>
      <c r="N231" s="12">
        <v>0</v>
      </c>
      <c r="O231" s="12">
        <v>0</v>
      </c>
      <c r="P231" s="12">
        <v>0</v>
      </c>
      <c r="Q231" s="14">
        <v>0</v>
      </c>
      <c r="R231" s="15">
        <v>866932.41951500019</v>
      </c>
      <c r="S231" s="16">
        <v>866932.41951500019</v>
      </c>
      <c r="T231" s="15">
        <v>414689.3</v>
      </c>
      <c r="U231" s="16">
        <v>0</v>
      </c>
      <c r="V231" s="15">
        <v>320115</v>
      </c>
      <c r="W231" s="16">
        <v>0</v>
      </c>
      <c r="X231" s="15">
        <v>53004.864500000011</v>
      </c>
      <c r="Y231" s="16">
        <v>0</v>
      </c>
      <c r="Z231" s="15">
        <v>22408.050000000003</v>
      </c>
      <c r="AA231" s="16">
        <v>0</v>
      </c>
      <c r="AB231" s="15">
        <v>56715.205015000014</v>
      </c>
      <c r="AC231" s="16">
        <v>0</v>
      </c>
      <c r="AD231" s="15">
        <v>0</v>
      </c>
      <c r="AE231" s="16">
        <v>0</v>
      </c>
      <c r="AF231" s="15">
        <v>0</v>
      </c>
      <c r="AG231" s="16">
        <v>0</v>
      </c>
      <c r="AH231" s="15">
        <v>0</v>
      </c>
      <c r="AI231" s="15" t="s">
        <v>715</v>
      </c>
      <c r="AJ231" s="14">
        <v>0.70564814814814814</v>
      </c>
      <c r="AK231" s="17">
        <v>43867</v>
      </c>
      <c r="AL231" s="18" t="s">
        <v>291</v>
      </c>
      <c r="AM231" s="14" t="s">
        <v>292</v>
      </c>
      <c r="AN231" s="14" t="s">
        <v>36</v>
      </c>
      <c r="AO231" s="14" t="s">
        <v>716</v>
      </c>
      <c r="AP231" s="14" t="s">
        <v>37</v>
      </c>
      <c r="AQ231" s="14" t="s">
        <v>184</v>
      </c>
      <c r="AR231" s="14" t="s">
        <v>4</v>
      </c>
      <c r="AS231" s="14">
        <v>0</v>
      </c>
      <c r="AT231" s="14">
        <v>0</v>
      </c>
      <c r="AU231" s="14">
        <v>0</v>
      </c>
      <c r="AV231" s="14">
        <v>0</v>
      </c>
      <c r="AW231" s="14"/>
      <c r="AX231" s="14"/>
      <c r="AY231" s="14"/>
      <c r="AZ231" s="14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  <c r="BL231" s="11"/>
      <c r="BM231" s="11"/>
      <c r="BN231" s="11"/>
    </row>
    <row r="232" spans="1:66" s="2" customFormat="1" ht="12" customHeight="1" x14ac:dyDescent="0.25">
      <c r="A232" s="9">
        <f t="shared" si="3"/>
        <v>1</v>
      </c>
      <c r="B232" s="6"/>
      <c r="C232" s="6"/>
      <c r="D232" s="24"/>
      <c r="E232" s="12" t="s">
        <v>38</v>
      </c>
      <c r="F232" s="25">
        <v>0</v>
      </c>
      <c r="G232" s="12" t="s">
        <v>717</v>
      </c>
      <c r="H232" s="12">
        <v>0</v>
      </c>
      <c r="I232" s="12">
        <v>0</v>
      </c>
      <c r="J232" s="12">
        <v>0</v>
      </c>
      <c r="K232" s="12">
        <v>0</v>
      </c>
      <c r="L232" s="13">
        <v>0</v>
      </c>
      <c r="M232" s="13">
        <v>0</v>
      </c>
      <c r="N232" s="12">
        <v>0</v>
      </c>
      <c r="O232" s="12">
        <v>0</v>
      </c>
      <c r="P232" s="12">
        <v>0</v>
      </c>
      <c r="Q232" s="14">
        <v>0</v>
      </c>
      <c r="R232" s="15">
        <v>739116.13</v>
      </c>
      <c r="S232" s="16">
        <v>739116.13</v>
      </c>
      <c r="T232" s="15">
        <v>431167.13</v>
      </c>
      <c r="U232" s="16">
        <v>0</v>
      </c>
      <c r="V232" s="15">
        <v>307949</v>
      </c>
      <c r="W232" s="16">
        <v>0</v>
      </c>
      <c r="X232" s="15">
        <v>0</v>
      </c>
      <c r="Y232" s="16">
        <v>0</v>
      </c>
      <c r="Z232" s="15">
        <v>0</v>
      </c>
      <c r="AA232" s="16">
        <v>0</v>
      </c>
      <c r="AB232" s="15">
        <v>0</v>
      </c>
      <c r="AC232" s="16">
        <v>0</v>
      </c>
      <c r="AD232" s="15">
        <v>0</v>
      </c>
      <c r="AE232" s="16">
        <v>0</v>
      </c>
      <c r="AF232" s="15">
        <v>0</v>
      </c>
      <c r="AG232" s="16">
        <v>0</v>
      </c>
      <c r="AH232" s="15">
        <v>0</v>
      </c>
      <c r="AI232" s="15" t="s">
        <v>718</v>
      </c>
      <c r="AJ232" s="14">
        <v>0.47677083333333337</v>
      </c>
      <c r="AK232" s="17">
        <v>43851</v>
      </c>
      <c r="AL232" s="18" t="s">
        <v>568</v>
      </c>
      <c r="AM232" s="14" t="s">
        <v>569</v>
      </c>
      <c r="AN232" s="14" t="s">
        <v>36</v>
      </c>
      <c r="AO232" s="14" t="s">
        <v>719</v>
      </c>
      <c r="AP232" s="14" t="s">
        <v>37</v>
      </c>
      <c r="AQ232" s="14" t="s">
        <v>184</v>
      </c>
      <c r="AR232" s="14" t="s">
        <v>4</v>
      </c>
      <c r="AS232" s="14">
        <v>0</v>
      </c>
      <c r="AT232" s="14">
        <v>0</v>
      </c>
      <c r="AU232" s="14">
        <v>0</v>
      </c>
      <c r="AV232" s="14">
        <v>0</v>
      </c>
      <c r="AW232" s="14"/>
      <c r="AX232" s="14"/>
      <c r="AY232" s="14"/>
      <c r="AZ232" s="14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  <c r="BL232" s="11"/>
      <c r="BM232" s="11"/>
      <c r="BN232" s="11"/>
    </row>
    <row r="233" spans="1:66" s="2" customFormat="1" ht="12" customHeight="1" x14ac:dyDescent="0.25">
      <c r="A233" s="9">
        <f t="shared" si="3"/>
        <v>1</v>
      </c>
      <c r="B233" s="6"/>
      <c r="C233" s="6"/>
      <c r="D233" s="24"/>
      <c r="E233" s="12" t="s">
        <v>38</v>
      </c>
      <c r="F233" s="25">
        <v>0</v>
      </c>
      <c r="G233" s="12" t="s">
        <v>720</v>
      </c>
      <c r="H233" s="12">
        <v>0</v>
      </c>
      <c r="I233" s="12">
        <v>0</v>
      </c>
      <c r="J233" s="12">
        <v>0</v>
      </c>
      <c r="K233" s="12">
        <v>0</v>
      </c>
      <c r="L233" s="13">
        <v>0</v>
      </c>
      <c r="M233" s="13">
        <v>0</v>
      </c>
      <c r="N233" s="12">
        <v>0</v>
      </c>
      <c r="O233" s="12">
        <v>0</v>
      </c>
      <c r="P233" s="12">
        <v>0</v>
      </c>
      <c r="Q233" s="14">
        <v>0</v>
      </c>
      <c r="R233" s="15">
        <v>787926.22000000009</v>
      </c>
      <c r="S233" s="16">
        <v>787926.22000000009</v>
      </c>
      <c r="T233" s="15">
        <v>490096.90000000008</v>
      </c>
      <c r="U233" s="16">
        <v>0</v>
      </c>
      <c r="V233" s="15">
        <v>297829.32</v>
      </c>
      <c r="W233" s="16">
        <v>0</v>
      </c>
      <c r="X233" s="15">
        <v>0</v>
      </c>
      <c r="Y233" s="16">
        <v>0</v>
      </c>
      <c r="Z233" s="15">
        <v>0</v>
      </c>
      <c r="AA233" s="16">
        <v>0</v>
      </c>
      <c r="AB233" s="15">
        <v>0</v>
      </c>
      <c r="AC233" s="16">
        <v>0</v>
      </c>
      <c r="AD233" s="15">
        <v>0</v>
      </c>
      <c r="AE233" s="16">
        <v>0</v>
      </c>
      <c r="AF233" s="15">
        <v>0</v>
      </c>
      <c r="AG233" s="16">
        <v>0</v>
      </c>
      <c r="AH233" s="15">
        <v>0</v>
      </c>
      <c r="AI233" s="15" t="s">
        <v>721</v>
      </c>
      <c r="AJ233" s="14">
        <v>0.70185185185185184</v>
      </c>
      <c r="AK233" s="17">
        <v>43857</v>
      </c>
      <c r="AL233" s="18" t="s">
        <v>291</v>
      </c>
      <c r="AM233" s="14" t="s">
        <v>292</v>
      </c>
      <c r="AN233" s="14" t="s">
        <v>36</v>
      </c>
      <c r="AO233" s="14" t="s">
        <v>722</v>
      </c>
      <c r="AP233" s="14" t="s">
        <v>37</v>
      </c>
      <c r="AQ233" s="14" t="s">
        <v>184</v>
      </c>
      <c r="AR233" s="14" t="s">
        <v>4</v>
      </c>
      <c r="AS233" s="14">
        <v>0</v>
      </c>
      <c r="AT233" s="14">
        <v>0</v>
      </c>
      <c r="AU233" s="14">
        <v>0</v>
      </c>
      <c r="AV233" s="14">
        <v>0</v>
      </c>
      <c r="AW233" s="14"/>
      <c r="AX233" s="14"/>
      <c r="AY233" s="14"/>
      <c r="AZ233" s="14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  <c r="BL233" s="11"/>
      <c r="BM233" s="11"/>
      <c r="BN233" s="11"/>
    </row>
    <row r="234" spans="1:66" s="2" customFormat="1" ht="12" customHeight="1" x14ac:dyDescent="0.25">
      <c r="A234" s="9">
        <f t="shared" si="3"/>
        <v>1</v>
      </c>
      <c r="B234" s="6"/>
      <c r="C234" s="6"/>
      <c r="D234" s="24"/>
      <c r="E234" s="12" t="s">
        <v>38</v>
      </c>
      <c r="F234" s="25">
        <v>0</v>
      </c>
      <c r="G234" s="12" t="s">
        <v>723</v>
      </c>
      <c r="H234" s="12">
        <v>0</v>
      </c>
      <c r="I234" s="12">
        <v>0</v>
      </c>
      <c r="J234" s="12">
        <v>0</v>
      </c>
      <c r="K234" s="12">
        <v>0</v>
      </c>
      <c r="L234" s="13">
        <v>0</v>
      </c>
      <c r="M234" s="13">
        <v>0</v>
      </c>
      <c r="N234" s="12">
        <v>0</v>
      </c>
      <c r="O234" s="12">
        <v>0</v>
      </c>
      <c r="P234" s="12">
        <v>0</v>
      </c>
      <c r="Q234" s="14">
        <v>0</v>
      </c>
      <c r="R234" s="15">
        <v>708522.59000000008</v>
      </c>
      <c r="S234" s="16">
        <v>708522.59000000008</v>
      </c>
      <c r="T234" s="15">
        <v>412748.27</v>
      </c>
      <c r="U234" s="16">
        <v>0</v>
      </c>
      <c r="V234" s="15">
        <v>295774.32</v>
      </c>
      <c r="W234" s="16">
        <v>0</v>
      </c>
      <c r="X234" s="15">
        <v>0</v>
      </c>
      <c r="Y234" s="16">
        <v>0</v>
      </c>
      <c r="Z234" s="15">
        <v>0</v>
      </c>
      <c r="AA234" s="16">
        <v>0</v>
      </c>
      <c r="AB234" s="15">
        <v>0</v>
      </c>
      <c r="AC234" s="16">
        <v>0</v>
      </c>
      <c r="AD234" s="15">
        <v>0</v>
      </c>
      <c r="AE234" s="16">
        <v>0</v>
      </c>
      <c r="AF234" s="15">
        <v>0</v>
      </c>
      <c r="AG234" s="16">
        <v>0</v>
      </c>
      <c r="AH234" s="15">
        <v>0</v>
      </c>
      <c r="AI234" s="15" t="s">
        <v>724</v>
      </c>
      <c r="AJ234" s="14">
        <v>0.42195601851851849</v>
      </c>
      <c r="AK234" s="17">
        <v>43857</v>
      </c>
      <c r="AL234" s="18" t="s">
        <v>291</v>
      </c>
      <c r="AM234" s="14" t="s">
        <v>292</v>
      </c>
      <c r="AN234" s="14" t="s">
        <v>36</v>
      </c>
      <c r="AO234" s="14" t="s">
        <v>725</v>
      </c>
      <c r="AP234" s="14" t="s">
        <v>37</v>
      </c>
      <c r="AQ234" s="14" t="s">
        <v>184</v>
      </c>
      <c r="AR234" s="14" t="s">
        <v>4</v>
      </c>
      <c r="AS234" s="14">
        <v>0</v>
      </c>
      <c r="AT234" s="14">
        <v>0</v>
      </c>
      <c r="AU234" s="14">
        <v>0</v>
      </c>
      <c r="AV234" s="14">
        <v>0</v>
      </c>
      <c r="AW234" s="14"/>
      <c r="AX234" s="14"/>
      <c r="AY234" s="14"/>
      <c r="AZ234" s="14"/>
      <c r="BA234" s="11"/>
      <c r="BB234" s="11"/>
      <c r="BC234" s="11"/>
      <c r="BD234" s="11"/>
      <c r="BE234" s="11"/>
      <c r="BF234" s="11"/>
      <c r="BG234" s="11"/>
      <c r="BH234" s="11"/>
      <c r="BI234" s="11"/>
      <c r="BJ234" s="11"/>
      <c r="BK234" s="11"/>
      <c r="BL234" s="11"/>
      <c r="BM234" s="11"/>
      <c r="BN234" s="11"/>
    </row>
    <row r="235" spans="1:66" s="2" customFormat="1" ht="12" customHeight="1" x14ac:dyDescent="0.25">
      <c r="A235" s="9">
        <f t="shared" si="3"/>
        <v>1</v>
      </c>
      <c r="B235" s="6"/>
      <c r="C235" s="6"/>
      <c r="D235" s="24"/>
      <c r="E235" s="12" t="s">
        <v>38</v>
      </c>
      <c r="F235" s="25">
        <v>0</v>
      </c>
      <c r="G235" s="12" t="s">
        <v>726</v>
      </c>
      <c r="H235" s="12">
        <v>0</v>
      </c>
      <c r="I235" s="12">
        <v>0</v>
      </c>
      <c r="J235" s="12">
        <v>0</v>
      </c>
      <c r="K235" s="12">
        <v>0</v>
      </c>
      <c r="L235" s="13">
        <v>0</v>
      </c>
      <c r="M235" s="13">
        <v>0</v>
      </c>
      <c r="N235" s="12">
        <v>0</v>
      </c>
      <c r="O235" s="12">
        <v>0</v>
      </c>
      <c r="P235" s="12">
        <v>0</v>
      </c>
      <c r="Q235" s="14">
        <v>0</v>
      </c>
      <c r="R235" s="15">
        <v>12606196.900000002</v>
      </c>
      <c r="S235" s="16">
        <v>12606196.900000002</v>
      </c>
      <c r="T235" s="15">
        <v>12606196.900000002</v>
      </c>
      <c r="U235" s="16">
        <v>0</v>
      </c>
      <c r="V235" s="15">
        <v>0</v>
      </c>
      <c r="W235" s="16">
        <v>0</v>
      </c>
      <c r="X235" s="15">
        <v>0</v>
      </c>
      <c r="Y235" s="16">
        <v>0</v>
      </c>
      <c r="Z235" s="15">
        <v>0</v>
      </c>
      <c r="AA235" s="16">
        <v>0</v>
      </c>
      <c r="AB235" s="15">
        <v>0</v>
      </c>
      <c r="AC235" s="16">
        <v>0</v>
      </c>
      <c r="AD235" s="15">
        <v>0</v>
      </c>
      <c r="AE235" s="16">
        <v>0</v>
      </c>
      <c r="AF235" s="15">
        <v>0</v>
      </c>
      <c r="AG235" s="16">
        <v>0</v>
      </c>
      <c r="AH235" s="15">
        <v>0</v>
      </c>
      <c r="AI235" s="15" t="s">
        <v>727</v>
      </c>
      <c r="AJ235" s="14">
        <v>0.62785879629629626</v>
      </c>
      <c r="AK235" s="17">
        <v>43860</v>
      </c>
      <c r="AL235" s="18" t="s">
        <v>291</v>
      </c>
      <c r="AM235" s="14" t="s">
        <v>292</v>
      </c>
      <c r="AN235" s="14" t="s">
        <v>36</v>
      </c>
      <c r="AO235" s="14" t="s">
        <v>728</v>
      </c>
      <c r="AP235" s="14" t="s">
        <v>37</v>
      </c>
      <c r="AQ235" s="14" t="s">
        <v>184</v>
      </c>
      <c r="AR235" s="14" t="s">
        <v>4</v>
      </c>
      <c r="AS235" s="14">
        <v>0</v>
      </c>
      <c r="AT235" s="14">
        <v>0</v>
      </c>
      <c r="AU235" s="14">
        <v>0</v>
      </c>
      <c r="AV235" s="14">
        <v>0</v>
      </c>
      <c r="AW235" s="14"/>
      <c r="AX235" s="14"/>
      <c r="AY235" s="14"/>
      <c r="AZ235" s="14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  <c r="BL235" s="11"/>
      <c r="BM235" s="11"/>
      <c r="BN235" s="11"/>
    </row>
    <row r="236" spans="1:66" s="2" customFormat="1" ht="12" customHeight="1" x14ac:dyDescent="0.25">
      <c r="A236" s="9">
        <f t="shared" si="3"/>
        <v>1</v>
      </c>
      <c r="B236" s="6"/>
      <c r="C236" s="6"/>
      <c r="D236" s="24"/>
      <c r="E236" s="12" t="s">
        <v>38</v>
      </c>
      <c r="F236" s="25">
        <v>0</v>
      </c>
      <c r="G236" s="12" t="s">
        <v>729</v>
      </c>
      <c r="H236" s="12">
        <v>0</v>
      </c>
      <c r="I236" s="12">
        <v>0</v>
      </c>
      <c r="J236" s="12">
        <v>0</v>
      </c>
      <c r="K236" s="12">
        <v>0</v>
      </c>
      <c r="L236" s="13">
        <v>0</v>
      </c>
      <c r="M236" s="13">
        <v>0</v>
      </c>
      <c r="N236" s="12">
        <v>0</v>
      </c>
      <c r="O236" s="12">
        <v>0</v>
      </c>
      <c r="P236" s="12">
        <v>0</v>
      </c>
      <c r="Q236" s="14">
        <v>0</v>
      </c>
      <c r="R236" s="15">
        <v>5931556.5099999998</v>
      </c>
      <c r="S236" s="16">
        <v>5931556.5099999998</v>
      </c>
      <c r="T236" s="15">
        <v>5931556.5099999998</v>
      </c>
      <c r="U236" s="16">
        <v>0</v>
      </c>
      <c r="V236" s="15">
        <v>0</v>
      </c>
      <c r="W236" s="16">
        <v>0</v>
      </c>
      <c r="X236" s="15">
        <v>0</v>
      </c>
      <c r="Y236" s="16">
        <v>0</v>
      </c>
      <c r="Z236" s="15">
        <v>0</v>
      </c>
      <c r="AA236" s="16">
        <v>0</v>
      </c>
      <c r="AB236" s="15">
        <v>0</v>
      </c>
      <c r="AC236" s="16">
        <v>0</v>
      </c>
      <c r="AD236" s="15">
        <v>0</v>
      </c>
      <c r="AE236" s="16">
        <v>0</v>
      </c>
      <c r="AF236" s="15">
        <v>0</v>
      </c>
      <c r="AG236" s="16">
        <v>0</v>
      </c>
      <c r="AH236" s="15">
        <v>0</v>
      </c>
      <c r="AI236" s="15" t="s">
        <v>730</v>
      </c>
      <c r="AJ236" s="14">
        <v>0.49407407407407411</v>
      </c>
      <c r="AK236" s="17">
        <v>44230</v>
      </c>
      <c r="AL236" s="18" t="s">
        <v>291</v>
      </c>
      <c r="AM236" s="14" t="s">
        <v>292</v>
      </c>
      <c r="AN236" s="14" t="s">
        <v>36</v>
      </c>
      <c r="AO236" s="14" t="s">
        <v>731</v>
      </c>
      <c r="AP236" s="14" t="s">
        <v>37</v>
      </c>
      <c r="AQ236" s="14" t="s">
        <v>184</v>
      </c>
      <c r="AR236" s="14" t="s">
        <v>4</v>
      </c>
      <c r="AS236" s="14">
        <v>0</v>
      </c>
      <c r="AT236" s="14">
        <v>0</v>
      </c>
      <c r="AU236" s="14">
        <v>0</v>
      </c>
      <c r="AV236" s="14">
        <v>0</v>
      </c>
      <c r="AW236" s="14"/>
      <c r="AX236" s="14"/>
      <c r="AY236" s="14"/>
      <c r="AZ236" s="14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</row>
    <row r="237" spans="1:66" s="2" customFormat="1" ht="12" customHeight="1" x14ac:dyDescent="0.25">
      <c r="A237" s="9">
        <f t="shared" si="3"/>
        <v>1</v>
      </c>
      <c r="B237" s="6"/>
      <c r="C237" s="6"/>
      <c r="D237" s="24"/>
      <c r="E237" s="12" t="s">
        <v>38</v>
      </c>
      <c r="F237" s="25">
        <v>0</v>
      </c>
      <c r="G237" s="12" t="s">
        <v>732</v>
      </c>
      <c r="H237" s="12">
        <v>0</v>
      </c>
      <c r="I237" s="12">
        <v>0</v>
      </c>
      <c r="J237" s="12">
        <v>0</v>
      </c>
      <c r="K237" s="12">
        <v>0</v>
      </c>
      <c r="L237" s="13">
        <v>0</v>
      </c>
      <c r="M237" s="13">
        <v>0</v>
      </c>
      <c r="N237" s="12">
        <v>0</v>
      </c>
      <c r="O237" s="12">
        <v>0</v>
      </c>
      <c r="P237" s="12">
        <v>0</v>
      </c>
      <c r="Q237" s="14">
        <v>0</v>
      </c>
      <c r="R237" s="15">
        <v>1385803.3893150003</v>
      </c>
      <c r="S237" s="16">
        <v>1385803.3893150003</v>
      </c>
      <c r="T237" s="15">
        <v>623893.85</v>
      </c>
      <c r="U237" s="16">
        <v>0</v>
      </c>
      <c r="V237" s="15">
        <v>548150</v>
      </c>
      <c r="W237" s="16">
        <v>0</v>
      </c>
      <c r="X237" s="15">
        <v>84729.00450000001</v>
      </c>
      <c r="Y237" s="16">
        <v>0</v>
      </c>
      <c r="Z237" s="15">
        <v>38370.500000000007</v>
      </c>
      <c r="AA237" s="16">
        <v>0</v>
      </c>
      <c r="AB237" s="15">
        <v>90660.034815000021</v>
      </c>
      <c r="AC237" s="16">
        <v>0</v>
      </c>
      <c r="AD237" s="15">
        <v>0</v>
      </c>
      <c r="AE237" s="16">
        <v>0</v>
      </c>
      <c r="AF237" s="15">
        <v>0</v>
      </c>
      <c r="AG237" s="16">
        <v>0</v>
      </c>
      <c r="AH237" s="15">
        <v>0</v>
      </c>
      <c r="AI237" s="15" t="s">
        <v>733</v>
      </c>
      <c r="AJ237" s="14">
        <v>0.57640046296296299</v>
      </c>
      <c r="AK237" s="17">
        <v>43861</v>
      </c>
      <c r="AL237" s="18" t="s">
        <v>291</v>
      </c>
      <c r="AM237" s="14" t="s">
        <v>292</v>
      </c>
      <c r="AN237" s="14" t="s">
        <v>36</v>
      </c>
      <c r="AO237" s="14" t="s">
        <v>734</v>
      </c>
      <c r="AP237" s="14" t="s">
        <v>37</v>
      </c>
      <c r="AQ237" s="14" t="s">
        <v>184</v>
      </c>
      <c r="AR237" s="14" t="s">
        <v>4</v>
      </c>
      <c r="AS237" s="14">
        <v>0</v>
      </c>
      <c r="AT237" s="14">
        <v>0</v>
      </c>
      <c r="AU237" s="14">
        <v>0</v>
      </c>
      <c r="AV237" s="14">
        <v>0</v>
      </c>
      <c r="AW237" s="14"/>
      <c r="AX237" s="14"/>
      <c r="AY237" s="14"/>
      <c r="AZ237" s="14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</row>
    <row r="238" spans="1:66" s="2" customFormat="1" ht="12" customHeight="1" x14ac:dyDescent="0.25">
      <c r="A238" s="9">
        <f t="shared" si="3"/>
        <v>1</v>
      </c>
      <c r="B238" s="6"/>
      <c r="C238" s="6"/>
      <c r="D238" s="24"/>
      <c r="E238" s="12" t="s">
        <v>38</v>
      </c>
      <c r="F238" s="25">
        <v>0</v>
      </c>
      <c r="G238" s="12" t="s">
        <v>735</v>
      </c>
      <c r="H238" s="12">
        <v>0</v>
      </c>
      <c r="I238" s="12">
        <v>0</v>
      </c>
      <c r="J238" s="12">
        <v>0</v>
      </c>
      <c r="K238" s="12">
        <v>0</v>
      </c>
      <c r="L238" s="13">
        <v>0</v>
      </c>
      <c r="M238" s="13">
        <v>0</v>
      </c>
      <c r="N238" s="12">
        <v>0</v>
      </c>
      <c r="O238" s="12">
        <v>0</v>
      </c>
      <c r="P238" s="12">
        <v>0</v>
      </c>
      <c r="Q238" s="14">
        <v>0</v>
      </c>
      <c r="R238" s="15">
        <v>778961.1399999999</v>
      </c>
      <c r="S238" s="16">
        <v>778961.1399999999</v>
      </c>
      <c r="T238" s="15">
        <v>481661.42</v>
      </c>
      <c r="U238" s="16">
        <v>0</v>
      </c>
      <c r="V238" s="15">
        <v>297299.71999999997</v>
      </c>
      <c r="W238" s="16">
        <v>0</v>
      </c>
      <c r="X238" s="15">
        <v>0</v>
      </c>
      <c r="Y238" s="16">
        <v>0</v>
      </c>
      <c r="Z238" s="15">
        <v>0</v>
      </c>
      <c r="AA238" s="16">
        <v>0</v>
      </c>
      <c r="AB238" s="15">
        <v>0</v>
      </c>
      <c r="AC238" s="16">
        <v>0</v>
      </c>
      <c r="AD238" s="15">
        <v>0</v>
      </c>
      <c r="AE238" s="16">
        <v>0</v>
      </c>
      <c r="AF238" s="15">
        <v>0</v>
      </c>
      <c r="AG238" s="16">
        <v>0</v>
      </c>
      <c r="AH238" s="15">
        <v>0</v>
      </c>
      <c r="AI238" s="15" t="s">
        <v>736</v>
      </c>
      <c r="AJ238" s="14">
        <v>0.39858796296296295</v>
      </c>
      <c r="AK238" s="17">
        <v>43871</v>
      </c>
      <c r="AL238" s="18" t="s">
        <v>40</v>
      </c>
      <c r="AM238" s="14" t="s">
        <v>410</v>
      </c>
      <c r="AN238" s="14" t="s">
        <v>36</v>
      </c>
      <c r="AO238" s="14" t="s">
        <v>737</v>
      </c>
      <c r="AP238" s="14" t="s">
        <v>37</v>
      </c>
      <c r="AQ238" s="14" t="s">
        <v>184</v>
      </c>
      <c r="AR238" s="14" t="s">
        <v>4</v>
      </c>
      <c r="AS238" s="14">
        <v>0</v>
      </c>
      <c r="AT238" s="14">
        <v>0</v>
      </c>
      <c r="AU238" s="14">
        <v>0</v>
      </c>
      <c r="AV238" s="14">
        <v>0</v>
      </c>
      <c r="AW238" s="14"/>
      <c r="AX238" s="14"/>
      <c r="AY238" s="14"/>
      <c r="AZ238" s="14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</row>
    <row r="239" spans="1:66" s="2" customFormat="1" ht="12" customHeight="1" x14ac:dyDescent="0.25">
      <c r="A239" s="9">
        <f t="shared" si="3"/>
        <v>1</v>
      </c>
      <c r="B239" s="6"/>
      <c r="C239" s="6"/>
      <c r="D239" s="24"/>
      <c r="E239" s="12" t="s">
        <v>38</v>
      </c>
      <c r="F239" s="25">
        <v>0</v>
      </c>
      <c r="G239" s="12" t="s">
        <v>738</v>
      </c>
      <c r="H239" s="12">
        <v>0</v>
      </c>
      <c r="I239" s="12">
        <v>0</v>
      </c>
      <c r="J239" s="12">
        <v>0</v>
      </c>
      <c r="K239" s="12">
        <v>0</v>
      </c>
      <c r="L239" s="13">
        <v>0</v>
      </c>
      <c r="M239" s="13">
        <v>0</v>
      </c>
      <c r="N239" s="12">
        <v>0</v>
      </c>
      <c r="O239" s="12">
        <v>0</v>
      </c>
      <c r="P239" s="12">
        <v>0</v>
      </c>
      <c r="Q239" s="14">
        <v>0</v>
      </c>
      <c r="R239" s="15">
        <v>944276.21915800008</v>
      </c>
      <c r="S239" s="16">
        <v>944276.21915800008</v>
      </c>
      <c r="T239" s="15">
        <v>449609.37</v>
      </c>
      <c r="U239" s="16">
        <v>0</v>
      </c>
      <c r="V239" s="15">
        <v>350615</v>
      </c>
      <c r="W239" s="16">
        <v>0</v>
      </c>
      <c r="X239" s="15">
        <v>57733.719400000009</v>
      </c>
      <c r="Y239" s="16">
        <v>0</v>
      </c>
      <c r="Z239" s="15">
        <v>24543.050000000003</v>
      </c>
      <c r="AA239" s="16">
        <v>0</v>
      </c>
      <c r="AB239" s="15">
        <v>61775.079758000014</v>
      </c>
      <c r="AC239" s="16">
        <v>0</v>
      </c>
      <c r="AD239" s="15">
        <v>0</v>
      </c>
      <c r="AE239" s="16">
        <v>0</v>
      </c>
      <c r="AF239" s="15">
        <v>0</v>
      </c>
      <c r="AG239" s="16">
        <v>0</v>
      </c>
      <c r="AH239" s="15">
        <v>0</v>
      </c>
      <c r="AI239" s="15" t="s">
        <v>739</v>
      </c>
      <c r="AJ239" s="14">
        <v>0.50104166666666672</v>
      </c>
      <c r="AK239" s="17">
        <v>43901</v>
      </c>
      <c r="AL239" s="18" t="s">
        <v>291</v>
      </c>
      <c r="AM239" s="14" t="s">
        <v>292</v>
      </c>
      <c r="AN239" s="14" t="s">
        <v>36</v>
      </c>
      <c r="AO239" s="14" t="s">
        <v>740</v>
      </c>
      <c r="AP239" s="14" t="s">
        <v>37</v>
      </c>
      <c r="AQ239" s="14" t="s">
        <v>184</v>
      </c>
      <c r="AR239" s="14" t="s">
        <v>4</v>
      </c>
      <c r="AS239" s="14">
        <v>0</v>
      </c>
      <c r="AT239" s="14">
        <v>0</v>
      </c>
      <c r="AU239" s="14">
        <v>0</v>
      </c>
      <c r="AV239" s="14">
        <v>0</v>
      </c>
      <c r="AW239" s="14"/>
      <c r="AX239" s="14"/>
      <c r="AY239" s="14"/>
      <c r="AZ239" s="14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</row>
    <row r="240" spans="1:66" s="2" customFormat="1" ht="12" customHeight="1" x14ac:dyDescent="0.25">
      <c r="A240" s="9">
        <f t="shared" si="3"/>
        <v>1</v>
      </c>
      <c r="B240" s="6"/>
      <c r="C240" s="6"/>
      <c r="D240" s="24"/>
      <c r="E240" s="12" t="s">
        <v>38</v>
      </c>
      <c r="F240" s="25">
        <v>0</v>
      </c>
      <c r="G240" s="12" t="s">
        <v>741</v>
      </c>
      <c r="H240" s="12">
        <v>0</v>
      </c>
      <c r="I240" s="12">
        <v>0</v>
      </c>
      <c r="J240" s="12">
        <v>0</v>
      </c>
      <c r="K240" s="12">
        <v>0</v>
      </c>
      <c r="L240" s="13">
        <v>0</v>
      </c>
      <c r="M240" s="13">
        <v>0</v>
      </c>
      <c r="N240" s="12">
        <v>0</v>
      </c>
      <c r="O240" s="12">
        <v>0</v>
      </c>
      <c r="P240" s="12">
        <v>0</v>
      </c>
      <c r="Q240" s="14">
        <v>0</v>
      </c>
      <c r="R240" s="15">
        <v>380314.94</v>
      </c>
      <c r="S240" s="16">
        <v>380314.94</v>
      </c>
      <c r="T240" s="15">
        <v>380314.94</v>
      </c>
      <c r="U240" s="16">
        <v>0</v>
      </c>
      <c r="V240" s="15">
        <v>0</v>
      </c>
      <c r="W240" s="16">
        <v>0</v>
      </c>
      <c r="X240" s="15">
        <v>0</v>
      </c>
      <c r="Y240" s="16">
        <v>0</v>
      </c>
      <c r="Z240" s="15">
        <v>0</v>
      </c>
      <c r="AA240" s="16">
        <v>0</v>
      </c>
      <c r="AB240" s="15">
        <v>0</v>
      </c>
      <c r="AC240" s="16">
        <v>0</v>
      </c>
      <c r="AD240" s="15">
        <v>0</v>
      </c>
      <c r="AE240" s="16">
        <v>0</v>
      </c>
      <c r="AF240" s="15">
        <v>0</v>
      </c>
      <c r="AG240" s="16">
        <v>0</v>
      </c>
      <c r="AH240" s="15">
        <v>0</v>
      </c>
      <c r="AI240" s="15" t="s">
        <v>742</v>
      </c>
      <c r="AJ240" s="14">
        <v>0.36052083333333335</v>
      </c>
      <c r="AK240" s="17">
        <v>43879</v>
      </c>
      <c r="AL240" s="18" t="s">
        <v>291</v>
      </c>
      <c r="AM240" s="14" t="s">
        <v>292</v>
      </c>
      <c r="AN240" s="14" t="s">
        <v>36</v>
      </c>
      <c r="AO240" s="14" t="s">
        <v>743</v>
      </c>
      <c r="AP240" s="14" t="s">
        <v>37</v>
      </c>
      <c r="AQ240" s="14" t="s">
        <v>184</v>
      </c>
      <c r="AR240" s="14" t="s">
        <v>4</v>
      </c>
      <c r="AS240" s="14">
        <v>0</v>
      </c>
      <c r="AT240" s="14">
        <v>0</v>
      </c>
      <c r="AU240" s="14">
        <v>0</v>
      </c>
      <c r="AV240" s="14">
        <v>0</v>
      </c>
      <c r="AW240" s="14"/>
      <c r="AX240" s="14"/>
      <c r="AY240" s="14"/>
      <c r="AZ240" s="14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</row>
    <row r="241" spans="1:66" s="2" customFormat="1" ht="12" customHeight="1" x14ac:dyDescent="0.25">
      <c r="A241" s="9">
        <f t="shared" si="3"/>
        <v>1</v>
      </c>
      <c r="B241" s="6"/>
      <c r="C241" s="6"/>
      <c r="D241" s="24"/>
      <c r="E241" s="12" t="s">
        <v>38</v>
      </c>
      <c r="F241" s="25">
        <v>0</v>
      </c>
      <c r="G241" s="12" t="s">
        <v>744</v>
      </c>
      <c r="H241" s="12">
        <v>0</v>
      </c>
      <c r="I241" s="12">
        <v>0</v>
      </c>
      <c r="J241" s="12">
        <v>0</v>
      </c>
      <c r="K241" s="12">
        <v>0</v>
      </c>
      <c r="L241" s="13">
        <v>0</v>
      </c>
      <c r="M241" s="13">
        <v>0</v>
      </c>
      <c r="N241" s="12">
        <v>0</v>
      </c>
      <c r="O241" s="12">
        <v>0</v>
      </c>
      <c r="P241" s="12">
        <v>0</v>
      </c>
      <c r="Q241" s="14">
        <v>0</v>
      </c>
      <c r="R241" s="15">
        <v>4753695.0099999988</v>
      </c>
      <c r="S241" s="16">
        <v>4753695.0099999988</v>
      </c>
      <c r="T241" s="15">
        <v>4753695.0099999988</v>
      </c>
      <c r="U241" s="16">
        <v>0</v>
      </c>
      <c r="V241" s="15">
        <v>0</v>
      </c>
      <c r="W241" s="16">
        <v>0</v>
      </c>
      <c r="X241" s="15">
        <v>0</v>
      </c>
      <c r="Y241" s="16">
        <v>0</v>
      </c>
      <c r="Z241" s="15">
        <v>0</v>
      </c>
      <c r="AA241" s="16">
        <v>0</v>
      </c>
      <c r="AB241" s="15">
        <v>0</v>
      </c>
      <c r="AC241" s="16">
        <v>0</v>
      </c>
      <c r="AD241" s="15">
        <v>0</v>
      </c>
      <c r="AE241" s="16">
        <v>0</v>
      </c>
      <c r="AF241" s="15">
        <v>0</v>
      </c>
      <c r="AG241" s="16">
        <v>0</v>
      </c>
      <c r="AH241" s="15">
        <v>0</v>
      </c>
      <c r="AI241" s="15" t="s">
        <v>745</v>
      </c>
      <c r="AJ241" s="14">
        <v>0.65203703703703708</v>
      </c>
      <c r="AK241" s="17">
        <v>43881</v>
      </c>
      <c r="AL241" s="18" t="s">
        <v>291</v>
      </c>
      <c r="AM241" s="14" t="s">
        <v>292</v>
      </c>
      <c r="AN241" s="14" t="s">
        <v>36</v>
      </c>
      <c r="AO241" s="14" t="s">
        <v>746</v>
      </c>
      <c r="AP241" s="14" t="s">
        <v>37</v>
      </c>
      <c r="AQ241" s="14" t="s">
        <v>184</v>
      </c>
      <c r="AR241" s="14" t="s">
        <v>4</v>
      </c>
      <c r="AS241" s="14">
        <v>0</v>
      </c>
      <c r="AT241" s="14">
        <v>0</v>
      </c>
      <c r="AU241" s="14">
        <v>0</v>
      </c>
      <c r="AV241" s="14">
        <v>0</v>
      </c>
      <c r="AW241" s="14"/>
      <c r="AX241" s="14"/>
      <c r="AY241" s="14"/>
      <c r="AZ241" s="14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  <c r="BL241" s="11"/>
      <c r="BM241" s="11"/>
      <c r="BN241" s="11"/>
    </row>
    <row r="242" spans="1:66" s="2" customFormat="1" ht="12" customHeight="1" x14ac:dyDescent="0.25">
      <c r="A242" s="9">
        <f t="shared" si="3"/>
        <v>1</v>
      </c>
      <c r="B242" s="6"/>
      <c r="C242" s="6"/>
      <c r="D242" s="24"/>
      <c r="E242" s="12" t="s">
        <v>38</v>
      </c>
      <c r="F242" s="25">
        <v>0</v>
      </c>
      <c r="G242" s="12" t="s">
        <v>747</v>
      </c>
      <c r="H242" s="12">
        <v>0</v>
      </c>
      <c r="I242" s="12">
        <v>0</v>
      </c>
      <c r="J242" s="12">
        <v>0</v>
      </c>
      <c r="K242" s="12">
        <v>0</v>
      </c>
      <c r="L242" s="13">
        <v>0</v>
      </c>
      <c r="M242" s="13">
        <v>0</v>
      </c>
      <c r="N242" s="12">
        <v>0</v>
      </c>
      <c r="O242" s="12">
        <v>0</v>
      </c>
      <c r="P242" s="12">
        <v>0</v>
      </c>
      <c r="Q242" s="14">
        <v>0</v>
      </c>
      <c r="R242" s="15">
        <v>270904.61224199994</v>
      </c>
      <c r="S242" s="16">
        <v>270904.61224199994</v>
      </c>
      <c r="T242" s="15">
        <v>102504.78</v>
      </c>
      <c r="U242" s="16">
        <v>0</v>
      </c>
      <c r="V242" s="15">
        <v>125340</v>
      </c>
      <c r="W242" s="16">
        <v>0</v>
      </c>
      <c r="X242" s="15">
        <v>16563.300600000002</v>
      </c>
      <c r="Y242" s="16">
        <v>0</v>
      </c>
      <c r="Z242" s="15">
        <v>8773.8000000000011</v>
      </c>
      <c r="AA242" s="16">
        <v>0</v>
      </c>
      <c r="AB242" s="15">
        <v>17722.731641999999</v>
      </c>
      <c r="AC242" s="16">
        <v>0</v>
      </c>
      <c r="AD242" s="15">
        <v>0</v>
      </c>
      <c r="AE242" s="16">
        <v>0</v>
      </c>
      <c r="AF242" s="15">
        <v>0</v>
      </c>
      <c r="AG242" s="16">
        <v>0</v>
      </c>
      <c r="AH242" s="15">
        <v>0</v>
      </c>
      <c r="AI242" s="15" t="s">
        <v>748</v>
      </c>
      <c r="AJ242" s="14">
        <v>0.62314814814814812</v>
      </c>
      <c r="AK242" s="17">
        <v>43894</v>
      </c>
      <c r="AL242" s="18" t="s">
        <v>291</v>
      </c>
      <c r="AM242" s="14" t="s">
        <v>292</v>
      </c>
      <c r="AN242" s="14" t="s">
        <v>36</v>
      </c>
      <c r="AO242" s="14" t="s">
        <v>749</v>
      </c>
      <c r="AP242" s="14" t="s">
        <v>37</v>
      </c>
      <c r="AQ242" s="14" t="s">
        <v>184</v>
      </c>
      <c r="AR242" s="14" t="s">
        <v>4</v>
      </c>
      <c r="AS242" s="14">
        <v>0</v>
      </c>
      <c r="AT242" s="14">
        <v>0</v>
      </c>
      <c r="AU242" s="14">
        <v>0</v>
      </c>
      <c r="AV242" s="14">
        <v>0</v>
      </c>
      <c r="AW242" s="14"/>
      <c r="AX242" s="14"/>
      <c r="AY242" s="14"/>
      <c r="AZ242" s="14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</row>
    <row r="243" spans="1:66" s="2" customFormat="1" ht="12" customHeight="1" x14ac:dyDescent="0.25">
      <c r="A243" s="9">
        <f t="shared" si="3"/>
        <v>1</v>
      </c>
      <c r="B243" s="6"/>
      <c r="C243" s="6"/>
      <c r="D243" s="24"/>
      <c r="E243" s="12" t="s">
        <v>38</v>
      </c>
      <c r="F243" s="25">
        <v>0</v>
      </c>
      <c r="G243" s="12" t="s">
        <v>750</v>
      </c>
      <c r="H243" s="12">
        <v>0</v>
      </c>
      <c r="I243" s="12">
        <v>0</v>
      </c>
      <c r="J243" s="12">
        <v>0</v>
      </c>
      <c r="K243" s="12">
        <v>0</v>
      </c>
      <c r="L243" s="13">
        <v>0</v>
      </c>
      <c r="M243" s="13">
        <v>0</v>
      </c>
      <c r="N243" s="12">
        <v>0</v>
      </c>
      <c r="O243" s="12">
        <v>0</v>
      </c>
      <c r="P243" s="12">
        <v>0</v>
      </c>
      <c r="Q243" s="14">
        <v>0</v>
      </c>
      <c r="R243" s="15">
        <v>29801.090000000004</v>
      </c>
      <c r="S243" s="16">
        <v>29801.090000000004</v>
      </c>
      <c r="T243" s="15">
        <v>16975.010000000002</v>
      </c>
      <c r="U243" s="16">
        <v>0</v>
      </c>
      <c r="V243" s="15">
        <v>12826.08</v>
      </c>
      <c r="W243" s="16">
        <v>0</v>
      </c>
      <c r="X243" s="15">
        <v>0</v>
      </c>
      <c r="Y243" s="16">
        <v>0</v>
      </c>
      <c r="Z243" s="15">
        <v>0</v>
      </c>
      <c r="AA243" s="16">
        <v>0</v>
      </c>
      <c r="AB243" s="15">
        <v>0</v>
      </c>
      <c r="AC243" s="16">
        <v>0</v>
      </c>
      <c r="AD243" s="15">
        <v>0</v>
      </c>
      <c r="AE243" s="16">
        <v>0</v>
      </c>
      <c r="AF243" s="15">
        <v>0</v>
      </c>
      <c r="AG243" s="16">
        <v>0</v>
      </c>
      <c r="AH243" s="15">
        <v>0</v>
      </c>
      <c r="AI243" s="15" t="s">
        <v>751</v>
      </c>
      <c r="AJ243" s="14">
        <v>0.37640046296296298</v>
      </c>
      <c r="AK243" s="17">
        <v>43880</v>
      </c>
      <c r="AL243" s="18" t="s">
        <v>40</v>
      </c>
      <c r="AM243" s="14" t="s">
        <v>410</v>
      </c>
      <c r="AN243" s="14" t="s">
        <v>36</v>
      </c>
      <c r="AO243" s="14" t="s">
        <v>752</v>
      </c>
      <c r="AP243" s="14" t="s">
        <v>37</v>
      </c>
      <c r="AQ243" s="14" t="s">
        <v>184</v>
      </c>
      <c r="AR243" s="14" t="s">
        <v>4</v>
      </c>
      <c r="AS243" s="14">
        <v>0</v>
      </c>
      <c r="AT243" s="14">
        <v>0</v>
      </c>
      <c r="AU243" s="14">
        <v>0</v>
      </c>
      <c r="AV243" s="14">
        <v>0</v>
      </c>
      <c r="AW243" s="14"/>
      <c r="AX243" s="14"/>
      <c r="AY243" s="14"/>
      <c r="AZ243" s="14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</row>
    <row r="244" spans="1:66" s="2" customFormat="1" ht="12" customHeight="1" x14ac:dyDescent="0.25">
      <c r="A244" s="9">
        <f t="shared" si="3"/>
        <v>1</v>
      </c>
      <c r="B244" s="6"/>
      <c r="C244" s="6"/>
      <c r="D244" s="24"/>
      <c r="E244" s="12" t="s">
        <v>38</v>
      </c>
      <c r="F244" s="25">
        <v>0</v>
      </c>
      <c r="G244" s="12" t="s">
        <v>753</v>
      </c>
      <c r="H244" s="12">
        <v>0</v>
      </c>
      <c r="I244" s="12">
        <v>0</v>
      </c>
      <c r="J244" s="12">
        <v>0</v>
      </c>
      <c r="K244" s="12">
        <v>0</v>
      </c>
      <c r="L244" s="13">
        <v>0</v>
      </c>
      <c r="M244" s="13">
        <v>0</v>
      </c>
      <c r="N244" s="12">
        <v>0</v>
      </c>
      <c r="O244" s="12">
        <v>0</v>
      </c>
      <c r="P244" s="12">
        <v>0</v>
      </c>
      <c r="Q244" s="14">
        <v>0</v>
      </c>
      <c r="R244" s="15" t="e">
        <v>#VALUE!</v>
      </c>
      <c r="S244" s="16" t="e">
        <v>#VALUE!</v>
      </c>
      <c r="T244" s="15" t="e">
        <v>#VALUE!</v>
      </c>
      <c r="U244" s="16">
        <v>0</v>
      </c>
      <c r="V244" s="15">
        <v>277500</v>
      </c>
      <c r="W244" s="16">
        <v>0</v>
      </c>
      <c r="X244" s="15" t="e">
        <v>#VALUE!</v>
      </c>
      <c r="Y244" s="16">
        <v>0</v>
      </c>
      <c r="Z244" s="15">
        <v>41625</v>
      </c>
      <c r="AA244" s="16">
        <v>0</v>
      </c>
      <c r="AB244" s="15" t="e">
        <v>#VALUE!</v>
      </c>
      <c r="AC244" s="16">
        <v>0</v>
      </c>
      <c r="AD244" s="15" t="e">
        <v>#VALUE!</v>
      </c>
      <c r="AE244" s="16">
        <v>0</v>
      </c>
      <c r="AF244" s="15" t="e">
        <v>#VALUE!</v>
      </c>
      <c r="AG244" s="16">
        <v>0</v>
      </c>
      <c r="AH244" s="15">
        <v>0</v>
      </c>
      <c r="AI244" s="15" t="s">
        <v>754</v>
      </c>
      <c r="AJ244" s="14">
        <v>0.48114583333333333</v>
      </c>
      <c r="AK244" s="17">
        <v>43880</v>
      </c>
      <c r="AL244" s="18" t="s">
        <v>40</v>
      </c>
      <c r="AM244" s="14" t="s">
        <v>410</v>
      </c>
      <c r="AN244" s="14" t="s">
        <v>36</v>
      </c>
      <c r="AO244" s="14" t="s">
        <v>755</v>
      </c>
      <c r="AP244" s="14" t="s">
        <v>37</v>
      </c>
      <c r="AQ244" s="14" t="s">
        <v>184</v>
      </c>
      <c r="AR244" s="14" t="s">
        <v>4</v>
      </c>
      <c r="AS244" s="14" t="e">
        <v>#VALUE!</v>
      </c>
      <c r="AT244" s="14">
        <v>0</v>
      </c>
      <c r="AU244" s="14" t="e">
        <v>#VALUE!</v>
      </c>
      <c r="AV244" s="14">
        <v>0</v>
      </c>
      <c r="AW244" s="14"/>
      <c r="AX244" s="14"/>
      <c r="AY244" s="14"/>
      <c r="AZ244" s="14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</row>
    <row r="245" spans="1:66" s="2" customFormat="1" ht="12" customHeight="1" x14ac:dyDescent="0.25">
      <c r="A245" s="9">
        <f t="shared" si="3"/>
        <v>1</v>
      </c>
      <c r="B245" s="6"/>
      <c r="C245" s="6"/>
      <c r="D245" s="24"/>
      <c r="E245" s="12" t="s">
        <v>38</v>
      </c>
      <c r="F245" s="25">
        <v>0</v>
      </c>
      <c r="G245" s="12" t="s">
        <v>756</v>
      </c>
      <c r="H245" s="12">
        <v>0</v>
      </c>
      <c r="I245" s="12">
        <v>0</v>
      </c>
      <c r="J245" s="12">
        <v>0</v>
      </c>
      <c r="K245" s="12">
        <v>0</v>
      </c>
      <c r="L245" s="13">
        <v>0</v>
      </c>
      <c r="M245" s="13">
        <v>0</v>
      </c>
      <c r="N245" s="12">
        <v>0</v>
      </c>
      <c r="O245" s="12">
        <v>0</v>
      </c>
      <c r="P245" s="12">
        <v>0</v>
      </c>
      <c r="Q245" s="14">
        <v>0</v>
      </c>
      <c r="R245" s="15">
        <v>632329.31000000006</v>
      </c>
      <c r="S245" s="16">
        <v>632329.31000000006</v>
      </c>
      <c r="T245" s="15">
        <v>391502.95</v>
      </c>
      <c r="U245" s="16">
        <v>0</v>
      </c>
      <c r="V245" s="15">
        <v>240826.36</v>
      </c>
      <c r="W245" s="16">
        <v>0</v>
      </c>
      <c r="X245" s="15">
        <v>0</v>
      </c>
      <c r="Y245" s="16">
        <v>0</v>
      </c>
      <c r="Z245" s="15">
        <v>0</v>
      </c>
      <c r="AA245" s="16">
        <v>0</v>
      </c>
      <c r="AB245" s="15">
        <v>0</v>
      </c>
      <c r="AC245" s="16">
        <v>0</v>
      </c>
      <c r="AD245" s="15">
        <v>0</v>
      </c>
      <c r="AE245" s="16">
        <v>0</v>
      </c>
      <c r="AF245" s="15">
        <v>0</v>
      </c>
      <c r="AG245" s="16">
        <v>0</v>
      </c>
      <c r="AH245" s="15">
        <v>0</v>
      </c>
      <c r="AI245" s="15" t="s">
        <v>757</v>
      </c>
      <c r="AJ245" s="14">
        <v>0.65754629629629624</v>
      </c>
      <c r="AK245" s="17">
        <v>43880</v>
      </c>
      <c r="AL245" s="18" t="s">
        <v>40</v>
      </c>
      <c r="AM245" s="14" t="s">
        <v>410</v>
      </c>
      <c r="AN245" s="14" t="s">
        <v>36</v>
      </c>
      <c r="AO245" s="14" t="s">
        <v>758</v>
      </c>
      <c r="AP245" s="14" t="s">
        <v>37</v>
      </c>
      <c r="AQ245" s="14" t="s">
        <v>184</v>
      </c>
      <c r="AR245" s="14" t="s">
        <v>4</v>
      </c>
      <c r="AS245" s="14">
        <v>0</v>
      </c>
      <c r="AT245" s="14">
        <v>0</v>
      </c>
      <c r="AU245" s="14">
        <v>0</v>
      </c>
      <c r="AV245" s="14">
        <v>0</v>
      </c>
      <c r="AW245" s="14"/>
      <c r="AX245" s="14"/>
      <c r="AY245" s="14"/>
      <c r="AZ245" s="14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</row>
    <row r="246" spans="1:66" s="2" customFormat="1" ht="12" customHeight="1" x14ac:dyDescent="0.25">
      <c r="A246" s="9">
        <f t="shared" si="3"/>
        <v>1</v>
      </c>
      <c r="B246" s="6"/>
      <c r="C246" s="6"/>
      <c r="D246" s="24"/>
      <c r="E246" s="12" t="s">
        <v>38</v>
      </c>
      <c r="F246" s="25">
        <v>0</v>
      </c>
      <c r="G246" s="12" t="s">
        <v>759</v>
      </c>
      <c r="H246" s="12">
        <v>0</v>
      </c>
      <c r="I246" s="12">
        <v>0</v>
      </c>
      <c r="J246" s="12">
        <v>0</v>
      </c>
      <c r="K246" s="12">
        <v>0</v>
      </c>
      <c r="L246" s="13">
        <v>0</v>
      </c>
      <c r="M246" s="13">
        <v>0</v>
      </c>
      <c r="N246" s="12">
        <v>0</v>
      </c>
      <c r="O246" s="12">
        <v>0</v>
      </c>
      <c r="P246" s="12">
        <v>0</v>
      </c>
      <c r="Q246" s="14">
        <v>0</v>
      </c>
      <c r="R246" s="15">
        <v>843456.84</v>
      </c>
      <c r="S246" s="16">
        <v>843456.84</v>
      </c>
      <c r="T246" s="15">
        <v>523108.12</v>
      </c>
      <c r="U246" s="16">
        <v>0</v>
      </c>
      <c r="V246" s="15">
        <v>320348.71999999997</v>
      </c>
      <c r="W246" s="16">
        <v>0</v>
      </c>
      <c r="X246" s="15">
        <v>0</v>
      </c>
      <c r="Y246" s="16">
        <v>0</v>
      </c>
      <c r="Z246" s="15">
        <v>0</v>
      </c>
      <c r="AA246" s="16">
        <v>0</v>
      </c>
      <c r="AB246" s="15">
        <v>0</v>
      </c>
      <c r="AC246" s="16">
        <v>0</v>
      </c>
      <c r="AD246" s="15">
        <v>0</v>
      </c>
      <c r="AE246" s="16">
        <v>0</v>
      </c>
      <c r="AF246" s="15">
        <v>0</v>
      </c>
      <c r="AG246" s="16">
        <v>0</v>
      </c>
      <c r="AH246" s="15">
        <v>0</v>
      </c>
      <c r="AI246" s="15" t="s">
        <v>760</v>
      </c>
      <c r="AJ246" s="14">
        <v>0.38997685185185182</v>
      </c>
      <c r="AK246" s="17">
        <v>43893</v>
      </c>
      <c r="AL246" s="18" t="s">
        <v>40</v>
      </c>
      <c r="AM246" s="14" t="s">
        <v>410</v>
      </c>
      <c r="AN246" s="14" t="s">
        <v>36</v>
      </c>
      <c r="AO246" s="14" t="s">
        <v>761</v>
      </c>
      <c r="AP246" s="14" t="s">
        <v>37</v>
      </c>
      <c r="AQ246" s="14" t="s">
        <v>184</v>
      </c>
      <c r="AR246" s="14" t="s">
        <v>4</v>
      </c>
      <c r="AS246" s="14">
        <v>0</v>
      </c>
      <c r="AT246" s="14">
        <v>0</v>
      </c>
      <c r="AU246" s="14">
        <v>0</v>
      </c>
      <c r="AV246" s="14">
        <v>0</v>
      </c>
      <c r="AW246" s="14"/>
      <c r="AX246" s="14"/>
      <c r="AY246" s="14"/>
      <c r="AZ246" s="14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</row>
    <row r="247" spans="1:66" s="2" customFormat="1" ht="12" customHeight="1" x14ac:dyDescent="0.25">
      <c r="A247" s="9">
        <f t="shared" si="3"/>
        <v>1</v>
      </c>
      <c r="B247" s="6"/>
      <c r="C247" s="6"/>
      <c r="D247" s="24"/>
      <c r="E247" s="12" t="s">
        <v>38</v>
      </c>
      <c r="F247" s="25">
        <v>0</v>
      </c>
      <c r="G247" s="12" t="s">
        <v>762</v>
      </c>
      <c r="H247" s="12">
        <v>0</v>
      </c>
      <c r="I247" s="12">
        <v>0</v>
      </c>
      <c r="J247" s="12">
        <v>0</v>
      </c>
      <c r="K247" s="12">
        <v>0</v>
      </c>
      <c r="L247" s="13">
        <v>0</v>
      </c>
      <c r="M247" s="13">
        <v>0</v>
      </c>
      <c r="N247" s="12">
        <v>0</v>
      </c>
      <c r="O247" s="12">
        <v>0</v>
      </c>
      <c r="P247" s="12">
        <v>0</v>
      </c>
      <c r="Q247" s="14">
        <v>0</v>
      </c>
      <c r="R247" s="15">
        <v>5654.7</v>
      </c>
      <c r="S247" s="16">
        <v>5654.7</v>
      </c>
      <c r="T247" s="15">
        <v>1964.7</v>
      </c>
      <c r="U247" s="16">
        <v>0</v>
      </c>
      <c r="V247" s="15">
        <v>3690</v>
      </c>
      <c r="W247" s="16">
        <v>0</v>
      </c>
      <c r="X247" s="15">
        <v>0</v>
      </c>
      <c r="Y247" s="16">
        <v>0</v>
      </c>
      <c r="Z247" s="15">
        <v>0</v>
      </c>
      <c r="AA247" s="16">
        <v>0</v>
      </c>
      <c r="AB247" s="15">
        <v>0</v>
      </c>
      <c r="AC247" s="16">
        <v>0</v>
      </c>
      <c r="AD247" s="15">
        <v>0</v>
      </c>
      <c r="AE247" s="16">
        <v>0</v>
      </c>
      <c r="AF247" s="15">
        <v>0</v>
      </c>
      <c r="AG247" s="16">
        <v>0</v>
      </c>
      <c r="AH247" s="15">
        <v>0</v>
      </c>
      <c r="AI247" s="15" t="s">
        <v>763</v>
      </c>
      <c r="AJ247" s="14">
        <v>0.41576388888888888</v>
      </c>
      <c r="AK247" s="17">
        <v>43886</v>
      </c>
      <c r="AL247" s="18" t="s">
        <v>291</v>
      </c>
      <c r="AM247" s="14" t="s">
        <v>292</v>
      </c>
      <c r="AN247" s="14" t="s">
        <v>36</v>
      </c>
      <c r="AO247" s="14" t="s">
        <v>764</v>
      </c>
      <c r="AP247" s="14" t="s">
        <v>37</v>
      </c>
      <c r="AQ247" s="14" t="s">
        <v>184</v>
      </c>
      <c r="AR247" s="14" t="s">
        <v>4</v>
      </c>
      <c r="AS247" s="14">
        <v>0</v>
      </c>
      <c r="AT247" s="14">
        <v>0</v>
      </c>
      <c r="AU247" s="14">
        <v>0</v>
      </c>
      <c r="AV247" s="14">
        <v>0</v>
      </c>
      <c r="AW247" s="14"/>
      <c r="AX247" s="14"/>
      <c r="AY247" s="14"/>
      <c r="AZ247" s="14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</row>
    <row r="248" spans="1:66" s="2" customFormat="1" ht="12" customHeight="1" x14ac:dyDescent="0.25">
      <c r="A248" s="9">
        <f t="shared" si="3"/>
        <v>1</v>
      </c>
      <c r="B248" s="6"/>
      <c r="C248" s="6"/>
      <c r="D248" s="24"/>
      <c r="E248" s="12" t="s">
        <v>38</v>
      </c>
      <c r="F248" s="25">
        <v>0</v>
      </c>
      <c r="G248" s="12" t="s">
        <v>765</v>
      </c>
      <c r="H248" s="12">
        <v>0</v>
      </c>
      <c r="I248" s="12">
        <v>0</v>
      </c>
      <c r="J248" s="12">
        <v>0</v>
      </c>
      <c r="K248" s="12">
        <v>0</v>
      </c>
      <c r="L248" s="13">
        <v>0</v>
      </c>
      <c r="M248" s="13">
        <v>0</v>
      </c>
      <c r="N248" s="12">
        <v>0</v>
      </c>
      <c r="O248" s="12">
        <v>0</v>
      </c>
      <c r="P248" s="12">
        <v>0</v>
      </c>
      <c r="Q248" s="14">
        <v>0</v>
      </c>
      <c r="R248" s="15">
        <v>2240794.61632</v>
      </c>
      <c r="S248" s="16">
        <v>2240794.61632</v>
      </c>
      <c r="T248" s="15">
        <v>1082108</v>
      </c>
      <c r="U248" s="16">
        <v>0</v>
      </c>
      <c r="V248" s="15">
        <v>817840</v>
      </c>
      <c r="W248" s="16">
        <v>0</v>
      </c>
      <c r="X248" s="15">
        <v>137003.77600000001</v>
      </c>
      <c r="Y248" s="16">
        <v>0</v>
      </c>
      <c r="Z248" s="15">
        <v>57248.800000000003</v>
      </c>
      <c r="AA248" s="16">
        <v>0</v>
      </c>
      <c r="AB248" s="15">
        <v>146594.04032000003</v>
      </c>
      <c r="AC248" s="16">
        <v>0</v>
      </c>
      <c r="AD248" s="15">
        <v>0</v>
      </c>
      <c r="AE248" s="16">
        <v>0</v>
      </c>
      <c r="AF248" s="15">
        <v>0</v>
      </c>
      <c r="AG248" s="16">
        <v>0</v>
      </c>
      <c r="AH248" s="15">
        <v>0</v>
      </c>
      <c r="AI248" s="15" t="s">
        <v>766</v>
      </c>
      <c r="AJ248" s="14">
        <v>0.47412037037037041</v>
      </c>
      <c r="AK248" s="17">
        <v>43887</v>
      </c>
      <c r="AL248" s="18" t="s">
        <v>291</v>
      </c>
      <c r="AM248" s="14" t="s">
        <v>292</v>
      </c>
      <c r="AN248" s="14" t="s">
        <v>36</v>
      </c>
      <c r="AO248" s="14" t="s">
        <v>767</v>
      </c>
      <c r="AP248" s="14" t="s">
        <v>37</v>
      </c>
      <c r="AQ248" s="14" t="s">
        <v>184</v>
      </c>
      <c r="AR248" s="14" t="s">
        <v>4</v>
      </c>
      <c r="AS248" s="14">
        <v>0</v>
      </c>
      <c r="AT248" s="14">
        <v>0</v>
      </c>
      <c r="AU248" s="14">
        <v>0</v>
      </c>
      <c r="AV248" s="14">
        <v>0</v>
      </c>
      <c r="AW248" s="14"/>
      <c r="AX248" s="14"/>
      <c r="AY248" s="14"/>
      <c r="AZ248" s="14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</row>
    <row r="249" spans="1:66" s="2" customFormat="1" ht="12" customHeight="1" x14ac:dyDescent="0.25">
      <c r="A249" s="9">
        <f t="shared" si="3"/>
        <v>1</v>
      </c>
      <c r="B249" s="6"/>
      <c r="C249" s="6"/>
      <c r="D249" s="24"/>
      <c r="E249" s="12" t="s">
        <v>38</v>
      </c>
      <c r="F249" s="25">
        <v>0</v>
      </c>
      <c r="G249" s="12" t="s">
        <v>768</v>
      </c>
      <c r="H249" s="12">
        <v>0</v>
      </c>
      <c r="I249" s="12">
        <v>0</v>
      </c>
      <c r="J249" s="12">
        <v>0</v>
      </c>
      <c r="K249" s="12">
        <v>0</v>
      </c>
      <c r="L249" s="13">
        <v>0</v>
      </c>
      <c r="M249" s="13">
        <v>0</v>
      </c>
      <c r="N249" s="12">
        <v>0</v>
      </c>
      <c r="O249" s="12">
        <v>0</v>
      </c>
      <c r="P249" s="12">
        <v>0</v>
      </c>
      <c r="Q249" s="14">
        <v>0</v>
      </c>
      <c r="R249" s="15">
        <v>330178.5</v>
      </c>
      <c r="S249" s="16">
        <v>330178.5</v>
      </c>
      <c r="T249" s="15">
        <v>102024</v>
      </c>
      <c r="U249" s="16">
        <v>0</v>
      </c>
      <c r="V249" s="15">
        <v>228154.5</v>
      </c>
      <c r="W249" s="16">
        <v>0</v>
      </c>
      <c r="X249" s="15">
        <v>0</v>
      </c>
      <c r="Y249" s="16">
        <v>0</v>
      </c>
      <c r="Z249" s="15">
        <v>0</v>
      </c>
      <c r="AA249" s="16">
        <v>0</v>
      </c>
      <c r="AB249" s="15">
        <v>0</v>
      </c>
      <c r="AC249" s="16">
        <v>0</v>
      </c>
      <c r="AD249" s="15">
        <v>0</v>
      </c>
      <c r="AE249" s="16">
        <v>0</v>
      </c>
      <c r="AF249" s="15">
        <v>0</v>
      </c>
      <c r="AG249" s="16">
        <v>0</v>
      </c>
      <c r="AH249" s="15">
        <v>0</v>
      </c>
      <c r="AI249" s="15" t="s">
        <v>769</v>
      </c>
      <c r="AJ249" s="14">
        <v>0.70787037037037026</v>
      </c>
      <c r="AK249" s="17">
        <v>43892</v>
      </c>
      <c r="AL249" s="18" t="s">
        <v>291</v>
      </c>
      <c r="AM249" s="14" t="s">
        <v>292</v>
      </c>
      <c r="AN249" s="14" t="s">
        <v>36</v>
      </c>
      <c r="AO249" s="14" t="s">
        <v>770</v>
      </c>
      <c r="AP249" s="14" t="s">
        <v>37</v>
      </c>
      <c r="AQ249" s="14" t="s">
        <v>184</v>
      </c>
      <c r="AR249" s="14" t="s">
        <v>4</v>
      </c>
      <c r="AS249" s="14">
        <v>0</v>
      </c>
      <c r="AT249" s="14">
        <v>0</v>
      </c>
      <c r="AU249" s="14">
        <v>0</v>
      </c>
      <c r="AV249" s="14">
        <v>0</v>
      </c>
      <c r="AW249" s="14"/>
      <c r="AX249" s="14"/>
      <c r="AY249" s="14"/>
      <c r="AZ249" s="14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</row>
    <row r="250" spans="1:66" s="2" customFormat="1" ht="12" customHeight="1" x14ac:dyDescent="0.25">
      <c r="A250" s="9">
        <f t="shared" si="3"/>
        <v>1</v>
      </c>
      <c r="B250" s="6"/>
      <c r="C250" s="6"/>
      <c r="D250" s="24"/>
      <c r="E250" s="12" t="s">
        <v>38</v>
      </c>
      <c r="F250" s="25">
        <v>0</v>
      </c>
      <c r="G250" s="12" t="s">
        <v>771</v>
      </c>
      <c r="H250" s="12">
        <v>0</v>
      </c>
      <c r="I250" s="12">
        <v>0</v>
      </c>
      <c r="J250" s="12">
        <v>0</v>
      </c>
      <c r="K250" s="12">
        <v>0</v>
      </c>
      <c r="L250" s="13">
        <v>0</v>
      </c>
      <c r="M250" s="13">
        <v>0</v>
      </c>
      <c r="N250" s="12">
        <v>0</v>
      </c>
      <c r="O250" s="12">
        <v>0</v>
      </c>
      <c r="P250" s="12">
        <v>0</v>
      </c>
      <c r="Q250" s="14">
        <v>0</v>
      </c>
      <c r="R250" s="15">
        <v>636600.8899999999</v>
      </c>
      <c r="S250" s="16">
        <v>636600.8899999999</v>
      </c>
      <c r="T250" s="15">
        <v>636600.8899999999</v>
      </c>
      <c r="U250" s="16">
        <v>0</v>
      </c>
      <c r="V250" s="15">
        <v>0</v>
      </c>
      <c r="W250" s="16">
        <v>0</v>
      </c>
      <c r="X250" s="15">
        <v>0</v>
      </c>
      <c r="Y250" s="16">
        <v>0</v>
      </c>
      <c r="Z250" s="15">
        <v>0</v>
      </c>
      <c r="AA250" s="16">
        <v>0</v>
      </c>
      <c r="AB250" s="15">
        <v>0</v>
      </c>
      <c r="AC250" s="16">
        <v>0</v>
      </c>
      <c r="AD250" s="15">
        <v>0</v>
      </c>
      <c r="AE250" s="16">
        <v>0</v>
      </c>
      <c r="AF250" s="15">
        <v>0</v>
      </c>
      <c r="AG250" s="16">
        <v>0</v>
      </c>
      <c r="AH250" s="15">
        <v>0</v>
      </c>
      <c r="AI250" s="15" t="s">
        <v>772</v>
      </c>
      <c r="AJ250" s="14">
        <v>0.64609953703703704</v>
      </c>
      <c r="AK250" s="17">
        <v>43887</v>
      </c>
      <c r="AL250" s="18" t="s">
        <v>291</v>
      </c>
      <c r="AM250" s="14" t="s">
        <v>292</v>
      </c>
      <c r="AN250" s="14" t="s">
        <v>36</v>
      </c>
      <c r="AO250" s="14" t="s">
        <v>773</v>
      </c>
      <c r="AP250" s="14" t="s">
        <v>37</v>
      </c>
      <c r="AQ250" s="14" t="s">
        <v>184</v>
      </c>
      <c r="AR250" s="14" t="s">
        <v>4</v>
      </c>
      <c r="AS250" s="14">
        <v>0</v>
      </c>
      <c r="AT250" s="14">
        <v>0</v>
      </c>
      <c r="AU250" s="14">
        <v>0</v>
      </c>
      <c r="AV250" s="14">
        <v>0</v>
      </c>
      <c r="AW250" s="14"/>
      <c r="AX250" s="14"/>
      <c r="AY250" s="14"/>
      <c r="AZ250" s="14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</row>
    <row r="251" spans="1:66" s="2" customFormat="1" ht="12" customHeight="1" x14ac:dyDescent="0.25">
      <c r="A251" s="9">
        <f t="shared" si="3"/>
        <v>1</v>
      </c>
      <c r="B251" s="6"/>
      <c r="C251" s="6"/>
      <c r="D251" s="24"/>
      <c r="E251" s="12" t="s">
        <v>38</v>
      </c>
      <c r="F251" s="25">
        <v>0</v>
      </c>
      <c r="G251" s="12" t="s">
        <v>774</v>
      </c>
      <c r="H251" s="12">
        <v>0</v>
      </c>
      <c r="I251" s="12">
        <v>0</v>
      </c>
      <c r="J251" s="12">
        <v>0</v>
      </c>
      <c r="K251" s="12">
        <v>0</v>
      </c>
      <c r="L251" s="13">
        <v>0</v>
      </c>
      <c r="M251" s="13">
        <v>0</v>
      </c>
      <c r="N251" s="12">
        <v>0</v>
      </c>
      <c r="O251" s="12">
        <v>0</v>
      </c>
      <c r="P251" s="12">
        <v>0</v>
      </c>
      <c r="Q251" s="14">
        <v>0</v>
      </c>
      <c r="R251" s="15">
        <v>618345.77803500008</v>
      </c>
      <c r="S251" s="16">
        <v>618345.77803500008</v>
      </c>
      <c r="T251" s="15">
        <v>282040.59999999998</v>
      </c>
      <c r="U251" s="16">
        <v>0</v>
      </c>
      <c r="V251" s="15">
        <v>241165</v>
      </c>
      <c r="W251" s="16">
        <v>0</v>
      </c>
      <c r="X251" s="15">
        <v>37806.100500000008</v>
      </c>
      <c r="Y251" s="16">
        <v>0</v>
      </c>
      <c r="Z251" s="15">
        <v>16881.550000000003</v>
      </c>
      <c r="AA251" s="16">
        <v>0</v>
      </c>
      <c r="AB251" s="15">
        <v>40452.527535000008</v>
      </c>
      <c r="AC251" s="16">
        <v>0</v>
      </c>
      <c r="AD251" s="15">
        <v>0</v>
      </c>
      <c r="AE251" s="16">
        <v>0</v>
      </c>
      <c r="AF251" s="15">
        <v>0</v>
      </c>
      <c r="AG251" s="16">
        <v>0</v>
      </c>
      <c r="AH251" s="15">
        <v>0</v>
      </c>
      <c r="AI251" s="15" t="s">
        <v>775</v>
      </c>
      <c r="AJ251" s="14">
        <v>0.73199074074074078</v>
      </c>
      <c r="AK251" s="17">
        <v>43888</v>
      </c>
      <c r="AL251" s="18" t="s">
        <v>291</v>
      </c>
      <c r="AM251" s="14" t="s">
        <v>292</v>
      </c>
      <c r="AN251" s="14" t="s">
        <v>36</v>
      </c>
      <c r="AO251" s="14" t="s">
        <v>776</v>
      </c>
      <c r="AP251" s="14" t="s">
        <v>37</v>
      </c>
      <c r="AQ251" s="14" t="s">
        <v>184</v>
      </c>
      <c r="AR251" s="14" t="s">
        <v>4</v>
      </c>
      <c r="AS251" s="14">
        <v>0</v>
      </c>
      <c r="AT251" s="14">
        <v>0</v>
      </c>
      <c r="AU251" s="14">
        <v>0</v>
      </c>
      <c r="AV251" s="14">
        <v>0</v>
      </c>
      <c r="AW251" s="14"/>
      <c r="AX251" s="14"/>
      <c r="AY251" s="14"/>
      <c r="AZ251" s="14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</row>
    <row r="252" spans="1:66" s="2" customFormat="1" ht="12" customHeight="1" x14ac:dyDescent="0.25">
      <c r="A252" s="9">
        <f t="shared" si="3"/>
        <v>1</v>
      </c>
      <c r="B252" s="6"/>
      <c r="C252" s="6"/>
      <c r="D252" s="24"/>
      <c r="E252" s="12" t="s">
        <v>38</v>
      </c>
      <c r="F252" s="25">
        <v>0</v>
      </c>
      <c r="G252" s="12" t="s">
        <v>777</v>
      </c>
      <c r="H252" s="12">
        <v>0</v>
      </c>
      <c r="I252" s="12">
        <v>0</v>
      </c>
      <c r="J252" s="12">
        <v>0</v>
      </c>
      <c r="K252" s="12">
        <v>0</v>
      </c>
      <c r="L252" s="13">
        <v>0</v>
      </c>
      <c r="M252" s="13">
        <v>0</v>
      </c>
      <c r="N252" s="12">
        <v>0</v>
      </c>
      <c r="O252" s="12">
        <v>0</v>
      </c>
      <c r="P252" s="12">
        <v>0</v>
      </c>
      <c r="Q252" s="14">
        <v>0</v>
      </c>
      <c r="R252" s="15">
        <v>53561.919999999998</v>
      </c>
      <c r="S252" s="16">
        <v>53561.919999999998</v>
      </c>
      <c r="T252" s="15">
        <v>43895.96</v>
      </c>
      <c r="U252" s="16">
        <v>0</v>
      </c>
      <c r="V252" s="15">
        <v>9665.9599999999991</v>
      </c>
      <c r="W252" s="16">
        <v>0</v>
      </c>
      <c r="X252" s="15">
        <v>0</v>
      </c>
      <c r="Y252" s="16">
        <v>0</v>
      </c>
      <c r="Z252" s="15">
        <v>0</v>
      </c>
      <c r="AA252" s="16">
        <v>0</v>
      </c>
      <c r="AB252" s="15">
        <v>0</v>
      </c>
      <c r="AC252" s="16">
        <v>0</v>
      </c>
      <c r="AD252" s="15">
        <v>0</v>
      </c>
      <c r="AE252" s="16">
        <v>0</v>
      </c>
      <c r="AF252" s="15">
        <v>0</v>
      </c>
      <c r="AG252" s="16">
        <v>0</v>
      </c>
      <c r="AH252" s="15">
        <v>0</v>
      </c>
      <c r="AI252" s="15" t="s">
        <v>778</v>
      </c>
      <c r="AJ252" s="14">
        <v>0.62065972222222221</v>
      </c>
      <c r="AK252" s="17">
        <v>43892</v>
      </c>
      <c r="AL252" s="18" t="s">
        <v>291</v>
      </c>
      <c r="AM252" s="14" t="s">
        <v>292</v>
      </c>
      <c r="AN252" s="14" t="s">
        <v>36</v>
      </c>
      <c r="AO252" s="14" t="s">
        <v>779</v>
      </c>
      <c r="AP252" s="14" t="s">
        <v>37</v>
      </c>
      <c r="AQ252" s="14" t="s">
        <v>184</v>
      </c>
      <c r="AR252" s="14" t="s">
        <v>4</v>
      </c>
      <c r="AS252" s="14">
        <v>0</v>
      </c>
      <c r="AT252" s="14">
        <v>0</v>
      </c>
      <c r="AU252" s="14">
        <v>0</v>
      </c>
      <c r="AV252" s="14">
        <v>0</v>
      </c>
      <c r="AW252" s="14"/>
      <c r="AX252" s="14"/>
      <c r="AY252" s="14"/>
      <c r="AZ252" s="14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</row>
    <row r="253" spans="1:66" s="2" customFormat="1" ht="12" customHeight="1" x14ac:dyDescent="0.25">
      <c r="A253" s="9">
        <f t="shared" si="3"/>
        <v>1</v>
      </c>
      <c r="B253" s="6"/>
      <c r="C253" s="6"/>
      <c r="D253" s="24"/>
      <c r="E253" s="12" t="s">
        <v>38</v>
      </c>
      <c r="F253" s="25">
        <v>0</v>
      </c>
      <c r="G253" s="12" t="s">
        <v>780</v>
      </c>
      <c r="H253" s="12">
        <v>0</v>
      </c>
      <c r="I253" s="12">
        <v>0</v>
      </c>
      <c r="J253" s="12">
        <v>0</v>
      </c>
      <c r="K253" s="12">
        <v>0</v>
      </c>
      <c r="L253" s="13">
        <v>0</v>
      </c>
      <c r="M253" s="13">
        <v>0</v>
      </c>
      <c r="N253" s="12">
        <v>0</v>
      </c>
      <c r="O253" s="12">
        <v>0</v>
      </c>
      <c r="P253" s="12">
        <v>0</v>
      </c>
      <c r="Q253" s="14">
        <v>0</v>
      </c>
      <c r="R253" s="15">
        <v>6307.88</v>
      </c>
      <c r="S253" s="16">
        <v>6307.88</v>
      </c>
      <c r="T253" s="15">
        <v>3577.88</v>
      </c>
      <c r="U253" s="16">
        <v>0</v>
      </c>
      <c r="V253" s="15">
        <v>2730</v>
      </c>
      <c r="W253" s="16">
        <v>0</v>
      </c>
      <c r="X253" s="15">
        <v>0</v>
      </c>
      <c r="Y253" s="16">
        <v>0</v>
      </c>
      <c r="Z253" s="15">
        <v>0</v>
      </c>
      <c r="AA253" s="16">
        <v>0</v>
      </c>
      <c r="AB253" s="15">
        <v>0</v>
      </c>
      <c r="AC253" s="16">
        <v>0</v>
      </c>
      <c r="AD253" s="15">
        <v>0</v>
      </c>
      <c r="AE253" s="16">
        <v>0</v>
      </c>
      <c r="AF253" s="15">
        <v>0</v>
      </c>
      <c r="AG253" s="16">
        <v>0</v>
      </c>
      <c r="AH253" s="15">
        <v>0</v>
      </c>
      <c r="AI253" s="15" t="s">
        <v>781</v>
      </c>
      <c r="AJ253" s="14">
        <v>0.35802083333333329</v>
      </c>
      <c r="AK253" s="17">
        <v>43893</v>
      </c>
      <c r="AL253" s="18" t="s">
        <v>291</v>
      </c>
      <c r="AM253" s="14" t="s">
        <v>292</v>
      </c>
      <c r="AN253" s="14" t="s">
        <v>36</v>
      </c>
      <c r="AO253" s="14" t="s">
        <v>782</v>
      </c>
      <c r="AP253" s="14" t="s">
        <v>37</v>
      </c>
      <c r="AQ253" s="14" t="s">
        <v>184</v>
      </c>
      <c r="AR253" s="14" t="s">
        <v>4</v>
      </c>
      <c r="AS253" s="14">
        <v>0</v>
      </c>
      <c r="AT253" s="14">
        <v>0</v>
      </c>
      <c r="AU253" s="14">
        <v>0</v>
      </c>
      <c r="AV253" s="14">
        <v>0</v>
      </c>
      <c r="AW253" s="14"/>
      <c r="AX253" s="14"/>
      <c r="AY253" s="14"/>
      <c r="AZ253" s="14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</row>
    <row r="254" spans="1:66" s="2" customFormat="1" ht="12" customHeight="1" x14ac:dyDescent="0.25">
      <c r="A254" s="9">
        <f t="shared" si="3"/>
        <v>1</v>
      </c>
      <c r="B254" s="6"/>
      <c r="C254" s="6"/>
      <c r="D254" s="24"/>
      <c r="E254" s="12" t="s">
        <v>38</v>
      </c>
      <c r="F254" s="25">
        <v>0</v>
      </c>
      <c r="G254" s="12" t="s">
        <v>783</v>
      </c>
      <c r="H254" s="12">
        <v>0</v>
      </c>
      <c r="I254" s="12">
        <v>0</v>
      </c>
      <c r="J254" s="12">
        <v>0</v>
      </c>
      <c r="K254" s="12">
        <v>0</v>
      </c>
      <c r="L254" s="13">
        <v>0</v>
      </c>
      <c r="M254" s="13">
        <v>0</v>
      </c>
      <c r="N254" s="12">
        <v>0</v>
      </c>
      <c r="O254" s="12">
        <v>0</v>
      </c>
      <c r="P254" s="12">
        <v>0</v>
      </c>
      <c r="Q254" s="14">
        <v>0</v>
      </c>
      <c r="R254" s="15">
        <v>1109611.3399999999</v>
      </c>
      <c r="S254" s="16">
        <v>1109611.3399999999</v>
      </c>
      <c r="T254" s="15">
        <v>675924.34</v>
      </c>
      <c r="U254" s="16">
        <v>0</v>
      </c>
      <c r="V254" s="15">
        <v>433687</v>
      </c>
      <c r="W254" s="16">
        <v>0</v>
      </c>
      <c r="X254" s="15">
        <v>0</v>
      </c>
      <c r="Y254" s="16">
        <v>0</v>
      </c>
      <c r="Z254" s="15">
        <v>0</v>
      </c>
      <c r="AA254" s="16">
        <v>0</v>
      </c>
      <c r="AB254" s="15">
        <v>0</v>
      </c>
      <c r="AC254" s="16">
        <v>0</v>
      </c>
      <c r="AD254" s="15">
        <v>0</v>
      </c>
      <c r="AE254" s="16">
        <v>0</v>
      </c>
      <c r="AF254" s="15">
        <v>0</v>
      </c>
      <c r="AG254" s="16">
        <v>0</v>
      </c>
      <c r="AH254" s="15">
        <v>0</v>
      </c>
      <c r="AI254" s="15" t="s">
        <v>784</v>
      </c>
      <c r="AJ254" s="14">
        <v>0.63438657407407406</v>
      </c>
      <c r="AK254" s="17">
        <v>43902</v>
      </c>
      <c r="AL254" s="18" t="s">
        <v>40</v>
      </c>
      <c r="AM254" s="14" t="s">
        <v>410</v>
      </c>
      <c r="AN254" s="14" t="s">
        <v>36</v>
      </c>
      <c r="AO254" s="14" t="s">
        <v>785</v>
      </c>
      <c r="AP254" s="14" t="s">
        <v>37</v>
      </c>
      <c r="AQ254" s="14" t="s">
        <v>184</v>
      </c>
      <c r="AR254" s="14" t="s">
        <v>4</v>
      </c>
      <c r="AS254" s="14">
        <v>0</v>
      </c>
      <c r="AT254" s="14">
        <v>0</v>
      </c>
      <c r="AU254" s="14">
        <v>0</v>
      </c>
      <c r="AV254" s="14">
        <v>0</v>
      </c>
      <c r="AW254" s="14"/>
      <c r="AX254" s="14"/>
      <c r="AY254" s="14"/>
      <c r="AZ254" s="14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</row>
    <row r="255" spans="1:66" s="2" customFormat="1" ht="12" customHeight="1" x14ac:dyDescent="0.25">
      <c r="A255" s="9">
        <f t="shared" si="3"/>
        <v>1</v>
      </c>
      <c r="B255" s="6"/>
      <c r="C255" s="6"/>
      <c r="D255" s="24"/>
      <c r="E255" s="12" t="s">
        <v>38</v>
      </c>
      <c r="F255" s="25">
        <v>0</v>
      </c>
      <c r="G255" s="12" t="s">
        <v>786</v>
      </c>
      <c r="H255" s="12">
        <v>0</v>
      </c>
      <c r="I255" s="12">
        <v>0</v>
      </c>
      <c r="J255" s="12">
        <v>0</v>
      </c>
      <c r="K255" s="12">
        <v>0</v>
      </c>
      <c r="L255" s="13">
        <v>0</v>
      </c>
      <c r="M255" s="13">
        <v>0</v>
      </c>
      <c r="N255" s="12">
        <v>0</v>
      </c>
      <c r="O255" s="12">
        <v>0</v>
      </c>
      <c r="P255" s="12">
        <v>0</v>
      </c>
      <c r="Q255" s="14">
        <v>0</v>
      </c>
      <c r="R255" s="15">
        <v>875753.09000000008</v>
      </c>
      <c r="S255" s="16">
        <v>875753.09000000008</v>
      </c>
      <c r="T255" s="15">
        <v>542138.77</v>
      </c>
      <c r="U255" s="16">
        <v>0</v>
      </c>
      <c r="V255" s="15">
        <v>333614.32000000012</v>
      </c>
      <c r="W255" s="16">
        <v>0</v>
      </c>
      <c r="X255" s="15">
        <v>0</v>
      </c>
      <c r="Y255" s="16">
        <v>0</v>
      </c>
      <c r="Z255" s="15">
        <v>0</v>
      </c>
      <c r="AA255" s="16">
        <v>0</v>
      </c>
      <c r="AB255" s="15">
        <v>0</v>
      </c>
      <c r="AC255" s="16">
        <v>0</v>
      </c>
      <c r="AD255" s="15">
        <v>0</v>
      </c>
      <c r="AE255" s="16">
        <v>0</v>
      </c>
      <c r="AF255" s="15">
        <v>0</v>
      </c>
      <c r="AG255" s="16">
        <v>0</v>
      </c>
      <c r="AH255" s="15">
        <v>0</v>
      </c>
      <c r="AI255" s="15" t="s">
        <v>787</v>
      </c>
      <c r="AJ255" s="14">
        <v>0.67928240740740742</v>
      </c>
      <c r="AK255" s="17">
        <v>43901</v>
      </c>
      <c r="AL255" s="18" t="s">
        <v>568</v>
      </c>
      <c r="AM255" s="14" t="s">
        <v>569</v>
      </c>
      <c r="AN255" s="14" t="s">
        <v>36</v>
      </c>
      <c r="AO255" s="14" t="s">
        <v>788</v>
      </c>
      <c r="AP255" s="14" t="s">
        <v>37</v>
      </c>
      <c r="AQ255" s="14" t="s">
        <v>184</v>
      </c>
      <c r="AR255" s="14" t="s">
        <v>4</v>
      </c>
      <c r="AS255" s="14">
        <v>0</v>
      </c>
      <c r="AT255" s="14">
        <v>0</v>
      </c>
      <c r="AU255" s="14">
        <v>0</v>
      </c>
      <c r="AV255" s="14">
        <v>0</v>
      </c>
      <c r="AW255" s="14"/>
      <c r="AX255" s="14"/>
      <c r="AY255" s="14"/>
      <c r="AZ255" s="14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</row>
    <row r="256" spans="1:66" s="2" customFormat="1" ht="12" customHeight="1" x14ac:dyDescent="0.25">
      <c r="A256" s="9">
        <f t="shared" si="3"/>
        <v>1</v>
      </c>
      <c r="B256" s="6"/>
      <c r="C256" s="6"/>
      <c r="D256" s="24"/>
      <c r="E256" s="12" t="s">
        <v>38</v>
      </c>
      <c r="F256" s="25">
        <v>0</v>
      </c>
      <c r="G256" s="12" t="s">
        <v>789</v>
      </c>
      <c r="H256" s="12">
        <v>0</v>
      </c>
      <c r="I256" s="12">
        <v>0</v>
      </c>
      <c r="J256" s="12">
        <v>0</v>
      </c>
      <c r="K256" s="12">
        <v>0</v>
      </c>
      <c r="L256" s="13">
        <v>0</v>
      </c>
      <c r="M256" s="13">
        <v>0</v>
      </c>
      <c r="N256" s="12">
        <v>0</v>
      </c>
      <c r="O256" s="12">
        <v>0</v>
      </c>
      <c r="P256" s="12">
        <v>0</v>
      </c>
      <c r="Q256" s="14">
        <v>0</v>
      </c>
      <c r="R256" s="15">
        <v>952573.85000000009</v>
      </c>
      <c r="S256" s="16">
        <v>952573.85000000009</v>
      </c>
      <c r="T256" s="15">
        <v>595224.8899999999</v>
      </c>
      <c r="U256" s="16">
        <v>0</v>
      </c>
      <c r="V256" s="15">
        <v>357348.96000000014</v>
      </c>
      <c r="W256" s="16">
        <v>0</v>
      </c>
      <c r="X256" s="15">
        <v>0</v>
      </c>
      <c r="Y256" s="16">
        <v>0</v>
      </c>
      <c r="Z256" s="15">
        <v>0</v>
      </c>
      <c r="AA256" s="16">
        <v>0</v>
      </c>
      <c r="AB256" s="15">
        <v>0</v>
      </c>
      <c r="AC256" s="16">
        <v>0</v>
      </c>
      <c r="AD256" s="15">
        <v>0</v>
      </c>
      <c r="AE256" s="16">
        <v>0</v>
      </c>
      <c r="AF256" s="15">
        <v>0</v>
      </c>
      <c r="AG256" s="16">
        <v>0</v>
      </c>
      <c r="AH256" s="15">
        <v>0</v>
      </c>
      <c r="AI256" s="15" t="s">
        <v>790</v>
      </c>
      <c r="AJ256" s="14">
        <v>0.61456018518518518</v>
      </c>
      <c r="AK256" s="17">
        <v>43901</v>
      </c>
      <c r="AL256" s="18" t="s">
        <v>40</v>
      </c>
      <c r="AM256" s="14" t="s">
        <v>410</v>
      </c>
      <c r="AN256" s="14" t="s">
        <v>36</v>
      </c>
      <c r="AO256" s="14" t="s">
        <v>791</v>
      </c>
      <c r="AP256" s="14" t="s">
        <v>37</v>
      </c>
      <c r="AQ256" s="14" t="s">
        <v>184</v>
      </c>
      <c r="AR256" s="14" t="s">
        <v>4</v>
      </c>
      <c r="AS256" s="14">
        <v>0</v>
      </c>
      <c r="AT256" s="14">
        <v>0</v>
      </c>
      <c r="AU256" s="14">
        <v>0</v>
      </c>
      <c r="AV256" s="14">
        <v>0</v>
      </c>
      <c r="AW256" s="14"/>
      <c r="AX256" s="14"/>
      <c r="AY256" s="14"/>
      <c r="AZ256" s="14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</row>
    <row r="257" spans="1:66" s="2" customFormat="1" ht="12" customHeight="1" x14ac:dyDescent="0.25">
      <c r="A257" s="9">
        <f t="shared" si="3"/>
        <v>1</v>
      </c>
      <c r="B257" s="6"/>
      <c r="C257" s="6"/>
      <c r="D257" s="24"/>
      <c r="E257" s="12" t="s">
        <v>38</v>
      </c>
      <c r="F257" s="25">
        <v>0</v>
      </c>
      <c r="G257" s="12" t="s">
        <v>792</v>
      </c>
      <c r="H257" s="12">
        <v>0</v>
      </c>
      <c r="I257" s="12">
        <v>0</v>
      </c>
      <c r="J257" s="12">
        <v>0</v>
      </c>
      <c r="K257" s="12">
        <v>0</v>
      </c>
      <c r="L257" s="13">
        <v>0</v>
      </c>
      <c r="M257" s="13">
        <v>0</v>
      </c>
      <c r="N257" s="12">
        <v>0</v>
      </c>
      <c r="O257" s="12">
        <v>0</v>
      </c>
      <c r="P257" s="12">
        <v>0</v>
      </c>
      <c r="Q257" s="14">
        <v>0</v>
      </c>
      <c r="R257" s="15">
        <v>950435.14999999991</v>
      </c>
      <c r="S257" s="16">
        <v>950435.14999999991</v>
      </c>
      <c r="T257" s="15">
        <v>592665.2699999999</v>
      </c>
      <c r="U257" s="16">
        <v>0</v>
      </c>
      <c r="V257" s="15">
        <v>357769.88000000006</v>
      </c>
      <c r="W257" s="16">
        <v>0</v>
      </c>
      <c r="X257" s="15">
        <v>0</v>
      </c>
      <c r="Y257" s="16">
        <v>0</v>
      </c>
      <c r="Z257" s="15">
        <v>0</v>
      </c>
      <c r="AA257" s="16">
        <v>0</v>
      </c>
      <c r="AB257" s="15">
        <v>0</v>
      </c>
      <c r="AC257" s="16">
        <v>0</v>
      </c>
      <c r="AD257" s="15">
        <v>0</v>
      </c>
      <c r="AE257" s="16">
        <v>0</v>
      </c>
      <c r="AF257" s="15">
        <v>0</v>
      </c>
      <c r="AG257" s="16">
        <v>0</v>
      </c>
      <c r="AH257" s="15">
        <v>0</v>
      </c>
      <c r="AI257" s="15" t="s">
        <v>793</v>
      </c>
      <c r="AJ257" s="14">
        <v>0.61526620370370366</v>
      </c>
      <c r="AK257" s="17">
        <v>43901</v>
      </c>
      <c r="AL257" s="18" t="s">
        <v>40</v>
      </c>
      <c r="AM257" s="14" t="s">
        <v>410</v>
      </c>
      <c r="AN257" s="14" t="s">
        <v>36</v>
      </c>
      <c r="AO257" s="14" t="s">
        <v>794</v>
      </c>
      <c r="AP257" s="14" t="s">
        <v>37</v>
      </c>
      <c r="AQ257" s="14" t="s">
        <v>184</v>
      </c>
      <c r="AR257" s="14" t="s">
        <v>4</v>
      </c>
      <c r="AS257" s="14">
        <v>0</v>
      </c>
      <c r="AT257" s="14">
        <v>0</v>
      </c>
      <c r="AU257" s="14">
        <v>0</v>
      </c>
      <c r="AV257" s="14">
        <v>0</v>
      </c>
      <c r="AW257" s="14"/>
      <c r="AX257" s="14"/>
      <c r="AY257" s="14"/>
      <c r="AZ257" s="14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</row>
    <row r="258" spans="1:66" s="2" customFormat="1" ht="12" customHeight="1" x14ac:dyDescent="0.25">
      <c r="A258" s="9">
        <f t="shared" si="3"/>
        <v>1</v>
      </c>
      <c r="B258" s="6"/>
      <c r="C258" s="6"/>
      <c r="D258" s="24"/>
      <c r="E258" s="12" t="s">
        <v>38</v>
      </c>
      <c r="F258" s="25">
        <v>0</v>
      </c>
      <c r="G258" s="12" t="s">
        <v>795</v>
      </c>
      <c r="H258" s="12">
        <v>0</v>
      </c>
      <c r="I258" s="12">
        <v>0</v>
      </c>
      <c r="J258" s="12">
        <v>0</v>
      </c>
      <c r="K258" s="12">
        <v>0</v>
      </c>
      <c r="L258" s="13">
        <v>0</v>
      </c>
      <c r="M258" s="13">
        <v>0</v>
      </c>
      <c r="N258" s="12">
        <v>0</v>
      </c>
      <c r="O258" s="12">
        <v>0</v>
      </c>
      <c r="P258" s="12">
        <v>0</v>
      </c>
      <c r="Q258" s="14">
        <v>0</v>
      </c>
      <c r="R258" s="15">
        <v>1109611.3399999999</v>
      </c>
      <c r="S258" s="16">
        <v>1109611.3399999999</v>
      </c>
      <c r="T258" s="15">
        <v>675924.34</v>
      </c>
      <c r="U258" s="16">
        <v>0</v>
      </c>
      <c r="V258" s="15">
        <v>433687</v>
      </c>
      <c r="W258" s="16">
        <v>0</v>
      </c>
      <c r="X258" s="15">
        <v>0</v>
      </c>
      <c r="Y258" s="16">
        <v>0</v>
      </c>
      <c r="Z258" s="15">
        <v>0</v>
      </c>
      <c r="AA258" s="16">
        <v>0</v>
      </c>
      <c r="AB258" s="15">
        <v>0</v>
      </c>
      <c r="AC258" s="16">
        <v>0</v>
      </c>
      <c r="AD258" s="15">
        <v>0</v>
      </c>
      <c r="AE258" s="16">
        <v>0</v>
      </c>
      <c r="AF258" s="15">
        <v>0</v>
      </c>
      <c r="AG258" s="16">
        <v>0</v>
      </c>
      <c r="AH258" s="15">
        <v>0</v>
      </c>
      <c r="AI258" s="15" t="s">
        <v>796</v>
      </c>
      <c r="AJ258" s="14">
        <v>0.61699074074074078</v>
      </c>
      <c r="AK258" s="17">
        <v>43901</v>
      </c>
      <c r="AL258" s="18" t="s">
        <v>40</v>
      </c>
      <c r="AM258" s="14" t="s">
        <v>410</v>
      </c>
      <c r="AN258" s="14" t="s">
        <v>36</v>
      </c>
      <c r="AO258" s="14" t="s">
        <v>797</v>
      </c>
      <c r="AP258" s="14" t="s">
        <v>37</v>
      </c>
      <c r="AQ258" s="14" t="s">
        <v>184</v>
      </c>
      <c r="AR258" s="14" t="s">
        <v>4</v>
      </c>
      <c r="AS258" s="14">
        <v>0</v>
      </c>
      <c r="AT258" s="14">
        <v>0</v>
      </c>
      <c r="AU258" s="14">
        <v>0</v>
      </c>
      <c r="AV258" s="14">
        <v>0</v>
      </c>
      <c r="AW258" s="14"/>
      <c r="AX258" s="14"/>
      <c r="AY258" s="14"/>
      <c r="AZ258" s="14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</row>
    <row r="259" spans="1:66" s="2" customFormat="1" ht="12" customHeight="1" x14ac:dyDescent="0.25">
      <c r="A259" s="9">
        <f t="shared" si="3"/>
        <v>1</v>
      </c>
      <c r="B259" s="6"/>
      <c r="C259" s="6"/>
      <c r="D259" s="24"/>
      <c r="E259" s="12" t="s">
        <v>38</v>
      </c>
      <c r="F259" s="25">
        <v>0</v>
      </c>
      <c r="G259" s="12" t="s">
        <v>798</v>
      </c>
      <c r="H259" s="12">
        <v>0</v>
      </c>
      <c r="I259" s="12">
        <v>0</v>
      </c>
      <c r="J259" s="12">
        <v>0</v>
      </c>
      <c r="K259" s="12">
        <v>0</v>
      </c>
      <c r="L259" s="13">
        <v>0</v>
      </c>
      <c r="M259" s="13">
        <v>0</v>
      </c>
      <c r="N259" s="12">
        <v>0</v>
      </c>
      <c r="O259" s="12">
        <v>0</v>
      </c>
      <c r="P259" s="12">
        <v>0</v>
      </c>
      <c r="Q259" s="14">
        <v>0</v>
      </c>
      <c r="R259" s="15">
        <v>942365.62999999989</v>
      </c>
      <c r="S259" s="16">
        <v>942365.62999999989</v>
      </c>
      <c r="T259" s="15">
        <v>588661.22999999986</v>
      </c>
      <c r="U259" s="16">
        <v>0</v>
      </c>
      <c r="V259" s="15">
        <v>353704.40000000008</v>
      </c>
      <c r="W259" s="16">
        <v>0</v>
      </c>
      <c r="X259" s="15">
        <v>0</v>
      </c>
      <c r="Y259" s="16">
        <v>0</v>
      </c>
      <c r="Z259" s="15">
        <v>0</v>
      </c>
      <c r="AA259" s="16">
        <v>0</v>
      </c>
      <c r="AB259" s="15">
        <v>0</v>
      </c>
      <c r="AC259" s="16">
        <v>0</v>
      </c>
      <c r="AD259" s="15">
        <v>0</v>
      </c>
      <c r="AE259" s="16">
        <v>0</v>
      </c>
      <c r="AF259" s="15">
        <v>0</v>
      </c>
      <c r="AG259" s="16">
        <v>0</v>
      </c>
      <c r="AH259" s="15">
        <v>0</v>
      </c>
      <c r="AI259" s="15" t="s">
        <v>799</v>
      </c>
      <c r="AJ259" s="14">
        <v>0.67252314814814806</v>
      </c>
      <c r="AK259" s="17">
        <v>43901</v>
      </c>
      <c r="AL259" s="18" t="s">
        <v>568</v>
      </c>
      <c r="AM259" s="14" t="s">
        <v>569</v>
      </c>
      <c r="AN259" s="14" t="s">
        <v>36</v>
      </c>
      <c r="AO259" s="14" t="s">
        <v>800</v>
      </c>
      <c r="AP259" s="14" t="s">
        <v>37</v>
      </c>
      <c r="AQ259" s="14" t="s">
        <v>184</v>
      </c>
      <c r="AR259" s="14" t="s">
        <v>4</v>
      </c>
      <c r="AS259" s="14">
        <v>0</v>
      </c>
      <c r="AT259" s="14">
        <v>0</v>
      </c>
      <c r="AU259" s="14">
        <v>0</v>
      </c>
      <c r="AV259" s="14">
        <v>0</v>
      </c>
      <c r="AW259" s="14"/>
      <c r="AX259" s="14"/>
      <c r="AY259" s="14"/>
      <c r="AZ259" s="14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</row>
    <row r="260" spans="1:66" s="2" customFormat="1" ht="12" customHeight="1" x14ac:dyDescent="0.25">
      <c r="A260" s="9">
        <f t="shared" si="3"/>
        <v>1</v>
      </c>
      <c r="B260" s="6"/>
      <c r="C260" s="6"/>
      <c r="D260" s="24"/>
      <c r="E260" s="12" t="s">
        <v>38</v>
      </c>
      <c r="F260" s="25">
        <v>0</v>
      </c>
      <c r="G260" s="12" t="s">
        <v>801</v>
      </c>
      <c r="H260" s="12">
        <v>0</v>
      </c>
      <c r="I260" s="12">
        <v>0</v>
      </c>
      <c r="J260" s="12">
        <v>0</v>
      </c>
      <c r="K260" s="12">
        <v>0</v>
      </c>
      <c r="L260" s="13">
        <v>0</v>
      </c>
      <c r="M260" s="13">
        <v>0</v>
      </c>
      <c r="N260" s="12">
        <v>0</v>
      </c>
      <c r="O260" s="12">
        <v>0</v>
      </c>
      <c r="P260" s="12">
        <v>0</v>
      </c>
      <c r="Q260" s="14">
        <v>0</v>
      </c>
      <c r="R260" s="15">
        <v>949784.48</v>
      </c>
      <c r="S260" s="16">
        <v>949784.48</v>
      </c>
      <c r="T260" s="15">
        <v>592014.59999999986</v>
      </c>
      <c r="U260" s="16">
        <v>0</v>
      </c>
      <c r="V260" s="15">
        <v>357769.88000000006</v>
      </c>
      <c r="W260" s="16">
        <v>0</v>
      </c>
      <c r="X260" s="15">
        <v>0</v>
      </c>
      <c r="Y260" s="16">
        <v>0</v>
      </c>
      <c r="Z260" s="15">
        <v>0</v>
      </c>
      <c r="AA260" s="16">
        <v>0</v>
      </c>
      <c r="AB260" s="15">
        <v>0</v>
      </c>
      <c r="AC260" s="16">
        <v>0</v>
      </c>
      <c r="AD260" s="15">
        <v>0</v>
      </c>
      <c r="AE260" s="16">
        <v>0</v>
      </c>
      <c r="AF260" s="15">
        <v>0</v>
      </c>
      <c r="AG260" s="16">
        <v>0</v>
      </c>
      <c r="AH260" s="15">
        <v>0</v>
      </c>
      <c r="AI260" s="15" t="s">
        <v>802</v>
      </c>
      <c r="AJ260" s="14">
        <v>0.68593749999999998</v>
      </c>
      <c r="AK260" s="17">
        <v>43901</v>
      </c>
      <c r="AL260" s="18" t="s">
        <v>568</v>
      </c>
      <c r="AM260" s="14" t="s">
        <v>569</v>
      </c>
      <c r="AN260" s="14" t="s">
        <v>36</v>
      </c>
      <c r="AO260" s="14" t="s">
        <v>803</v>
      </c>
      <c r="AP260" s="14" t="s">
        <v>37</v>
      </c>
      <c r="AQ260" s="14" t="s">
        <v>184</v>
      </c>
      <c r="AR260" s="14" t="s">
        <v>4</v>
      </c>
      <c r="AS260" s="14">
        <v>0</v>
      </c>
      <c r="AT260" s="14">
        <v>0</v>
      </c>
      <c r="AU260" s="14">
        <v>0</v>
      </c>
      <c r="AV260" s="14">
        <v>0</v>
      </c>
      <c r="AW260" s="14"/>
      <c r="AX260" s="14"/>
      <c r="AY260" s="14"/>
      <c r="AZ260" s="14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</row>
    <row r="261" spans="1:66" s="2" customFormat="1" ht="12" customHeight="1" x14ac:dyDescent="0.25">
      <c r="A261" s="9">
        <f t="shared" si="3"/>
        <v>1</v>
      </c>
      <c r="B261" s="6"/>
      <c r="C261" s="6"/>
      <c r="D261" s="24"/>
      <c r="E261" s="12" t="s">
        <v>38</v>
      </c>
      <c r="F261" s="25">
        <v>0</v>
      </c>
      <c r="G261" s="12" t="s">
        <v>804</v>
      </c>
      <c r="H261" s="12">
        <v>0</v>
      </c>
      <c r="I261" s="12">
        <v>0</v>
      </c>
      <c r="J261" s="12">
        <v>0</v>
      </c>
      <c r="K261" s="12">
        <v>0</v>
      </c>
      <c r="L261" s="13">
        <v>0</v>
      </c>
      <c r="M261" s="13">
        <v>0</v>
      </c>
      <c r="N261" s="12">
        <v>0</v>
      </c>
      <c r="O261" s="12">
        <v>0</v>
      </c>
      <c r="P261" s="12">
        <v>0</v>
      </c>
      <c r="Q261" s="14">
        <v>0</v>
      </c>
      <c r="R261" s="15">
        <v>935263.33000000007</v>
      </c>
      <c r="S261" s="16">
        <v>935263.33000000007</v>
      </c>
      <c r="T261" s="15">
        <v>586505.32999999996</v>
      </c>
      <c r="U261" s="16">
        <v>0</v>
      </c>
      <c r="V261" s="15">
        <v>348758.00000000006</v>
      </c>
      <c r="W261" s="16">
        <v>0</v>
      </c>
      <c r="X261" s="15">
        <v>0</v>
      </c>
      <c r="Y261" s="16">
        <v>0</v>
      </c>
      <c r="Z261" s="15">
        <v>0</v>
      </c>
      <c r="AA261" s="16">
        <v>0</v>
      </c>
      <c r="AB261" s="15">
        <v>0</v>
      </c>
      <c r="AC261" s="16">
        <v>0</v>
      </c>
      <c r="AD261" s="15">
        <v>0</v>
      </c>
      <c r="AE261" s="16">
        <v>0</v>
      </c>
      <c r="AF261" s="15">
        <v>0</v>
      </c>
      <c r="AG261" s="16">
        <v>0</v>
      </c>
      <c r="AH261" s="15">
        <v>0</v>
      </c>
      <c r="AI261" s="15" t="s">
        <v>805</v>
      </c>
      <c r="AJ261" s="14">
        <v>0.68615740740740738</v>
      </c>
      <c r="AK261" s="17">
        <v>43901</v>
      </c>
      <c r="AL261" s="18" t="s">
        <v>568</v>
      </c>
      <c r="AM261" s="14" t="s">
        <v>569</v>
      </c>
      <c r="AN261" s="14" t="s">
        <v>36</v>
      </c>
      <c r="AO261" s="14" t="s">
        <v>806</v>
      </c>
      <c r="AP261" s="14" t="s">
        <v>37</v>
      </c>
      <c r="AQ261" s="14" t="s">
        <v>184</v>
      </c>
      <c r="AR261" s="14" t="s">
        <v>4</v>
      </c>
      <c r="AS261" s="14">
        <v>0</v>
      </c>
      <c r="AT261" s="14">
        <v>0</v>
      </c>
      <c r="AU261" s="14">
        <v>0</v>
      </c>
      <c r="AV261" s="14">
        <v>0</v>
      </c>
      <c r="AW261" s="14"/>
      <c r="AX261" s="14"/>
      <c r="AY261" s="14"/>
      <c r="AZ261" s="14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</row>
    <row r="262" spans="1:66" s="2" customFormat="1" ht="12" customHeight="1" x14ac:dyDescent="0.25">
      <c r="A262" s="9">
        <f t="shared" si="3"/>
        <v>1</v>
      </c>
      <c r="B262" s="6"/>
      <c r="C262" s="6"/>
      <c r="D262" s="24"/>
      <c r="E262" s="12" t="s">
        <v>38</v>
      </c>
      <c r="F262" s="25">
        <v>0</v>
      </c>
      <c r="G262" s="12" t="s">
        <v>807</v>
      </c>
      <c r="H262" s="12">
        <v>0</v>
      </c>
      <c r="I262" s="12">
        <v>0</v>
      </c>
      <c r="J262" s="12">
        <v>0</v>
      </c>
      <c r="K262" s="12">
        <v>0</v>
      </c>
      <c r="L262" s="13">
        <v>0</v>
      </c>
      <c r="M262" s="13">
        <v>0</v>
      </c>
      <c r="N262" s="12">
        <v>0</v>
      </c>
      <c r="O262" s="12">
        <v>0</v>
      </c>
      <c r="P262" s="12">
        <v>0</v>
      </c>
      <c r="Q262" s="14">
        <v>0</v>
      </c>
      <c r="R262" s="15">
        <v>943332.25</v>
      </c>
      <c r="S262" s="16">
        <v>943332.25</v>
      </c>
      <c r="T262" s="15">
        <v>590508.7699999999</v>
      </c>
      <c r="U262" s="16">
        <v>0</v>
      </c>
      <c r="V262" s="15">
        <v>352823.48000000004</v>
      </c>
      <c r="W262" s="16">
        <v>0</v>
      </c>
      <c r="X262" s="15">
        <v>0</v>
      </c>
      <c r="Y262" s="16">
        <v>0</v>
      </c>
      <c r="Z262" s="15">
        <v>0</v>
      </c>
      <c r="AA262" s="16">
        <v>0</v>
      </c>
      <c r="AB262" s="15">
        <v>0</v>
      </c>
      <c r="AC262" s="16">
        <v>0</v>
      </c>
      <c r="AD262" s="15">
        <v>0</v>
      </c>
      <c r="AE262" s="16">
        <v>0</v>
      </c>
      <c r="AF262" s="15">
        <v>0</v>
      </c>
      <c r="AG262" s="16">
        <v>0</v>
      </c>
      <c r="AH262" s="15">
        <v>0</v>
      </c>
      <c r="AI262" s="15" t="s">
        <v>808</v>
      </c>
      <c r="AJ262" s="14">
        <v>0.64880787037037035</v>
      </c>
      <c r="AK262" s="17">
        <v>43902</v>
      </c>
      <c r="AL262" s="18" t="s">
        <v>40</v>
      </c>
      <c r="AM262" s="14" t="s">
        <v>410</v>
      </c>
      <c r="AN262" s="14" t="s">
        <v>36</v>
      </c>
      <c r="AO262" s="14" t="s">
        <v>809</v>
      </c>
      <c r="AP262" s="14" t="s">
        <v>37</v>
      </c>
      <c r="AQ262" s="14" t="s">
        <v>184</v>
      </c>
      <c r="AR262" s="14" t="s">
        <v>4</v>
      </c>
      <c r="AS262" s="14">
        <v>0</v>
      </c>
      <c r="AT262" s="14">
        <v>0</v>
      </c>
      <c r="AU262" s="14">
        <v>0</v>
      </c>
      <c r="AV262" s="14">
        <v>0</v>
      </c>
      <c r="AW262" s="14"/>
      <c r="AX262" s="14"/>
      <c r="AY262" s="14"/>
      <c r="AZ262" s="14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</row>
    <row r="263" spans="1:66" s="2" customFormat="1" ht="12" customHeight="1" x14ac:dyDescent="0.25">
      <c r="A263" s="9">
        <f t="shared" si="3"/>
        <v>1</v>
      </c>
      <c r="B263" s="6"/>
      <c r="C263" s="6"/>
      <c r="D263" s="24"/>
      <c r="E263" s="12" t="s">
        <v>38</v>
      </c>
      <c r="F263" s="25">
        <v>0</v>
      </c>
      <c r="G263" s="12" t="s">
        <v>810</v>
      </c>
      <c r="H263" s="12">
        <v>0</v>
      </c>
      <c r="I263" s="12">
        <v>0</v>
      </c>
      <c r="J263" s="12">
        <v>0</v>
      </c>
      <c r="K263" s="12">
        <v>0</v>
      </c>
      <c r="L263" s="13">
        <v>0</v>
      </c>
      <c r="M263" s="13">
        <v>0</v>
      </c>
      <c r="N263" s="12">
        <v>0</v>
      </c>
      <c r="O263" s="12">
        <v>0</v>
      </c>
      <c r="P263" s="12">
        <v>0</v>
      </c>
      <c r="Q263" s="14">
        <v>0</v>
      </c>
      <c r="R263" s="15">
        <v>1128725.0199999998</v>
      </c>
      <c r="S263" s="16">
        <v>1128725.0199999998</v>
      </c>
      <c r="T263" s="15">
        <v>694954.29999999993</v>
      </c>
      <c r="U263" s="16">
        <v>0</v>
      </c>
      <c r="V263" s="15">
        <v>433770.71999999991</v>
      </c>
      <c r="W263" s="16">
        <v>0</v>
      </c>
      <c r="X263" s="15">
        <v>0</v>
      </c>
      <c r="Y263" s="16">
        <v>0</v>
      </c>
      <c r="Z263" s="15">
        <v>0</v>
      </c>
      <c r="AA263" s="16">
        <v>0</v>
      </c>
      <c r="AB263" s="15">
        <v>0</v>
      </c>
      <c r="AC263" s="16">
        <v>0</v>
      </c>
      <c r="AD263" s="15">
        <v>0</v>
      </c>
      <c r="AE263" s="16">
        <v>0</v>
      </c>
      <c r="AF263" s="15">
        <v>0</v>
      </c>
      <c r="AG263" s="16">
        <v>0</v>
      </c>
      <c r="AH263" s="15">
        <v>0</v>
      </c>
      <c r="AI263" s="15" t="s">
        <v>811</v>
      </c>
      <c r="AJ263" s="14">
        <v>0.68658564814814815</v>
      </c>
      <c r="AK263" s="17">
        <v>43901</v>
      </c>
      <c r="AL263" s="18" t="s">
        <v>568</v>
      </c>
      <c r="AM263" s="14" t="s">
        <v>569</v>
      </c>
      <c r="AN263" s="14" t="s">
        <v>36</v>
      </c>
      <c r="AO263" s="14" t="s">
        <v>812</v>
      </c>
      <c r="AP263" s="14" t="s">
        <v>37</v>
      </c>
      <c r="AQ263" s="14" t="s">
        <v>184</v>
      </c>
      <c r="AR263" s="14" t="s">
        <v>4</v>
      </c>
      <c r="AS263" s="14">
        <v>0</v>
      </c>
      <c r="AT263" s="14">
        <v>0</v>
      </c>
      <c r="AU263" s="14">
        <v>0</v>
      </c>
      <c r="AV263" s="14">
        <v>0</v>
      </c>
      <c r="AW263" s="14"/>
      <c r="AX263" s="14"/>
      <c r="AY263" s="14"/>
      <c r="AZ263" s="14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</row>
    <row r="264" spans="1:66" s="2" customFormat="1" ht="12" customHeight="1" x14ac:dyDescent="0.25">
      <c r="A264" s="9">
        <f t="shared" si="3"/>
        <v>1</v>
      </c>
      <c r="B264" s="6"/>
      <c r="C264" s="6"/>
      <c r="D264" s="24"/>
      <c r="E264" s="12" t="s">
        <v>38</v>
      </c>
      <c r="F264" s="25">
        <v>0</v>
      </c>
      <c r="G264" s="12" t="s">
        <v>813</v>
      </c>
      <c r="H264" s="12">
        <v>0</v>
      </c>
      <c r="I264" s="12">
        <v>0</v>
      </c>
      <c r="J264" s="12">
        <v>0</v>
      </c>
      <c r="K264" s="12">
        <v>0</v>
      </c>
      <c r="L264" s="13">
        <v>0</v>
      </c>
      <c r="M264" s="13">
        <v>0</v>
      </c>
      <c r="N264" s="12">
        <v>0</v>
      </c>
      <c r="O264" s="12">
        <v>0</v>
      </c>
      <c r="P264" s="12">
        <v>0</v>
      </c>
      <c r="Q264" s="14">
        <v>0</v>
      </c>
      <c r="R264" s="15">
        <v>1128725.0199999998</v>
      </c>
      <c r="S264" s="16">
        <v>1128725.0199999998</v>
      </c>
      <c r="T264" s="15">
        <v>694954.29999999993</v>
      </c>
      <c r="U264" s="16">
        <v>0</v>
      </c>
      <c r="V264" s="15">
        <v>433770.71999999991</v>
      </c>
      <c r="W264" s="16">
        <v>0</v>
      </c>
      <c r="X264" s="15">
        <v>0</v>
      </c>
      <c r="Y264" s="16">
        <v>0</v>
      </c>
      <c r="Z264" s="15">
        <v>0</v>
      </c>
      <c r="AA264" s="16">
        <v>0</v>
      </c>
      <c r="AB264" s="15">
        <v>0</v>
      </c>
      <c r="AC264" s="16">
        <v>0</v>
      </c>
      <c r="AD264" s="15">
        <v>0</v>
      </c>
      <c r="AE264" s="16">
        <v>0</v>
      </c>
      <c r="AF264" s="15">
        <v>0</v>
      </c>
      <c r="AG264" s="16">
        <v>0</v>
      </c>
      <c r="AH264" s="15">
        <v>0</v>
      </c>
      <c r="AI264" s="15" t="s">
        <v>829</v>
      </c>
      <c r="AJ264" s="14">
        <v>0.68678240740740737</v>
      </c>
      <c r="AK264" s="17">
        <v>43901</v>
      </c>
      <c r="AL264" s="18" t="s">
        <v>568</v>
      </c>
      <c r="AM264" s="14" t="s">
        <v>569</v>
      </c>
      <c r="AN264" s="14" t="s">
        <v>36</v>
      </c>
      <c r="AO264" s="14" t="s">
        <v>830</v>
      </c>
      <c r="AP264" s="14" t="s">
        <v>37</v>
      </c>
      <c r="AQ264" s="14" t="s">
        <v>184</v>
      </c>
      <c r="AR264" s="14" t="s">
        <v>4</v>
      </c>
      <c r="AS264" s="14">
        <v>0</v>
      </c>
      <c r="AT264" s="14">
        <v>0</v>
      </c>
      <c r="AU264" s="14">
        <v>0</v>
      </c>
      <c r="AV264" s="14">
        <v>0</v>
      </c>
      <c r="AW264" s="14"/>
      <c r="AX264" s="14"/>
      <c r="AY264" s="14"/>
      <c r="AZ264" s="14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</row>
    <row r="265" spans="1:66" s="2" customFormat="1" ht="12" customHeight="1" x14ac:dyDescent="0.25">
      <c r="A265" s="9">
        <f t="shared" si="3"/>
        <v>1</v>
      </c>
      <c r="B265" s="6"/>
      <c r="C265" s="6"/>
      <c r="D265" s="24"/>
      <c r="E265" s="12" t="s">
        <v>38</v>
      </c>
      <c r="F265" s="25">
        <v>0</v>
      </c>
      <c r="G265" s="12" t="s">
        <v>814</v>
      </c>
      <c r="H265" s="12">
        <v>0</v>
      </c>
      <c r="I265" s="12">
        <v>0</v>
      </c>
      <c r="J265" s="12">
        <v>0</v>
      </c>
      <c r="K265" s="12">
        <v>0</v>
      </c>
      <c r="L265" s="13">
        <v>0</v>
      </c>
      <c r="M265" s="13">
        <v>0</v>
      </c>
      <c r="N265" s="12">
        <v>0</v>
      </c>
      <c r="O265" s="12">
        <v>0</v>
      </c>
      <c r="P265" s="12">
        <v>0</v>
      </c>
      <c r="Q265" s="14">
        <v>0</v>
      </c>
      <c r="R265" s="15">
        <v>943332.25</v>
      </c>
      <c r="S265" s="16">
        <v>943332.25</v>
      </c>
      <c r="T265" s="15">
        <v>590508.7699999999</v>
      </c>
      <c r="U265" s="16">
        <v>0</v>
      </c>
      <c r="V265" s="15">
        <v>352823.48000000004</v>
      </c>
      <c r="W265" s="16">
        <v>0</v>
      </c>
      <c r="X265" s="15">
        <v>0</v>
      </c>
      <c r="Y265" s="16">
        <v>0</v>
      </c>
      <c r="Z265" s="15">
        <v>0</v>
      </c>
      <c r="AA265" s="16">
        <v>0</v>
      </c>
      <c r="AB265" s="15">
        <v>0</v>
      </c>
      <c r="AC265" s="16">
        <v>0</v>
      </c>
      <c r="AD265" s="15">
        <v>0</v>
      </c>
      <c r="AE265" s="16">
        <v>0</v>
      </c>
      <c r="AF265" s="15">
        <v>0</v>
      </c>
      <c r="AG265" s="16">
        <v>0</v>
      </c>
      <c r="AH265" s="15">
        <v>0</v>
      </c>
      <c r="AI265" s="15" t="s">
        <v>815</v>
      </c>
      <c r="AJ265" s="14">
        <v>0.34596064814814814</v>
      </c>
      <c r="AK265" s="17">
        <v>43902</v>
      </c>
      <c r="AL265" s="18" t="s">
        <v>40</v>
      </c>
      <c r="AM265" s="14" t="s">
        <v>410</v>
      </c>
      <c r="AN265" s="14" t="s">
        <v>36</v>
      </c>
      <c r="AO265" s="14" t="s">
        <v>816</v>
      </c>
      <c r="AP265" s="14" t="s">
        <v>37</v>
      </c>
      <c r="AQ265" s="14" t="s">
        <v>184</v>
      </c>
      <c r="AR265" s="14" t="s">
        <v>4</v>
      </c>
      <c r="AS265" s="14">
        <v>0</v>
      </c>
      <c r="AT265" s="14">
        <v>0</v>
      </c>
      <c r="AU265" s="14">
        <v>0</v>
      </c>
      <c r="AV265" s="14">
        <v>0</v>
      </c>
      <c r="AW265" s="14"/>
      <c r="AX265" s="14"/>
      <c r="AY265" s="14"/>
      <c r="AZ265" s="14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</row>
    <row r="266" spans="1:66" s="2" customFormat="1" ht="12" customHeight="1" x14ac:dyDescent="0.25">
      <c r="A266" s="9">
        <f t="shared" si="3"/>
        <v>1</v>
      </c>
      <c r="B266" s="6"/>
      <c r="C266" s="6"/>
      <c r="D266" s="24"/>
      <c r="E266" s="12" t="s">
        <v>38</v>
      </c>
      <c r="F266" s="25">
        <v>0</v>
      </c>
      <c r="G266" s="12" t="s">
        <v>817</v>
      </c>
      <c r="H266" s="12">
        <v>0</v>
      </c>
      <c r="I266" s="12">
        <v>0</v>
      </c>
      <c r="J266" s="12">
        <v>0</v>
      </c>
      <c r="K266" s="12">
        <v>0</v>
      </c>
      <c r="L266" s="13">
        <v>0</v>
      </c>
      <c r="M266" s="13">
        <v>0</v>
      </c>
      <c r="N266" s="12">
        <v>0</v>
      </c>
      <c r="O266" s="12">
        <v>0</v>
      </c>
      <c r="P266" s="12">
        <v>0</v>
      </c>
      <c r="Q266" s="14">
        <v>0</v>
      </c>
      <c r="R266" s="15">
        <v>943332.25</v>
      </c>
      <c r="S266" s="16">
        <v>943332.25</v>
      </c>
      <c r="T266" s="15">
        <v>590508.7699999999</v>
      </c>
      <c r="U266" s="16">
        <v>0</v>
      </c>
      <c r="V266" s="15">
        <v>352823.48000000004</v>
      </c>
      <c r="W266" s="16">
        <v>0</v>
      </c>
      <c r="X266" s="15">
        <v>0</v>
      </c>
      <c r="Y266" s="16">
        <v>0</v>
      </c>
      <c r="Z266" s="15">
        <v>0</v>
      </c>
      <c r="AA266" s="16">
        <v>0</v>
      </c>
      <c r="AB266" s="15">
        <v>0</v>
      </c>
      <c r="AC266" s="16">
        <v>0</v>
      </c>
      <c r="AD266" s="15">
        <v>0</v>
      </c>
      <c r="AE266" s="16">
        <v>0</v>
      </c>
      <c r="AF266" s="15">
        <v>0</v>
      </c>
      <c r="AG266" s="16">
        <v>0</v>
      </c>
      <c r="AH266" s="15">
        <v>0</v>
      </c>
      <c r="AI266" s="15" t="s">
        <v>818</v>
      </c>
      <c r="AJ266" s="14">
        <v>0.34634259259259265</v>
      </c>
      <c r="AK266" s="17">
        <v>43902</v>
      </c>
      <c r="AL266" s="18" t="s">
        <v>40</v>
      </c>
      <c r="AM266" s="14" t="s">
        <v>410</v>
      </c>
      <c r="AN266" s="14" t="s">
        <v>36</v>
      </c>
      <c r="AO266" s="14" t="s">
        <v>819</v>
      </c>
      <c r="AP266" s="14" t="s">
        <v>37</v>
      </c>
      <c r="AQ266" s="14" t="s">
        <v>184</v>
      </c>
      <c r="AR266" s="14" t="s">
        <v>4</v>
      </c>
      <c r="AS266" s="14">
        <v>0</v>
      </c>
      <c r="AT266" s="14">
        <v>0</v>
      </c>
      <c r="AU266" s="14">
        <v>0</v>
      </c>
      <c r="AV266" s="14">
        <v>0</v>
      </c>
      <c r="AW266" s="14"/>
      <c r="AX266" s="14"/>
      <c r="AY266" s="14"/>
      <c r="AZ266" s="14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</row>
    <row r="267" spans="1:66" s="2" customFormat="1" ht="12" customHeight="1" x14ac:dyDescent="0.25">
      <c r="A267" s="9">
        <f t="shared" si="3"/>
        <v>1</v>
      </c>
      <c r="B267" s="6"/>
      <c r="C267" s="6"/>
      <c r="D267" s="24"/>
      <c r="E267" s="12" t="s">
        <v>38</v>
      </c>
      <c r="F267" s="25">
        <v>0</v>
      </c>
      <c r="G267" s="12" t="s">
        <v>820</v>
      </c>
      <c r="H267" s="12">
        <v>0</v>
      </c>
      <c r="I267" s="12">
        <v>0</v>
      </c>
      <c r="J267" s="12">
        <v>0</v>
      </c>
      <c r="K267" s="12">
        <v>0</v>
      </c>
      <c r="L267" s="13">
        <v>0</v>
      </c>
      <c r="M267" s="13">
        <v>0</v>
      </c>
      <c r="N267" s="12">
        <v>0</v>
      </c>
      <c r="O267" s="12">
        <v>0</v>
      </c>
      <c r="P267" s="12">
        <v>0</v>
      </c>
      <c r="Q267" s="14">
        <v>0</v>
      </c>
      <c r="R267" s="15">
        <v>10086.569000000001</v>
      </c>
      <c r="S267" s="16">
        <v>10086.569000000001</v>
      </c>
      <c r="T267" s="15">
        <v>5600</v>
      </c>
      <c r="U267" s="16">
        <v>0</v>
      </c>
      <c r="V267" s="15">
        <v>3000</v>
      </c>
      <c r="W267" s="16">
        <v>0</v>
      </c>
      <c r="X267" s="15">
        <v>616.70000000000005</v>
      </c>
      <c r="Y267" s="16">
        <v>0</v>
      </c>
      <c r="Z267" s="15">
        <v>210.00000000000003</v>
      </c>
      <c r="AA267" s="16">
        <v>0</v>
      </c>
      <c r="AB267" s="15">
        <v>659.86900000000014</v>
      </c>
      <c r="AC267" s="16">
        <v>0</v>
      </c>
      <c r="AD267" s="15">
        <v>0</v>
      </c>
      <c r="AE267" s="16">
        <v>0</v>
      </c>
      <c r="AF267" s="15">
        <v>0</v>
      </c>
      <c r="AG267" s="16">
        <v>0</v>
      </c>
      <c r="AH267" s="15">
        <v>0</v>
      </c>
      <c r="AI267" s="15" t="s">
        <v>821</v>
      </c>
      <c r="AJ267" s="14">
        <v>0.69065972222222216</v>
      </c>
      <c r="AK267" s="17">
        <v>43902</v>
      </c>
      <c r="AL267" s="18" t="s">
        <v>291</v>
      </c>
      <c r="AM267" s="14" t="s">
        <v>292</v>
      </c>
      <c r="AN267" s="14" t="s">
        <v>36</v>
      </c>
      <c r="AO267" s="14" t="s">
        <v>822</v>
      </c>
      <c r="AP267" s="14" t="s">
        <v>37</v>
      </c>
      <c r="AQ267" s="14" t="s">
        <v>184</v>
      </c>
      <c r="AR267" s="14" t="s">
        <v>4</v>
      </c>
      <c r="AS267" s="14">
        <v>0</v>
      </c>
      <c r="AT267" s="14">
        <v>0</v>
      </c>
      <c r="AU267" s="14">
        <v>0</v>
      </c>
      <c r="AV267" s="14">
        <v>0</v>
      </c>
      <c r="AW267" s="14"/>
      <c r="AX267" s="14"/>
      <c r="AY267" s="14"/>
      <c r="AZ267" s="14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</row>
    <row r="268" spans="1:66" s="2" customFormat="1" ht="12" customHeight="1" x14ac:dyDescent="0.25">
      <c r="A268" s="9">
        <f t="shared" ref="A268:A331" si="4">IF(G268&gt;0,1,0)</f>
        <v>1</v>
      </c>
      <c r="B268" s="6"/>
      <c r="C268" s="6"/>
      <c r="D268" s="24"/>
      <c r="E268" s="12" t="s">
        <v>38</v>
      </c>
      <c r="F268" s="25">
        <v>0</v>
      </c>
      <c r="G268" s="12" t="s">
        <v>823</v>
      </c>
      <c r="H268" s="12">
        <v>0</v>
      </c>
      <c r="I268" s="12">
        <v>0</v>
      </c>
      <c r="J268" s="12">
        <v>0</v>
      </c>
      <c r="K268" s="12">
        <v>0</v>
      </c>
      <c r="L268" s="13">
        <v>0</v>
      </c>
      <c r="M268" s="13">
        <v>0</v>
      </c>
      <c r="N268" s="12">
        <v>0</v>
      </c>
      <c r="O268" s="12">
        <v>0</v>
      </c>
      <c r="P268" s="12">
        <v>0</v>
      </c>
      <c r="Q268" s="14">
        <v>0</v>
      </c>
      <c r="R268" s="15">
        <v>1294204.863385</v>
      </c>
      <c r="S268" s="16">
        <v>1294204.863385</v>
      </c>
      <c r="T268" s="15">
        <v>593471.94999999995</v>
      </c>
      <c r="U268" s="16">
        <v>0</v>
      </c>
      <c r="V268" s="15">
        <v>501810</v>
      </c>
      <c r="W268" s="16">
        <v>0</v>
      </c>
      <c r="X268" s="15">
        <v>79128.605500000005</v>
      </c>
      <c r="Y268" s="16">
        <v>0</v>
      </c>
      <c r="Z268" s="15">
        <v>35126.700000000004</v>
      </c>
      <c r="AA268" s="16">
        <v>0</v>
      </c>
      <c r="AB268" s="15">
        <v>84667.607885000005</v>
      </c>
      <c r="AC268" s="16">
        <v>0</v>
      </c>
      <c r="AD268" s="15">
        <v>0</v>
      </c>
      <c r="AE268" s="16">
        <v>0</v>
      </c>
      <c r="AF268" s="15">
        <v>0</v>
      </c>
      <c r="AG268" s="16">
        <v>0</v>
      </c>
      <c r="AH268" s="15">
        <v>0</v>
      </c>
      <c r="AI268" s="15" t="s">
        <v>824</v>
      </c>
      <c r="AJ268" s="14">
        <v>0.36322916666666666</v>
      </c>
      <c r="AK268" s="17">
        <v>43902</v>
      </c>
      <c r="AL268" s="18" t="s">
        <v>291</v>
      </c>
      <c r="AM268" s="14" t="s">
        <v>292</v>
      </c>
      <c r="AN268" s="14" t="s">
        <v>36</v>
      </c>
      <c r="AO268" s="14" t="s">
        <v>825</v>
      </c>
      <c r="AP268" s="14" t="s">
        <v>37</v>
      </c>
      <c r="AQ268" s="14" t="s">
        <v>184</v>
      </c>
      <c r="AR268" s="14" t="s">
        <v>4</v>
      </c>
      <c r="AS268" s="14">
        <v>0</v>
      </c>
      <c r="AT268" s="14">
        <v>0</v>
      </c>
      <c r="AU268" s="14">
        <v>0</v>
      </c>
      <c r="AV268" s="14">
        <v>0</v>
      </c>
      <c r="AW268" s="14"/>
      <c r="AX268" s="14"/>
      <c r="AY268" s="14"/>
      <c r="AZ268" s="14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</row>
    <row r="269" spans="1:66" s="2" customFormat="1" ht="12" customHeight="1" x14ac:dyDescent="0.25">
      <c r="A269" s="9">
        <f t="shared" si="4"/>
        <v>1</v>
      </c>
      <c r="B269" s="6"/>
      <c r="C269" s="6"/>
      <c r="D269" s="24"/>
      <c r="E269" s="12" t="s">
        <v>38</v>
      </c>
      <c r="F269" s="25">
        <v>0</v>
      </c>
      <c r="G269" s="12" t="s">
        <v>826</v>
      </c>
      <c r="H269" s="12">
        <v>0</v>
      </c>
      <c r="I269" s="12">
        <v>0</v>
      </c>
      <c r="J269" s="12">
        <v>0</v>
      </c>
      <c r="K269" s="12">
        <v>0</v>
      </c>
      <c r="L269" s="13">
        <v>0</v>
      </c>
      <c r="M269" s="13">
        <v>0</v>
      </c>
      <c r="N269" s="12">
        <v>0</v>
      </c>
      <c r="O269" s="12">
        <v>0</v>
      </c>
      <c r="P269" s="12">
        <v>0</v>
      </c>
      <c r="Q269" s="14">
        <v>0</v>
      </c>
      <c r="R269" s="15">
        <v>15773.74526</v>
      </c>
      <c r="S269" s="16">
        <v>15773.74526</v>
      </c>
      <c r="T269" s="15">
        <v>6908</v>
      </c>
      <c r="U269" s="16">
        <v>0</v>
      </c>
      <c r="V269" s="15">
        <v>6420</v>
      </c>
      <c r="W269" s="16">
        <v>0</v>
      </c>
      <c r="X269" s="15">
        <v>964.41800000000012</v>
      </c>
      <c r="Y269" s="16">
        <v>0</v>
      </c>
      <c r="Z269" s="15">
        <v>449.40000000000003</v>
      </c>
      <c r="AA269" s="16">
        <v>0</v>
      </c>
      <c r="AB269" s="15">
        <v>1031.9272600000002</v>
      </c>
      <c r="AC269" s="16">
        <v>0</v>
      </c>
      <c r="AD269" s="15">
        <v>0</v>
      </c>
      <c r="AE269" s="16">
        <v>0</v>
      </c>
      <c r="AF269" s="15">
        <v>0</v>
      </c>
      <c r="AG269" s="16">
        <v>0</v>
      </c>
      <c r="AH269" s="15">
        <v>0</v>
      </c>
      <c r="AI269" s="15" t="s">
        <v>827</v>
      </c>
      <c r="AJ269" s="14">
        <v>0.71479166666666671</v>
      </c>
      <c r="AK269" s="17">
        <v>43901</v>
      </c>
      <c r="AL269" s="18" t="s">
        <v>568</v>
      </c>
      <c r="AM269" s="14" t="s">
        <v>569</v>
      </c>
      <c r="AN269" s="14" t="s">
        <v>36</v>
      </c>
      <c r="AO269" s="14" t="s">
        <v>828</v>
      </c>
      <c r="AP269" s="14" t="s">
        <v>37</v>
      </c>
      <c r="AQ269" s="14" t="s">
        <v>184</v>
      </c>
      <c r="AR269" s="14" t="s">
        <v>4</v>
      </c>
      <c r="AS269" s="14">
        <v>0</v>
      </c>
      <c r="AT269" s="14">
        <v>0</v>
      </c>
      <c r="AU269" s="14">
        <v>0</v>
      </c>
      <c r="AV269" s="14">
        <v>0</v>
      </c>
      <c r="AW269" s="14"/>
      <c r="AX269" s="14"/>
      <c r="AY269" s="14"/>
      <c r="AZ269" s="14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</row>
    <row r="270" spans="1:66" s="2" customFormat="1" ht="12" customHeight="1" x14ac:dyDescent="0.25">
      <c r="A270" s="9">
        <f t="shared" si="4"/>
        <v>1</v>
      </c>
      <c r="B270" s="6"/>
      <c r="C270" s="6"/>
      <c r="D270" s="24"/>
      <c r="E270" s="12" t="s">
        <v>38</v>
      </c>
      <c r="F270" s="25">
        <v>0</v>
      </c>
      <c r="G270" s="12" t="s">
        <v>831</v>
      </c>
      <c r="H270" s="12">
        <v>0</v>
      </c>
      <c r="I270" s="12">
        <v>0</v>
      </c>
      <c r="J270" s="12">
        <v>0</v>
      </c>
      <c r="K270" s="12">
        <v>0</v>
      </c>
      <c r="L270" s="13">
        <v>0</v>
      </c>
      <c r="M270" s="13">
        <v>0</v>
      </c>
      <c r="N270" s="12">
        <v>0</v>
      </c>
      <c r="O270" s="12">
        <v>0</v>
      </c>
      <c r="P270" s="12">
        <v>0</v>
      </c>
      <c r="Q270" s="14">
        <v>0</v>
      </c>
      <c r="R270" s="15">
        <v>943332.25</v>
      </c>
      <c r="S270" s="16">
        <v>943332.25</v>
      </c>
      <c r="T270" s="15">
        <v>590508.7699999999</v>
      </c>
      <c r="U270" s="16">
        <v>0</v>
      </c>
      <c r="V270" s="15">
        <v>352823.48000000004</v>
      </c>
      <c r="W270" s="16">
        <v>0</v>
      </c>
      <c r="X270" s="15">
        <v>0</v>
      </c>
      <c r="Y270" s="16">
        <v>0</v>
      </c>
      <c r="Z270" s="15">
        <v>0</v>
      </c>
      <c r="AA270" s="16">
        <v>0</v>
      </c>
      <c r="AB270" s="15">
        <v>0</v>
      </c>
      <c r="AC270" s="16">
        <v>0</v>
      </c>
      <c r="AD270" s="15">
        <v>0</v>
      </c>
      <c r="AE270" s="16">
        <v>0</v>
      </c>
      <c r="AF270" s="15">
        <v>0</v>
      </c>
      <c r="AG270" s="16">
        <v>0</v>
      </c>
      <c r="AH270" s="15">
        <v>0</v>
      </c>
      <c r="AI270" s="15" t="s">
        <v>832</v>
      </c>
      <c r="AJ270" s="14">
        <v>0.6291782407407408</v>
      </c>
      <c r="AK270" s="17">
        <v>43902</v>
      </c>
      <c r="AL270" s="18" t="s">
        <v>40</v>
      </c>
      <c r="AM270" s="14" t="s">
        <v>410</v>
      </c>
      <c r="AN270" s="14" t="s">
        <v>36</v>
      </c>
      <c r="AO270" s="14" t="s">
        <v>833</v>
      </c>
      <c r="AP270" s="14" t="s">
        <v>37</v>
      </c>
      <c r="AQ270" s="14" t="s">
        <v>184</v>
      </c>
      <c r="AR270" s="14" t="s">
        <v>4</v>
      </c>
      <c r="AS270" s="14">
        <v>0</v>
      </c>
      <c r="AT270" s="14">
        <v>0</v>
      </c>
      <c r="AU270" s="14">
        <v>0</v>
      </c>
      <c r="AV270" s="14">
        <v>0</v>
      </c>
      <c r="AW270" s="14"/>
      <c r="AX270" s="14"/>
      <c r="AY270" s="14"/>
      <c r="AZ270" s="14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</row>
    <row r="271" spans="1:66" s="2" customFormat="1" ht="12" customHeight="1" x14ac:dyDescent="0.25">
      <c r="A271" s="9">
        <f t="shared" si="4"/>
        <v>1</v>
      </c>
      <c r="B271" s="6"/>
      <c r="C271" s="6"/>
      <c r="D271" s="24"/>
      <c r="E271" s="12" t="s">
        <v>38</v>
      </c>
      <c r="F271" s="25">
        <v>0</v>
      </c>
      <c r="G271" s="12" t="s">
        <v>834</v>
      </c>
      <c r="H271" s="12">
        <v>0</v>
      </c>
      <c r="I271" s="12">
        <v>0</v>
      </c>
      <c r="J271" s="12">
        <v>0</v>
      </c>
      <c r="K271" s="12">
        <v>0</v>
      </c>
      <c r="L271" s="13">
        <v>0</v>
      </c>
      <c r="M271" s="13">
        <v>0</v>
      </c>
      <c r="N271" s="12">
        <v>0</v>
      </c>
      <c r="O271" s="12">
        <v>0</v>
      </c>
      <c r="P271" s="12">
        <v>0</v>
      </c>
      <c r="Q271" s="14">
        <v>0</v>
      </c>
      <c r="R271" s="15">
        <v>943332.25</v>
      </c>
      <c r="S271" s="16">
        <v>943332.25</v>
      </c>
      <c r="T271" s="15">
        <v>590508.7699999999</v>
      </c>
      <c r="U271" s="16">
        <v>0</v>
      </c>
      <c r="V271" s="15">
        <v>352823.48000000004</v>
      </c>
      <c r="W271" s="16">
        <v>0</v>
      </c>
      <c r="X271" s="15">
        <v>0</v>
      </c>
      <c r="Y271" s="16">
        <v>0</v>
      </c>
      <c r="Z271" s="15">
        <v>0</v>
      </c>
      <c r="AA271" s="16">
        <v>0</v>
      </c>
      <c r="AB271" s="15">
        <v>0</v>
      </c>
      <c r="AC271" s="16">
        <v>0</v>
      </c>
      <c r="AD271" s="15">
        <v>0</v>
      </c>
      <c r="AE271" s="16">
        <v>0</v>
      </c>
      <c r="AF271" s="15">
        <v>0</v>
      </c>
      <c r="AG271" s="16">
        <v>0</v>
      </c>
      <c r="AH271" s="15">
        <v>0</v>
      </c>
      <c r="AI271" s="15" t="s">
        <v>835</v>
      </c>
      <c r="AJ271" s="14">
        <v>0.63005787037037042</v>
      </c>
      <c r="AK271" s="17">
        <v>43902</v>
      </c>
      <c r="AL271" s="18" t="s">
        <v>40</v>
      </c>
      <c r="AM271" s="14" t="s">
        <v>410</v>
      </c>
      <c r="AN271" s="14" t="s">
        <v>36</v>
      </c>
      <c r="AO271" s="14" t="s">
        <v>836</v>
      </c>
      <c r="AP271" s="14" t="s">
        <v>37</v>
      </c>
      <c r="AQ271" s="14" t="s">
        <v>184</v>
      </c>
      <c r="AR271" s="14" t="s">
        <v>4</v>
      </c>
      <c r="AS271" s="14">
        <v>0</v>
      </c>
      <c r="AT271" s="14">
        <v>0</v>
      </c>
      <c r="AU271" s="14">
        <v>0</v>
      </c>
      <c r="AV271" s="14">
        <v>0</v>
      </c>
      <c r="AW271" s="14"/>
      <c r="AX271" s="14"/>
      <c r="AY271" s="14"/>
      <c r="AZ271" s="14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</row>
    <row r="272" spans="1:66" s="2" customFormat="1" ht="12" customHeight="1" x14ac:dyDescent="0.25">
      <c r="A272" s="9">
        <f t="shared" si="4"/>
        <v>1</v>
      </c>
      <c r="B272" s="6"/>
      <c r="C272" s="6"/>
      <c r="D272" s="24"/>
      <c r="E272" s="12" t="s">
        <v>38</v>
      </c>
      <c r="F272" s="25">
        <v>0</v>
      </c>
      <c r="G272" s="12" t="s">
        <v>837</v>
      </c>
      <c r="H272" s="12">
        <v>0</v>
      </c>
      <c r="I272" s="12">
        <v>0</v>
      </c>
      <c r="J272" s="12">
        <v>0</v>
      </c>
      <c r="K272" s="12">
        <v>0</v>
      </c>
      <c r="L272" s="13">
        <v>0</v>
      </c>
      <c r="M272" s="13">
        <v>0</v>
      </c>
      <c r="N272" s="12">
        <v>0</v>
      </c>
      <c r="O272" s="12">
        <v>0</v>
      </c>
      <c r="P272" s="12">
        <v>0</v>
      </c>
      <c r="Q272" s="14">
        <v>0</v>
      </c>
      <c r="R272" s="15">
        <v>943332.25</v>
      </c>
      <c r="S272" s="16">
        <v>943332.25</v>
      </c>
      <c r="T272" s="15">
        <v>590508.7699999999</v>
      </c>
      <c r="U272" s="16">
        <v>0</v>
      </c>
      <c r="V272" s="15">
        <v>352823.48000000004</v>
      </c>
      <c r="W272" s="16">
        <v>0</v>
      </c>
      <c r="X272" s="15">
        <v>0</v>
      </c>
      <c r="Y272" s="16">
        <v>0</v>
      </c>
      <c r="Z272" s="15">
        <v>0</v>
      </c>
      <c r="AA272" s="16">
        <v>0</v>
      </c>
      <c r="AB272" s="15">
        <v>0</v>
      </c>
      <c r="AC272" s="16">
        <v>0</v>
      </c>
      <c r="AD272" s="15">
        <v>0</v>
      </c>
      <c r="AE272" s="16">
        <v>0</v>
      </c>
      <c r="AF272" s="15">
        <v>0</v>
      </c>
      <c r="AG272" s="16">
        <v>0</v>
      </c>
      <c r="AH272" s="15">
        <v>0</v>
      </c>
      <c r="AI272" s="15" t="s">
        <v>838</v>
      </c>
      <c r="AJ272" s="14">
        <v>0.62881944444444449</v>
      </c>
      <c r="AK272" s="17">
        <v>43902</v>
      </c>
      <c r="AL272" s="18" t="s">
        <v>40</v>
      </c>
      <c r="AM272" s="14" t="s">
        <v>410</v>
      </c>
      <c r="AN272" s="14" t="s">
        <v>36</v>
      </c>
      <c r="AO272" s="14" t="s">
        <v>839</v>
      </c>
      <c r="AP272" s="14" t="s">
        <v>37</v>
      </c>
      <c r="AQ272" s="14" t="s">
        <v>184</v>
      </c>
      <c r="AR272" s="14" t="s">
        <v>4</v>
      </c>
      <c r="AS272" s="14">
        <v>0</v>
      </c>
      <c r="AT272" s="14">
        <v>0</v>
      </c>
      <c r="AU272" s="14">
        <v>0</v>
      </c>
      <c r="AV272" s="14">
        <v>0</v>
      </c>
      <c r="AW272" s="14"/>
      <c r="AX272" s="14"/>
      <c r="AY272" s="14"/>
      <c r="AZ272" s="14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</row>
    <row r="273" spans="1:66" s="2" customFormat="1" ht="12" customHeight="1" x14ac:dyDescent="0.25">
      <c r="A273" s="9">
        <f t="shared" si="4"/>
        <v>1</v>
      </c>
      <c r="B273" s="6"/>
      <c r="C273" s="6"/>
      <c r="D273" s="24"/>
      <c r="E273" s="12" t="s">
        <v>38</v>
      </c>
      <c r="F273" s="25">
        <v>0</v>
      </c>
      <c r="G273" s="12" t="s">
        <v>840</v>
      </c>
      <c r="H273" s="12">
        <v>0</v>
      </c>
      <c r="I273" s="12">
        <v>0</v>
      </c>
      <c r="J273" s="12">
        <v>0</v>
      </c>
      <c r="K273" s="12">
        <v>0</v>
      </c>
      <c r="L273" s="13">
        <v>0</v>
      </c>
      <c r="M273" s="13">
        <v>0</v>
      </c>
      <c r="N273" s="12">
        <v>0</v>
      </c>
      <c r="O273" s="12">
        <v>0</v>
      </c>
      <c r="P273" s="12">
        <v>0</v>
      </c>
      <c r="Q273" s="14">
        <v>0</v>
      </c>
      <c r="R273" s="15">
        <v>1109611.3399999999</v>
      </c>
      <c r="S273" s="16">
        <v>1109611.3399999999</v>
      </c>
      <c r="T273" s="15">
        <v>675924.34</v>
      </c>
      <c r="U273" s="16">
        <v>0</v>
      </c>
      <c r="V273" s="15">
        <v>433687</v>
      </c>
      <c r="W273" s="16">
        <v>0</v>
      </c>
      <c r="X273" s="15">
        <v>0</v>
      </c>
      <c r="Y273" s="16">
        <v>0</v>
      </c>
      <c r="Z273" s="15">
        <v>0</v>
      </c>
      <c r="AA273" s="16">
        <v>0</v>
      </c>
      <c r="AB273" s="15">
        <v>0</v>
      </c>
      <c r="AC273" s="16">
        <v>0</v>
      </c>
      <c r="AD273" s="15">
        <v>0</v>
      </c>
      <c r="AE273" s="16">
        <v>0</v>
      </c>
      <c r="AF273" s="15">
        <v>0</v>
      </c>
      <c r="AG273" s="16">
        <v>0</v>
      </c>
      <c r="AH273" s="15">
        <v>0</v>
      </c>
      <c r="AI273" s="15" t="s">
        <v>841</v>
      </c>
      <c r="AJ273" s="14">
        <v>0.63961805555555562</v>
      </c>
      <c r="AK273" s="17">
        <v>43902</v>
      </c>
      <c r="AL273" s="18" t="s">
        <v>40</v>
      </c>
      <c r="AM273" s="14" t="s">
        <v>410</v>
      </c>
      <c r="AN273" s="14" t="s">
        <v>36</v>
      </c>
      <c r="AO273" s="14" t="s">
        <v>842</v>
      </c>
      <c r="AP273" s="14" t="s">
        <v>37</v>
      </c>
      <c r="AQ273" s="14" t="s">
        <v>184</v>
      </c>
      <c r="AR273" s="14" t="s">
        <v>4</v>
      </c>
      <c r="AS273" s="14">
        <v>0</v>
      </c>
      <c r="AT273" s="14">
        <v>0</v>
      </c>
      <c r="AU273" s="14">
        <v>0</v>
      </c>
      <c r="AV273" s="14">
        <v>0</v>
      </c>
      <c r="AW273" s="14"/>
      <c r="AX273" s="14"/>
      <c r="AY273" s="14"/>
      <c r="AZ273" s="14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</row>
    <row r="274" spans="1:66" s="2" customFormat="1" ht="12" customHeight="1" x14ac:dyDescent="0.25">
      <c r="A274" s="9">
        <f t="shared" si="4"/>
        <v>1</v>
      </c>
      <c r="B274" s="6"/>
      <c r="C274" s="6"/>
      <c r="D274" s="24"/>
      <c r="E274" s="12" t="s">
        <v>38</v>
      </c>
      <c r="F274" s="25">
        <v>0</v>
      </c>
      <c r="G274" s="12" t="s">
        <v>843</v>
      </c>
      <c r="H274" s="12">
        <v>0</v>
      </c>
      <c r="I274" s="12">
        <v>0</v>
      </c>
      <c r="J274" s="12">
        <v>0</v>
      </c>
      <c r="K274" s="12">
        <v>0</v>
      </c>
      <c r="L274" s="13">
        <v>0</v>
      </c>
      <c r="M274" s="13">
        <v>0</v>
      </c>
      <c r="N274" s="12">
        <v>0</v>
      </c>
      <c r="O274" s="12">
        <v>0</v>
      </c>
      <c r="P274" s="12">
        <v>0</v>
      </c>
      <c r="Q274" s="14">
        <v>0</v>
      </c>
      <c r="R274" s="15">
        <v>943332.25</v>
      </c>
      <c r="S274" s="16">
        <v>943332.25</v>
      </c>
      <c r="T274" s="15">
        <v>590508.7699999999</v>
      </c>
      <c r="U274" s="16">
        <v>0</v>
      </c>
      <c r="V274" s="15">
        <v>352823.48000000004</v>
      </c>
      <c r="W274" s="16">
        <v>0</v>
      </c>
      <c r="X274" s="15">
        <v>0</v>
      </c>
      <c r="Y274" s="16">
        <v>0</v>
      </c>
      <c r="Z274" s="15">
        <v>0</v>
      </c>
      <c r="AA274" s="16">
        <v>0</v>
      </c>
      <c r="AB274" s="15">
        <v>0</v>
      </c>
      <c r="AC274" s="16">
        <v>0</v>
      </c>
      <c r="AD274" s="15">
        <v>0</v>
      </c>
      <c r="AE274" s="16">
        <v>0</v>
      </c>
      <c r="AF274" s="15">
        <v>0</v>
      </c>
      <c r="AG274" s="16">
        <v>0</v>
      </c>
      <c r="AH274" s="15">
        <v>0</v>
      </c>
      <c r="AI274" s="15" t="s">
        <v>844</v>
      </c>
      <c r="AJ274" s="14">
        <v>0.6632986111111111</v>
      </c>
      <c r="AK274" s="17">
        <v>43902</v>
      </c>
      <c r="AL274" s="18" t="s">
        <v>40</v>
      </c>
      <c r="AM274" s="14" t="s">
        <v>410</v>
      </c>
      <c r="AN274" s="14" t="s">
        <v>36</v>
      </c>
      <c r="AO274" s="14" t="s">
        <v>845</v>
      </c>
      <c r="AP274" s="14" t="s">
        <v>37</v>
      </c>
      <c r="AQ274" s="14" t="s">
        <v>184</v>
      </c>
      <c r="AR274" s="14" t="s">
        <v>4</v>
      </c>
      <c r="AS274" s="14">
        <v>0</v>
      </c>
      <c r="AT274" s="14">
        <v>0</v>
      </c>
      <c r="AU274" s="14">
        <v>0</v>
      </c>
      <c r="AV274" s="14">
        <v>0</v>
      </c>
      <c r="AW274" s="14"/>
      <c r="AX274" s="14"/>
      <c r="AY274" s="14"/>
      <c r="AZ274" s="14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</row>
    <row r="275" spans="1:66" s="2" customFormat="1" ht="12" customHeight="1" x14ac:dyDescent="0.25">
      <c r="A275" s="9">
        <f t="shared" si="4"/>
        <v>1</v>
      </c>
      <c r="B275" s="6"/>
      <c r="C275" s="6"/>
      <c r="D275" s="24"/>
      <c r="E275" s="12" t="s">
        <v>38</v>
      </c>
      <c r="F275" s="25">
        <v>0</v>
      </c>
      <c r="G275" s="12" t="s">
        <v>846</v>
      </c>
      <c r="H275" s="12">
        <v>0</v>
      </c>
      <c r="I275" s="12">
        <v>0</v>
      </c>
      <c r="J275" s="12">
        <v>0</v>
      </c>
      <c r="K275" s="12">
        <v>0</v>
      </c>
      <c r="L275" s="13">
        <v>0</v>
      </c>
      <c r="M275" s="13">
        <v>0</v>
      </c>
      <c r="N275" s="12">
        <v>0</v>
      </c>
      <c r="O275" s="12">
        <v>0</v>
      </c>
      <c r="P275" s="12">
        <v>0</v>
      </c>
      <c r="Q275" s="14">
        <v>0</v>
      </c>
      <c r="R275" s="15">
        <v>875753.09000000008</v>
      </c>
      <c r="S275" s="16">
        <v>875753.09000000008</v>
      </c>
      <c r="T275" s="15">
        <v>542138.77</v>
      </c>
      <c r="U275" s="16">
        <v>0</v>
      </c>
      <c r="V275" s="15">
        <v>333614.32000000012</v>
      </c>
      <c r="W275" s="16">
        <v>0</v>
      </c>
      <c r="X275" s="15">
        <v>0</v>
      </c>
      <c r="Y275" s="16">
        <v>0</v>
      </c>
      <c r="Z275" s="15">
        <v>0</v>
      </c>
      <c r="AA275" s="16">
        <v>0</v>
      </c>
      <c r="AB275" s="15">
        <v>0</v>
      </c>
      <c r="AC275" s="16">
        <v>0</v>
      </c>
      <c r="AD275" s="15">
        <v>0</v>
      </c>
      <c r="AE275" s="16">
        <v>0</v>
      </c>
      <c r="AF275" s="15">
        <v>0</v>
      </c>
      <c r="AG275" s="16">
        <v>0</v>
      </c>
      <c r="AH275" s="15">
        <v>0</v>
      </c>
      <c r="AI275" s="15" t="s">
        <v>847</v>
      </c>
      <c r="AJ275" s="14">
        <v>0.66491898148148143</v>
      </c>
      <c r="AK275" s="17">
        <v>43902</v>
      </c>
      <c r="AL275" s="18" t="s">
        <v>40</v>
      </c>
      <c r="AM275" s="14" t="s">
        <v>410</v>
      </c>
      <c r="AN275" s="14" t="s">
        <v>36</v>
      </c>
      <c r="AO275" s="14" t="s">
        <v>848</v>
      </c>
      <c r="AP275" s="14" t="s">
        <v>37</v>
      </c>
      <c r="AQ275" s="14" t="s">
        <v>184</v>
      </c>
      <c r="AR275" s="14" t="s">
        <v>4</v>
      </c>
      <c r="AS275" s="14">
        <v>0</v>
      </c>
      <c r="AT275" s="14">
        <v>0</v>
      </c>
      <c r="AU275" s="14">
        <v>0</v>
      </c>
      <c r="AV275" s="14">
        <v>0</v>
      </c>
      <c r="AW275" s="14"/>
      <c r="AX275" s="14"/>
      <c r="AY275" s="14"/>
      <c r="AZ275" s="14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</row>
    <row r="276" spans="1:66" s="2" customFormat="1" ht="12" customHeight="1" x14ac:dyDescent="0.25">
      <c r="A276" s="9">
        <f t="shared" si="4"/>
        <v>1</v>
      </c>
      <c r="B276" s="6"/>
      <c r="C276" s="6"/>
      <c r="D276" s="24"/>
      <c r="E276" s="12" t="s">
        <v>38</v>
      </c>
      <c r="F276" s="25">
        <v>0</v>
      </c>
      <c r="G276" s="12" t="s">
        <v>849</v>
      </c>
      <c r="H276" s="12">
        <v>0</v>
      </c>
      <c r="I276" s="12">
        <v>0</v>
      </c>
      <c r="J276" s="12">
        <v>0</v>
      </c>
      <c r="K276" s="12">
        <v>0</v>
      </c>
      <c r="L276" s="13">
        <v>0</v>
      </c>
      <c r="M276" s="13">
        <v>0</v>
      </c>
      <c r="N276" s="12">
        <v>0</v>
      </c>
      <c r="O276" s="12">
        <v>0</v>
      </c>
      <c r="P276" s="12">
        <v>0</v>
      </c>
      <c r="Q276" s="14">
        <v>0</v>
      </c>
      <c r="R276" s="15">
        <v>952573.85000000009</v>
      </c>
      <c r="S276" s="16">
        <v>952573.85000000009</v>
      </c>
      <c r="T276" s="15">
        <v>595224.8899999999</v>
      </c>
      <c r="U276" s="16">
        <v>0</v>
      </c>
      <c r="V276" s="15">
        <v>357348.96000000014</v>
      </c>
      <c r="W276" s="16">
        <v>0</v>
      </c>
      <c r="X276" s="15">
        <v>0</v>
      </c>
      <c r="Y276" s="16">
        <v>0</v>
      </c>
      <c r="Z276" s="15">
        <v>0</v>
      </c>
      <c r="AA276" s="16">
        <v>0</v>
      </c>
      <c r="AB276" s="15">
        <v>0</v>
      </c>
      <c r="AC276" s="16">
        <v>0</v>
      </c>
      <c r="AD276" s="15">
        <v>0</v>
      </c>
      <c r="AE276" s="16">
        <v>0</v>
      </c>
      <c r="AF276" s="15">
        <v>0</v>
      </c>
      <c r="AG276" s="16">
        <v>0</v>
      </c>
      <c r="AH276" s="15">
        <v>0</v>
      </c>
      <c r="AI276" s="15" t="s">
        <v>850</v>
      </c>
      <c r="AJ276" s="14">
        <v>0.67005787037037035</v>
      </c>
      <c r="AK276" s="17">
        <v>43902</v>
      </c>
      <c r="AL276" s="18" t="s">
        <v>40</v>
      </c>
      <c r="AM276" s="14" t="s">
        <v>410</v>
      </c>
      <c r="AN276" s="14" t="s">
        <v>36</v>
      </c>
      <c r="AO276" s="14" t="s">
        <v>851</v>
      </c>
      <c r="AP276" s="14" t="s">
        <v>37</v>
      </c>
      <c r="AQ276" s="14" t="s">
        <v>184</v>
      </c>
      <c r="AR276" s="14" t="s">
        <v>4</v>
      </c>
      <c r="AS276" s="14">
        <v>0</v>
      </c>
      <c r="AT276" s="14">
        <v>0</v>
      </c>
      <c r="AU276" s="14">
        <v>0</v>
      </c>
      <c r="AV276" s="14">
        <v>0</v>
      </c>
      <c r="AW276" s="14"/>
      <c r="AX276" s="14"/>
      <c r="AY276" s="14"/>
      <c r="AZ276" s="14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</row>
    <row r="277" spans="1:66" s="2" customFormat="1" ht="12" customHeight="1" x14ac:dyDescent="0.25">
      <c r="A277" s="9">
        <f t="shared" si="4"/>
        <v>1</v>
      </c>
      <c r="B277" s="6"/>
      <c r="C277" s="6"/>
      <c r="D277" s="24"/>
      <c r="E277" s="12" t="s">
        <v>38</v>
      </c>
      <c r="F277" s="25">
        <v>0</v>
      </c>
      <c r="G277" s="12" t="s">
        <v>852</v>
      </c>
      <c r="H277" s="12">
        <v>0</v>
      </c>
      <c r="I277" s="12">
        <v>0</v>
      </c>
      <c r="J277" s="12">
        <v>0</v>
      </c>
      <c r="K277" s="12">
        <v>0</v>
      </c>
      <c r="L277" s="13">
        <v>0</v>
      </c>
      <c r="M277" s="13">
        <v>0</v>
      </c>
      <c r="N277" s="12">
        <v>0</v>
      </c>
      <c r="O277" s="12">
        <v>0</v>
      </c>
      <c r="P277" s="12">
        <v>0</v>
      </c>
      <c r="Q277" s="14">
        <v>0</v>
      </c>
      <c r="R277" s="15">
        <v>943332.25</v>
      </c>
      <c r="S277" s="16">
        <v>943332.25</v>
      </c>
      <c r="T277" s="15">
        <v>590508.7699999999</v>
      </c>
      <c r="U277" s="16">
        <v>0</v>
      </c>
      <c r="V277" s="15">
        <v>352823.48000000004</v>
      </c>
      <c r="W277" s="16">
        <v>0</v>
      </c>
      <c r="X277" s="15">
        <v>0</v>
      </c>
      <c r="Y277" s="16">
        <v>0</v>
      </c>
      <c r="Z277" s="15">
        <v>0</v>
      </c>
      <c r="AA277" s="16">
        <v>0</v>
      </c>
      <c r="AB277" s="15">
        <v>0</v>
      </c>
      <c r="AC277" s="16">
        <v>0</v>
      </c>
      <c r="AD277" s="15">
        <v>0</v>
      </c>
      <c r="AE277" s="16">
        <v>0</v>
      </c>
      <c r="AF277" s="15">
        <v>0</v>
      </c>
      <c r="AG277" s="16">
        <v>0</v>
      </c>
      <c r="AH277" s="15">
        <v>0</v>
      </c>
      <c r="AI277" s="15" t="s">
        <v>853</v>
      </c>
      <c r="AJ277" s="14">
        <v>0.67166666666666675</v>
      </c>
      <c r="AK277" s="17">
        <v>43902</v>
      </c>
      <c r="AL277" s="18" t="s">
        <v>40</v>
      </c>
      <c r="AM277" s="14" t="s">
        <v>410</v>
      </c>
      <c r="AN277" s="14" t="s">
        <v>36</v>
      </c>
      <c r="AO277" s="14" t="s">
        <v>854</v>
      </c>
      <c r="AP277" s="14" t="s">
        <v>37</v>
      </c>
      <c r="AQ277" s="14" t="s">
        <v>184</v>
      </c>
      <c r="AR277" s="14" t="s">
        <v>4</v>
      </c>
      <c r="AS277" s="14">
        <v>0</v>
      </c>
      <c r="AT277" s="14">
        <v>0</v>
      </c>
      <c r="AU277" s="14">
        <v>0</v>
      </c>
      <c r="AV277" s="14">
        <v>0</v>
      </c>
      <c r="AW277" s="14"/>
      <c r="AX277" s="14"/>
      <c r="AY277" s="14"/>
      <c r="AZ277" s="14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</row>
    <row r="278" spans="1:66" s="2" customFormat="1" ht="12" customHeight="1" x14ac:dyDescent="0.25">
      <c r="A278" s="9">
        <f t="shared" si="4"/>
        <v>1</v>
      </c>
      <c r="B278" s="6"/>
      <c r="C278" s="6"/>
      <c r="D278" s="24"/>
      <c r="E278" s="12" t="s">
        <v>38</v>
      </c>
      <c r="F278" s="25">
        <v>0</v>
      </c>
      <c r="G278" s="12" t="s">
        <v>855</v>
      </c>
      <c r="H278" s="12">
        <v>0</v>
      </c>
      <c r="I278" s="12">
        <v>0</v>
      </c>
      <c r="J278" s="12">
        <v>0</v>
      </c>
      <c r="K278" s="12">
        <v>0</v>
      </c>
      <c r="L278" s="13">
        <v>0</v>
      </c>
      <c r="M278" s="13">
        <v>0</v>
      </c>
      <c r="N278" s="12">
        <v>0</v>
      </c>
      <c r="O278" s="12">
        <v>0</v>
      </c>
      <c r="P278" s="12">
        <v>0</v>
      </c>
      <c r="Q278" s="14">
        <v>0</v>
      </c>
      <c r="R278" s="15">
        <v>1869690.0599999996</v>
      </c>
      <c r="S278" s="16">
        <v>1869690.0599999996</v>
      </c>
      <c r="T278" s="15">
        <v>1550448.4599999997</v>
      </c>
      <c r="U278" s="16">
        <v>0</v>
      </c>
      <c r="V278" s="15">
        <v>319241.59999999998</v>
      </c>
      <c r="W278" s="16">
        <v>0</v>
      </c>
      <c r="X278" s="15">
        <v>0</v>
      </c>
      <c r="Y278" s="16">
        <v>0</v>
      </c>
      <c r="Z278" s="15">
        <v>0</v>
      </c>
      <c r="AA278" s="16">
        <v>0</v>
      </c>
      <c r="AB278" s="15">
        <v>0</v>
      </c>
      <c r="AC278" s="16">
        <v>0</v>
      </c>
      <c r="AD278" s="15">
        <v>0</v>
      </c>
      <c r="AE278" s="16">
        <v>0</v>
      </c>
      <c r="AF278" s="15">
        <v>0</v>
      </c>
      <c r="AG278" s="16">
        <v>0</v>
      </c>
      <c r="AH278" s="15">
        <v>0</v>
      </c>
      <c r="AI278" s="15" t="s">
        <v>856</v>
      </c>
      <c r="AJ278" s="14">
        <v>0.65706018518518516</v>
      </c>
      <c r="AK278" s="17">
        <v>44209</v>
      </c>
      <c r="AL278" s="18" t="s">
        <v>291</v>
      </c>
      <c r="AM278" s="14" t="s">
        <v>292</v>
      </c>
      <c r="AN278" s="14" t="s">
        <v>36</v>
      </c>
      <c r="AO278" s="14" t="s">
        <v>857</v>
      </c>
      <c r="AP278" s="14" t="s">
        <v>37</v>
      </c>
      <c r="AQ278" s="14" t="s">
        <v>184</v>
      </c>
      <c r="AR278" s="14" t="s">
        <v>4</v>
      </c>
      <c r="AS278" s="14">
        <v>0</v>
      </c>
      <c r="AT278" s="14">
        <v>0</v>
      </c>
      <c r="AU278" s="14">
        <v>0</v>
      </c>
      <c r="AV278" s="14">
        <v>0</v>
      </c>
      <c r="AW278" s="14"/>
      <c r="AX278" s="14"/>
      <c r="AY278" s="14"/>
      <c r="AZ278" s="14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</row>
    <row r="279" spans="1:66" s="2" customFormat="1" ht="12" customHeight="1" x14ac:dyDescent="0.25">
      <c r="A279" s="9">
        <f t="shared" si="4"/>
        <v>1</v>
      </c>
      <c r="B279" s="6"/>
      <c r="C279" s="6"/>
      <c r="D279" s="24"/>
      <c r="E279" s="12" t="s">
        <v>38</v>
      </c>
      <c r="F279" s="25">
        <v>0</v>
      </c>
      <c r="G279" s="12" t="s">
        <v>858</v>
      </c>
      <c r="H279" s="12">
        <v>0</v>
      </c>
      <c r="I279" s="12">
        <v>0</v>
      </c>
      <c r="J279" s="12">
        <v>0</v>
      </c>
      <c r="K279" s="12">
        <v>0</v>
      </c>
      <c r="L279" s="13">
        <v>0</v>
      </c>
      <c r="M279" s="13">
        <v>0</v>
      </c>
      <c r="N279" s="12">
        <v>0</v>
      </c>
      <c r="O279" s="12">
        <v>0</v>
      </c>
      <c r="P279" s="12">
        <v>0</v>
      </c>
      <c r="Q279" s="14">
        <v>0</v>
      </c>
      <c r="R279" s="15">
        <v>1354522.6600000001</v>
      </c>
      <c r="S279" s="16">
        <v>1354522.6600000001</v>
      </c>
      <c r="T279" s="15">
        <v>1035281.06</v>
      </c>
      <c r="U279" s="16">
        <v>0</v>
      </c>
      <c r="V279" s="15">
        <v>319241.59999999998</v>
      </c>
      <c r="W279" s="16">
        <v>0</v>
      </c>
      <c r="X279" s="15">
        <v>0</v>
      </c>
      <c r="Y279" s="16">
        <v>0</v>
      </c>
      <c r="Z279" s="15">
        <v>0</v>
      </c>
      <c r="AA279" s="16">
        <v>0</v>
      </c>
      <c r="AB279" s="15">
        <v>0</v>
      </c>
      <c r="AC279" s="16">
        <v>0</v>
      </c>
      <c r="AD279" s="15">
        <v>0</v>
      </c>
      <c r="AE279" s="16">
        <v>0</v>
      </c>
      <c r="AF279" s="15">
        <v>0</v>
      </c>
      <c r="AG279" s="16">
        <v>0</v>
      </c>
      <c r="AH279" s="15">
        <v>0</v>
      </c>
      <c r="AI279" s="15" t="s">
        <v>859</v>
      </c>
      <c r="AJ279" s="14">
        <v>0.61597222222222225</v>
      </c>
      <c r="AK279" s="17">
        <v>43913</v>
      </c>
      <c r="AL279" s="18" t="s">
        <v>291</v>
      </c>
      <c r="AM279" s="14" t="s">
        <v>292</v>
      </c>
      <c r="AN279" s="14" t="s">
        <v>36</v>
      </c>
      <c r="AO279" s="14" t="s">
        <v>860</v>
      </c>
      <c r="AP279" s="14" t="s">
        <v>37</v>
      </c>
      <c r="AQ279" s="14" t="s">
        <v>184</v>
      </c>
      <c r="AR279" s="14" t="s">
        <v>4</v>
      </c>
      <c r="AS279" s="14">
        <v>0</v>
      </c>
      <c r="AT279" s="14">
        <v>0</v>
      </c>
      <c r="AU279" s="14">
        <v>0</v>
      </c>
      <c r="AV279" s="14">
        <v>0</v>
      </c>
      <c r="AW279" s="14"/>
      <c r="AX279" s="14"/>
      <c r="AY279" s="14"/>
      <c r="AZ279" s="14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  <c r="BL279" s="11"/>
      <c r="BM279" s="11"/>
      <c r="BN279" s="11"/>
    </row>
    <row r="280" spans="1:66" s="2" customFormat="1" ht="12" customHeight="1" x14ac:dyDescent="0.25">
      <c r="A280" s="9">
        <f t="shared" si="4"/>
        <v>1</v>
      </c>
      <c r="B280" s="6"/>
      <c r="C280" s="6"/>
      <c r="D280" s="24"/>
      <c r="E280" s="12" t="s">
        <v>38</v>
      </c>
      <c r="F280" s="25">
        <v>0</v>
      </c>
      <c r="G280" s="12" t="s">
        <v>861</v>
      </c>
      <c r="H280" s="12">
        <v>0</v>
      </c>
      <c r="I280" s="12">
        <v>0</v>
      </c>
      <c r="J280" s="12">
        <v>0</v>
      </c>
      <c r="K280" s="12">
        <v>0</v>
      </c>
      <c r="L280" s="13">
        <v>0</v>
      </c>
      <c r="M280" s="13">
        <v>0</v>
      </c>
      <c r="N280" s="12">
        <v>0</v>
      </c>
      <c r="O280" s="12">
        <v>0</v>
      </c>
      <c r="P280" s="12">
        <v>0</v>
      </c>
      <c r="Q280" s="14">
        <v>0</v>
      </c>
      <c r="R280" s="15">
        <v>1044527.0300000001</v>
      </c>
      <c r="S280" s="16">
        <v>1044527.0300000001</v>
      </c>
      <c r="T280" s="15">
        <v>725009.07000000018</v>
      </c>
      <c r="U280" s="16">
        <v>0</v>
      </c>
      <c r="V280" s="15">
        <v>319517.95999999996</v>
      </c>
      <c r="W280" s="16">
        <v>0</v>
      </c>
      <c r="X280" s="15">
        <v>0</v>
      </c>
      <c r="Y280" s="16">
        <v>0</v>
      </c>
      <c r="Z280" s="15">
        <v>0</v>
      </c>
      <c r="AA280" s="16">
        <v>0</v>
      </c>
      <c r="AB280" s="15">
        <v>0</v>
      </c>
      <c r="AC280" s="16">
        <v>0</v>
      </c>
      <c r="AD280" s="15">
        <v>0</v>
      </c>
      <c r="AE280" s="16">
        <v>0</v>
      </c>
      <c r="AF280" s="15">
        <v>0</v>
      </c>
      <c r="AG280" s="16">
        <v>0</v>
      </c>
      <c r="AH280" s="15">
        <v>0</v>
      </c>
      <c r="AI280" s="15" t="s">
        <v>862</v>
      </c>
      <c r="AJ280" s="14">
        <v>0.61600694444444437</v>
      </c>
      <c r="AK280" s="17">
        <v>44175</v>
      </c>
      <c r="AL280" s="18" t="s">
        <v>291</v>
      </c>
      <c r="AM280" s="14" t="s">
        <v>292</v>
      </c>
      <c r="AN280" s="14" t="s">
        <v>36</v>
      </c>
      <c r="AO280" s="14" t="s">
        <v>863</v>
      </c>
      <c r="AP280" s="14" t="s">
        <v>37</v>
      </c>
      <c r="AQ280" s="14" t="s">
        <v>184</v>
      </c>
      <c r="AR280" s="14" t="s">
        <v>4</v>
      </c>
      <c r="AS280" s="14">
        <v>0</v>
      </c>
      <c r="AT280" s="14">
        <v>0</v>
      </c>
      <c r="AU280" s="14">
        <v>0</v>
      </c>
      <c r="AV280" s="14">
        <v>0</v>
      </c>
      <c r="AW280" s="14"/>
      <c r="AX280" s="14"/>
      <c r="AY280" s="14"/>
      <c r="AZ280" s="14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  <c r="BL280" s="11"/>
      <c r="BM280" s="11"/>
      <c r="BN280" s="11"/>
    </row>
    <row r="281" spans="1:66" s="2" customFormat="1" ht="12" customHeight="1" x14ac:dyDescent="0.25">
      <c r="A281" s="9">
        <f t="shared" si="4"/>
        <v>1</v>
      </c>
      <c r="B281" s="6"/>
      <c r="C281" s="6"/>
      <c r="D281" s="24"/>
      <c r="E281" s="12" t="s">
        <v>38</v>
      </c>
      <c r="F281" s="25">
        <v>0</v>
      </c>
      <c r="G281" s="12" t="s">
        <v>864</v>
      </c>
      <c r="H281" s="12">
        <v>0</v>
      </c>
      <c r="I281" s="12">
        <v>0</v>
      </c>
      <c r="J281" s="12">
        <v>0</v>
      </c>
      <c r="K281" s="12">
        <v>0</v>
      </c>
      <c r="L281" s="13">
        <v>0</v>
      </c>
      <c r="M281" s="13">
        <v>0</v>
      </c>
      <c r="N281" s="12">
        <v>0</v>
      </c>
      <c r="O281" s="12">
        <v>0</v>
      </c>
      <c r="P281" s="12">
        <v>0</v>
      </c>
      <c r="Q281" s="14">
        <v>0</v>
      </c>
      <c r="R281" s="15">
        <v>9945063.0399999991</v>
      </c>
      <c r="S281" s="16">
        <v>9945063.0399999991</v>
      </c>
      <c r="T281" s="15">
        <v>4647303.04</v>
      </c>
      <c r="U281" s="16">
        <v>0</v>
      </c>
      <c r="V281" s="15">
        <v>5297760</v>
      </c>
      <c r="W281" s="16">
        <v>0</v>
      </c>
      <c r="X281" s="15">
        <v>0</v>
      </c>
      <c r="Y281" s="16">
        <v>0</v>
      </c>
      <c r="Z281" s="15">
        <v>0</v>
      </c>
      <c r="AA281" s="16">
        <v>0</v>
      </c>
      <c r="AB281" s="15">
        <v>0</v>
      </c>
      <c r="AC281" s="16">
        <v>0</v>
      </c>
      <c r="AD281" s="15">
        <v>0</v>
      </c>
      <c r="AE281" s="16">
        <v>0</v>
      </c>
      <c r="AF281" s="15">
        <v>0</v>
      </c>
      <c r="AG281" s="16">
        <v>0</v>
      </c>
      <c r="AH281" s="15">
        <v>0</v>
      </c>
      <c r="AI281" s="15" t="s">
        <v>865</v>
      </c>
      <c r="AJ281" s="14">
        <v>0.59086805555555555</v>
      </c>
      <c r="AK281" s="17">
        <v>43986</v>
      </c>
      <c r="AL281" s="18" t="s">
        <v>291</v>
      </c>
      <c r="AM281" s="14" t="s">
        <v>292</v>
      </c>
      <c r="AN281" s="14" t="s">
        <v>36</v>
      </c>
      <c r="AO281" s="14" t="s">
        <v>866</v>
      </c>
      <c r="AP281" s="14" t="s">
        <v>37</v>
      </c>
      <c r="AQ281" s="14" t="s">
        <v>184</v>
      </c>
      <c r="AR281" s="14" t="s">
        <v>4</v>
      </c>
      <c r="AS281" s="14">
        <v>0</v>
      </c>
      <c r="AT281" s="14">
        <v>0</v>
      </c>
      <c r="AU281" s="14">
        <v>0</v>
      </c>
      <c r="AV281" s="14">
        <v>0</v>
      </c>
      <c r="AW281" s="14"/>
      <c r="AX281" s="14"/>
      <c r="AY281" s="14"/>
      <c r="AZ281" s="14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  <c r="BL281" s="11"/>
      <c r="BM281" s="11"/>
      <c r="BN281" s="11"/>
    </row>
    <row r="282" spans="1:66" s="2" customFormat="1" ht="12" customHeight="1" x14ac:dyDescent="0.25">
      <c r="A282" s="9">
        <f t="shared" si="4"/>
        <v>1</v>
      </c>
      <c r="B282" s="6"/>
      <c r="C282" s="6"/>
      <c r="D282" s="24"/>
      <c r="E282" s="12" t="s">
        <v>38</v>
      </c>
      <c r="F282" s="25">
        <v>0</v>
      </c>
      <c r="G282" s="12" t="s">
        <v>867</v>
      </c>
      <c r="H282" s="12">
        <v>0</v>
      </c>
      <c r="I282" s="12">
        <v>0</v>
      </c>
      <c r="J282" s="12">
        <v>0</v>
      </c>
      <c r="K282" s="12">
        <v>0</v>
      </c>
      <c r="L282" s="13">
        <v>0</v>
      </c>
      <c r="M282" s="13">
        <v>0</v>
      </c>
      <c r="N282" s="12">
        <v>0</v>
      </c>
      <c r="O282" s="12">
        <v>0</v>
      </c>
      <c r="P282" s="12">
        <v>0</v>
      </c>
      <c r="Q282" s="14">
        <v>0</v>
      </c>
      <c r="R282" s="15">
        <v>401928.29</v>
      </c>
      <c r="S282" s="16">
        <v>401928.29</v>
      </c>
      <c r="T282" s="15">
        <v>302828.28999999998</v>
      </c>
      <c r="U282" s="16">
        <v>0</v>
      </c>
      <c r="V282" s="15">
        <v>99100</v>
      </c>
      <c r="W282" s="16">
        <v>0</v>
      </c>
      <c r="X282" s="15">
        <v>0</v>
      </c>
      <c r="Y282" s="16">
        <v>0</v>
      </c>
      <c r="Z282" s="15">
        <v>0</v>
      </c>
      <c r="AA282" s="16">
        <v>0</v>
      </c>
      <c r="AB282" s="15">
        <v>0</v>
      </c>
      <c r="AC282" s="16">
        <v>0</v>
      </c>
      <c r="AD282" s="15">
        <v>0</v>
      </c>
      <c r="AE282" s="16">
        <v>0</v>
      </c>
      <c r="AF282" s="15">
        <v>0</v>
      </c>
      <c r="AG282" s="16">
        <v>0</v>
      </c>
      <c r="AH282" s="15">
        <v>0</v>
      </c>
      <c r="AI282" s="15" t="s">
        <v>868</v>
      </c>
      <c r="AJ282" s="14">
        <v>0.49746527777777777</v>
      </c>
      <c r="AK282" s="17">
        <v>43964</v>
      </c>
      <c r="AL282" s="18" t="s">
        <v>291</v>
      </c>
      <c r="AM282" s="14" t="s">
        <v>292</v>
      </c>
      <c r="AN282" s="14" t="s">
        <v>36</v>
      </c>
      <c r="AO282" s="14" t="s">
        <v>869</v>
      </c>
      <c r="AP282" s="14" t="s">
        <v>37</v>
      </c>
      <c r="AQ282" s="14" t="s">
        <v>184</v>
      </c>
      <c r="AR282" s="14" t="s">
        <v>4</v>
      </c>
      <c r="AS282" s="14">
        <v>0</v>
      </c>
      <c r="AT282" s="14">
        <v>0</v>
      </c>
      <c r="AU282" s="14">
        <v>0</v>
      </c>
      <c r="AV282" s="14">
        <v>0</v>
      </c>
      <c r="AW282" s="14"/>
      <c r="AX282" s="14"/>
      <c r="AY282" s="14"/>
      <c r="AZ282" s="14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  <c r="BL282" s="11"/>
      <c r="BM282" s="11"/>
      <c r="BN282" s="11"/>
    </row>
    <row r="283" spans="1:66" s="2" customFormat="1" ht="12" customHeight="1" x14ac:dyDescent="0.25">
      <c r="A283" s="9">
        <f t="shared" si="4"/>
        <v>1</v>
      </c>
      <c r="B283" s="6"/>
      <c r="C283" s="6"/>
      <c r="D283" s="24"/>
      <c r="E283" s="12" t="s">
        <v>38</v>
      </c>
      <c r="F283" s="25">
        <v>0</v>
      </c>
      <c r="G283" s="12" t="s">
        <v>870</v>
      </c>
      <c r="H283" s="12">
        <v>0</v>
      </c>
      <c r="I283" s="12">
        <v>0</v>
      </c>
      <c r="J283" s="12">
        <v>0</v>
      </c>
      <c r="K283" s="12">
        <v>0</v>
      </c>
      <c r="L283" s="13">
        <v>0</v>
      </c>
      <c r="M283" s="13">
        <v>0</v>
      </c>
      <c r="N283" s="12">
        <v>0</v>
      </c>
      <c r="O283" s="12">
        <v>0</v>
      </c>
      <c r="P283" s="12">
        <v>0</v>
      </c>
      <c r="Q283" s="14">
        <v>0</v>
      </c>
      <c r="R283" s="15">
        <v>434808.83999999991</v>
      </c>
      <c r="S283" s="16">
        <v>434808.83999999991</v>
      </c>
      <c r="T283" s="15">
        <v>323833.83999999991</v>
      </c>
      <c r="U283" s="16">
        <v>0</v>
      </c>
      <c r="V283" s="15">
        <v>110975</v>
      </c>
      <c r="W283" s="16">
        <v>0</v>
      </c>
      <c r="X283" s="15">
        <v>0</v>
      </c>
      <c r="Y283" s="16">
        <v>0</v>
      </c>
      <c r="Z283" s="15">
        <v>0</v>
      </c>
      <c r="AA283" s="16">
        <v>0</v>
      </c>
      <c r="AB283" s="15">
        <v>0</v>
      </c>
      <c r="AC283" s="16">
        <v>0</v>
      </c>
      <c r="AD283" s="15">
        <v>0</v>
      </c>
      <c r="AE283" s="16">
        <v>0</v>
      </c>
      <c r="AF283" s="15">
        <v>0</v>
      </c>
      <c r="AG283" s="16">
        <v>0</v>
      </c>
      <c r="AH283" s="15">
        <v>0</v>
      </c>
      <c r="AI283" s="15" t="s">
        <v>871</v>
      </c>
      <c r="AJ283" s="14">
        <v>0.37842592592592594</v>
      </c>
      <c r="AK283" s="17">
        <v>43965</v>
      </c>
      <c r="AL283" s="18" t="s">
        <v>291</v>
      </c>
      <c r="AM283" s="14" t="s">
        <v>292</v>
      </c>
      <c r="AN283" s="14" t="s">
        <v>36</v>
      </c>
      <c r="AO283" s="14" t="s">
        <v>872</v>
      </c>
      <c r="AP283" s="14" t="s">
        <v>37</v>
      </c>
      <c r="AQ283" s="14" t="s">
        <v>184</v>
      </c>
      <c r="AR283" s="14" t="s">
        <v>4</v>
      </c>
      <c r="AS283" s="14">
        <v>0</v>
      </c>
      <c r="AT283" s="14">
        <v>0</v>
      </c>
      <c r="AU283" s="14">
        <v>0</v>
      </c>
      <c r="AV283" s="14">
        <v>0</v>
      </c>
      <c r="AW283" s="14"/>
      <c r="AX283" s="14"/>
      <c r="AY283" s="14"/>
      <c r="AZ283" s="14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  <c r="BL283" s="11"/>
      <c r="BM283" s="11"/>
      <c r="BN283" s="11"/>
    </row>
    <row r="284" spans="1:66" s="2" customFormat="1" ht="12" customHeight="1" x14ac:dyDescent="0.25">
      <c r="A284" s="9">
        <f t="shared" si="4"/>
        <v>1</v>
      </c>
      <c r="B284" s="6"/>
      <c r="C284" s="6"/>
      <c r="D284" s="24"/>
      <c r="E284" s="12" t="s">
        <v>38</v>
      </c>
      <c r="F284" s="25">
        <v>0</v>
      </c>
      <c r="G284" s="12" t="s">
        <v>873</v>
      </c>
      <c r="H284" s="12">
        <v>0</v>
      </c>
      <c r="I284" s="12">
        <v>0</v>
      </c>
      <c r="J284" s="12">
        <v>0</v>
      </c>
      <c r="K284" s="12">
        <v>0</v>
      </c>
      <c r="L284" s="13">
        <v>0</v>
      </c>
      <c r="M284" s="13">
        <v>0</v>
      </c>
      <c r="N284" s="12">
        <v>0</v>
      </c>
      <c r="O284" s="12">
        <v>0</v>
      </c>
      <c r="P284" s="12">
        <v>0</v>
      </c>
      <c r="Q284" s="14">
        <v>0</v>
      </c>
      <c r="R284" s="15">
        <v>421321.83999999991</v>
      </c>
      <c r="S284" s="16">
        <v>421321.83999999991</v>
      </c>
      <c r="T284" s="15">
        <v>311801.83999999991</v>
      </c>
      <c r="U284" s="16">
        <v>0</v>
      </c>
      <c r="V284" s="15">
        <v>109520</v>
      </c>
      <c r="W284" s="16">
        <v>0</v>
      </c>
      <c r="X284" s="15">
        <v>0</v>
      </c>
      <c r="Y284" s="16">
        <v>0</v>
      </c>
      <c r="Z284" s="15">
        <v>0</v>
      </c>
      <c r="AA284" s="16">
        <v>0</v>
      </c>
      <c r="AB284" s="15">
        <v>0</v>
      </c>
      <c r="AC284" s="16">
        <v>0</v>
      </c>
      <c r="AD284" s="15">
        <v>0</v>
      </c>
      <c r="AE284" s="16">
        <v>0</v>
      </c>
      <c r="AF284" s="15">
        <v>0</v>
      </c>
      <c r="AG284" s="16">
        <v>0</v>
      </c>
      <c r="AH284" s="15">
        <v>0</v>
      </c>
      <c r="AI284" s="15" t="s">
        <v>874</v>
      </c>
      <c r="AJ284" s="14">
        <v>0.59228009259259262</v>
      </c>
      <c r="AK284" s="17">
        <v>43973</v>
      </c>
      <c r="AL284" s="18" t="s">
        <v>291</v>
      </c>
      <c r="AM284" s="14" t="s">
        <v>292</v>
      </c>
      <c r="AN284" s="14" t="s">
        <v>36</v>
      </c>
      <c r="AO284" s="14" t="s">
        <v>875</v>
      </c>
      <c r="AP284" s="14" t="s">
        <v>37</v>
      </c>
      <c r="AQ284" s="14" t="s">
        <v>184</v>
      </c>
      <c r="AR284" s="14" t="s">
        <v>4</v>
      </c>
      <c r="AS284" s="14">
        <v>0</v>
      </c>
      <c r="AT284" s="14">
        <v>0</v>
      </c>
      <c r="AU284" s="14">
        <v>0</v>
      </c>
      <c r="AV284" s="14">
        <v>0</v>
      </c>
      <c r="AW284" s="14"/>
      <c r="AX284" s="14"/>
      <c r="AY284" s="14"/>
      <c r="AZ284" s="14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  <c r="BL284" s="11"/>
      <c r="BM284" s="11"/>
      <c r="BN284" s="11"/>
    </row>
    <row r="285" spans="1:66" s="2" customFormat="1" ht="12" customHeight="1" x14ac:dyDescent="0.25">
      <c r="A285" s="9">
        <f t="shared" si="4"/>
        <v>1</v>
      </c>
      <c r="B285" s="6"/>
      <c r="C285" s="6"/>
      <c r="D285" s="24"/>
      <c r="E285" s="12" t="s">
        <v>38</v>
      </c>
      <c r="F285" s="25">
        <v>0</v>
      </c>
      <c r="G285" s="12" t="s">
        <v>876</v>
      </c>
      <c r="H285" s="12">
        <v>0</v>
      </c>
      <c r="I285" s="12">
        <v>0</v>
      </c>
      <c r="J285" s="12">
        <v>0</v>
      </c>
      <c r="K285" s="12">
        <v>0</v>
      </c>
      <c r="L285" s="13">
        <v>0</v>
      </c>
      <c r="M285" s="13">
        <v>0</v>
      </c>
      <c r="N285" s="12">
        <v>0</v>
      </c>
      <c r="O285" s="12">
        <v>0</v>
      </c>
      <c r="P285" s="12">
        <v>0</v>
      </c>
      <c r="Q285" s="14">
        <v>0</v>
      </c>
      <c r="R285" s="15">
        <v>1058650.52</v>
      </c>
      <c r="S285" s="16">
        <v>1058650.52</v>
      </c>
      <c r="T285" s="15">
        <v>724049.16000000015</v>
      </c>
      <c r="U285" s="16">
        <v>0</v>
      </c>
      <c r="V285" s="15">
        <v>334601.36</v>
      </c>
      <c r="W285" s="16">
        <v>0</v>
      </c>
      <c r="X285" s="15">
        <v>0</v>
      </c>
      <c r="Y285" s="16">
        <v>0</v>
      </c>
      <c r="Z285" s="15">
        <v>0</v>
      </c>
      <c r="AA285" s="16">
        <v>0</v>
      </c>
      <c r="AB285" s="15">
        <v>0</v>
      </c>
      <c r="AC285" s="16">
        <v>0</v>
      </c>
      <c r="AD285" s="15">
        <v>0</v>
      </c>
      <c r="AE285" s="16">
        <v>0</v>
      </c>
      <c r="AF285" s="15">
        <v>0</v>
      </c>
      <c r="AG285" s="16">
        <v>0</v>
      </c>
      <c r="AH285" s="15">
        <v>0</v>
      </c>
      <c r="AI285" s="15" t="s">
        <v>877</v>
      </c>
      <c r="AJ285" s="14">
        <v>0.61619212962962966</v>
      </c>
      <c r="AK285" s="17">
        <v>44175</v>
      </c>
      <c r="AL285" s="18" t="s">
        <v>291</v>
      </c>
      <c r="AM285" s="14" t="s">
        <v>292</v>
      </c>
      <c r="AN285" s="14" t="s">
        <v>36</v>
      </c>
      <c r="AO285" s="14" t="s">
        <v>878</v>
      </c>
      <c r="AP285" s="14" t="s">
        <v>37</v>
      </c>
      <c r="AQ285" s="14" t="s">
        <v>184</v>
      </c>
      <c r="AR285" s="14" t="s">
        <v>4</v>
      </c>
      <c r="AS285" s="14">
        <v>0</v>
      </c>
      <c r="AT285" s="14">
        <v>0</v>
      </c>
      <c r="AU285" s="14">
        <v>0</v>
      </c>
      <c r="AV285" s="14">
        <v>0</v>
      </c>
      <c r="AW285" s="14"/>
      <c r="AX285" s="14"/>
      <c r="AY285" s="14"/>
      <c r="AZ285" s="14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  <c r="BL285" s="11"/>
      <c r="BM285" s="11"/>
      <c r="BN285" s="11"/>
    </row>
    <row r="286" spans="1:66" s="2" customFormat="1" ht="12" customHeight="1" x14ac:dyDescent="0.25">
      <c r="A286" s="9">
        <f t="shared" si="4"/>
        <v>1</v>
      </c>
      <c r="B286" s="6"/>
      <c r="C286" s="6"/>
      <c r="D286" s="24"/>
      <c r="E286" s="12" t="s">
        <v>38</v>
      </c>
      <c r="F286" s="25">
        <v>0</v>
      </c>
      <c r="G286" s="12" t="s">
        <v>879</v>
      </c>
      <c r="H286" s="12">
        <v>0</v>
      </c>
      <c r="I286" s="12">
        <v>0</v>
      </c>
      <c r="J286" s="12">
        <v>0</v>
      </c>
      <c r="K286" s="12">
        <v>0</v>
      </c>
      <c r="L286" s="13">
        <v>0</v>
      </c>
      <c r="M286" s="13">
        <v>0</v>
      </c>
      <c r="N286" s="12">
        <v>0</v>
      </c>
      <c r="O286" s="12">
        <v>0</v>
      </c>
      <c r="P286" s="12">
        <v>0</v>
      </c>
      <c r="Q286" s="14">
        <v>0</v>
      </c>
      <c r="R286" s="15">
        <v>874935.64</v>
      </c>
      <c r="S286" s="16">
        <v>874935.64</v>
      </c>
      <c r="T286" s="15">
        <v>606678.48</v>
      </c>
      <c r="U286" s="16">
        <v>0</v>
      </c>
      <c r="V286" s="15">
        <v>268257.16000000003</v>
      </c>
      <c r="W286" s="16">
        <v>0</v>
      </c>
      <c r="X286" s="15">
        <v>0</v>
      </c>
      <c r="Y286" s="16">
        <v>0</v>
      </c>
      <c r="Z286" s="15">
        <v>0</v>
      </c>
      <c r="AA286" s="16">
        <v>0</v>
      </c>
      <c r="AB286" s="15">
        <v>0</v>
      </c>
      <c r="AC286" s="16">
        <v>0</v>
      </c>
      <c r="AD286" s="15">
        <v>0</v>
      </c>
      <c r="AE286" s="16">
        <v>0</v>
      </c>
      <c r="AF286" s="15">
        <v>0</v>
      </c>
      <c r="AG286" s="16">
        <v>0</v>
      </c>
      <c r="AH286" s="15">
        <v>0</v>
      </c>
      <c r="AI286" s="15" t="s">
        <v>880</v>
      </c>
      <c r="AJ286" s="14">
        <v>0.58434027777777775</v>
      </c>
      <c r="AK286" s="17">
        <v>44175</v>
      </c>
      <c r="AL286" s="18" t="s">
        <v>291</v>
      </c>
      <c r="AM286" s="14" t="s">
        <v>292</v>
      </c>
      <c r="AN286" s="14" t="s">
        <v>36</v>
      </c>
      <c r="AO286" s="14" t="s">
        <v>881</v>
      </c>
      <c r="AP286" s="14" t="s">
        <v>37</v>
      </c>
      <c r="AQ286" s="14" t="s">
        <v>184</v>
      </c>
      <c r="AR286" s="14" t="s">
        <v>4</v>
      </c>
      <c r="AS286" s="14">
        <v>0</v>
      </c>
      <c r="AT286" s="14">
        <v>0</v>
      </c>
      <c r="AU286" s="14">
        <v>0</v>
      </c>
      <c r="AV286" s="14">
        <v>0</v>
      </c>
      <c r="AW286" s="14"/>
      <c r="AX286" s="14"/>
      <c r="AY286" s="14"/>
      <c r="AZ286" s="14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  <c r="BL286" s="11"/>
      <c r="BM286" s="11"/>
      <c r="BN286" s="11"/>
    </row>
    <row r="287" spans="1:66" s="2" customFormat="1" ht="12" customHeight="1" x14ac:dyDescent="0.25">
      <c r="A287" s="9">
        <f t="shared" si="4"/>
        <v>1</v>
      </c>
      <c r="B287" s="6"/>
      <c r="C287" s="6"/>
      <c r="D287" s="24"/>
      <c r="E287" s="12" t="s">
        <v>38</v>
      </c>
      <c r="F287" s="25">
        <v>0</v>
      </c>
      <c r="G287" s="12" t="s">
        <v>882</v>
      </c>
      <c r="H287" s="12">
        <v>0</v>
      </c>
      <c r="I287" s="12">
        <v>0</v>
      </c>
      <c r="J287" s="12">
        <v>0</v>
      </c>
      <c r="K287" s="12">
        <v>0</v>
      </c>
      <c r="L287" s="13">
        <v>0</v>
      </c>
      <c r="M287" s="13">
        <v>0</v>
      </c>
      <c r="N287" s="12">
        <v>0</v>
      </c>
      <c r="O287" s="12">
        <v>0</v>
      </c>
      <c r="P287" s="12">
        <v>0</v>
      </c>
      <c r="Q287" s="14">
        <v>0</v>
      </c>
      <c r="R287" s="15">
        <v>1020787.13</v>
      </c>
      <c r="S287" s="16">
        <v>1020787.13</v>
      </c>
      <c r="T287" s="15">
        <v>705022.77</v>
      </c>
      <c r="U287" s="16">
        <v>0</v>
      </c>
      <c r="V287" s="15">
        <v>315764.36</v>
      </c>
      <c r="W287" s="16">
        <v>0</v>
      </c>
      <c r="X287" s="15">
        <v>0</v>
      </c>
      <c r="Y287" s="16">
        <v>0</v>
      </c>
      <c r="Z287" s="15">
        <v>0</v>
      </c>
      <c r="AA287" s="16">
        <v>0</v>
      </c>
      <c r="AB287" s="15">
        <v>0</v>
      </c>
      <c r="AC287" s="16">
        <v>0</v>
      </c>
      <c r="AD287" s="15">
        <v>0</v>
      </c>
      <c r="AE287" s="16">
        <v>0</v>
      </c>
      <c r="AF287" s="15">
        <v>0</v>
      </c>
      <c r="AG287" s="16">
        <v>0</v>
      </c>
      <c r="AH287" s="15">
        <v>0</v>
      </c>
      <c r="AI287" s="15" t="s">
        <v>883</v>
      </c>
      <c r="AJ287" s="14">
        <v>0.6031481481481481</v>
      </c>
      <c r="AK287" s="17">
        <v>44175</v>
      </c>
      <c r="AL287" s="18" t="s">
        <v>291</v>
      </c>
      <c r="AM287" s="14" t="s">
        <v>292</v>
      </c>
      <c r="AN287" s="14" t="s">
        <v>36</v>
      </c>
      <c r="AO287" s="14" t="s">
        <v>884</v>
      </c>
      <c r="AP287" s="14" t="s">
        <v>37</v>
      </c>
      <c r="AQ287" s="14" t="s">
        <v>184</v>
      </c>
      <c r="AR287" s="14" t="s">
        <v>4</v>
      </c>
      <c r="AS287" s="14">
        <v>0</v>
      </c>
      <c r="AT287" s="14">
        <v>0</v>
      </c>
      <c r="AU287" s="14">
        <v>0</v>
      </c>
      <c r="AV287" s="14">
        <v>0</v>
      </c>
      <c r="AW287" s="14"/>
      <c r="AX287" s="14"/>
      <c r="AY287" s="14"/>
      <c r="AZ287" s="14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  <c r="BL287" s="11"/>
      <c r="BM287" s="11"/>
      <c r="BN287" s="11"/>
    </row>
    <row r="288" spans="1:66" s="2" customFormat="1" ht="12" customHeight="1" x14ac:dyDescent="0.25">
      <c r="A288" s="9">
        <f t="shared" si="4"/>
        <v>1</v>
      </c>
      <c r="B288" s="6"/>
      <c r="C288" s="6"/>
      <c r="D288" s="24"/>
      <c r="E288" s="12" t="s">
        <v>38</v>
      </c>
      <c r="F288" s="25">
        <v>0</v>
      </c>
      <c r="G288" s="12" t="s">
        <v>885</v>
      </c>
      <c r="H288" s="12">
        <v>0</v>
      </c>
      <c r="I288" s="12">
        <v>0</v>
      </c>
      <c r="J288" s="12">
        <v>0</v>
      </c>
      <c r="K288" s="12">
        <v>0</v>
      </c>
      <c r="L288" s="13">
        <v>0</v>
      </c>
      <c r="M288" s="13">
        <v>0</v>
      </c>
      <c r="N288" s="12">
        <v>0</v>
      </c>
      <c r="O288" s="12">
        <v>0</v>
      </c>
      <c r="P288" s="12">
        <v>0</v>
      </c>
      <c r="Q288" s="14">
        <v>0</v>
      </c>
      <c r="R288" s="15">
        <v>1034464.37</v>
      </c>
      <c r="S288" s="16">
        <v>1034464.37</v>
      </c>
      <c r="T288" s="15">
        <v>710065.81</v>
      </c>
      <c r="U288" s="16">
        <v>0</v>
      </c>
      <c r="V288" s="15">
        <v>324398.55999999994</v>
      </c>
      <c r="W288" s="16">
        <v>0</v>
      </c>
      <c r="X288" s="15">
        <v>0</v>
      </c>
      <c r="Y288" s="16">
        <v>0</v>
      </c>
      <c r="Z288" s="15">
        <v>0</v>
      </c>
      <c r="AA288" s="16">
        <v>0</v>
      </c>
      <c r="AB288" s="15">
        <v>0</v>
      </c>
      <c r="AC288" s="16">
        <v>0</v>
      </c>
      <c r="AD288" s="15">
        <v>0</v>
      </c>
      <c r="AE288" s="16">
        <v>0</v>
      </c>
      <c r="AF288" s="15">
        <v>0</v>
      </c>
      <c r="AG288" s="16">
        <v>0</v>
      </c>
      <c r="AH288" s="15">
        <v>0</v>
      </c>
      <c r="AI288" s="15" t="s">
        <v>886</v>
      </c>
      <c r="AJ288" s="14">
        <v>0.66532407407407412</v>
      </c>
      <c r="AK288" s="17">
        <v>44090</v>
      </c>
      <c r="AL288" s="18" t="s">
        <v>291</v>
      </c>
      <c r="AM288" s="14" t="s">
        <v>292</v>
      </c>
      <c r="AN288" s="14" t="s">
        <v>36</v>
      </c>
      <c r="AO288" s="14" t="s">
        <v>887</v>
      </c>
      <c r="AP288" s="14" t="s">
        <v>37</v>
      </c>
      <c r="AQ288" s="14" t="s">
        <v>184</v>
      </c>
      <c r="AR288" s="14" t="s">
        <v>4</v>
      </c>
      <c r="AS288" s="14">
        <v>0</v>
      </c>
      <c r="AT288" s="14">
        <v>0</v>
      </c>
      <c r="AU288" s="14">
        <v>0</v>
      </c>
      <c r="AV288" s="14">
        <v>0</v>
      </c>
      <c r="AW288" s="14"/>
      <c r="AX288" s="14"/>
      <c r="AY288" s="14"/>
      <c r="AZ288" s="14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  <c r="BL288" s="11"/>
      <c r="BM288" s="11"/>
      <c r="BN288" s="11"/>
    </row>
    <row r="289" spans="1:66" s="2" customFormat="1" ht="12" customHeight="1" x14ac:dyDescent="0.25">
      <c r="A289" s="9">
        <f t="shared" si="4"/>
        <v>1</v>
      </c>
      <c r="B289" s="6"/>
      <c r="C289" s="6"/>
      <c r="D289" s="24"/>
      <c r="E289" s="12" t="s">
        <v>38</v>
      </c>
      <c r="F289" s="25">
        <v>0</v>
      </c>
      <c r="G289" s="12" t="s">
        <v>888</v>
      </c>
      <c r="H289" s="12">
        <v>0</v>
      </c>
      <c r="I289" s="12">
        <v>0</v>
      </c>
      <c r="J289" s="12">
        <v>0</v>
      </c>
      <c r="K289" s="12">
        <v>0</v>
      </c>
      <c r="L289" s="13">
        <v>0</v>
      </c>
      <c r="M289" s="13">
        <v>0</v>
      </c>
      <c r="N289" s="12">
        <v>0</v>
      </c>
      <c r="O289" s="12">
        <v>0</v>
      </c>
      <c r="P289" s="12">
        <v>0</v>
      </c>
      <c r="Q289" s="14">
        <v>0</v>
      </c>
      <c r="R289" s="15">
        <v>496708.60239700007</v>
      </c>
      <c r="S289" s="16">
        <v>496708.60239700007</v>
      </c>
      <c r="T289" s="15">
        <v>235653.78</v>
      </c>
      <c r="U289" s="16">
        <v>0</v>
      </c>
      <c r="V289" s="15">
        <v>185225</v>
      </c>
      <c r="W289" s="16">
        <v>0</v>
      </c>
      <c r="X289" s="15">
        <v>30369.117100000003</v>
      </c>
      <c r="Y289" s="16">
        <v>0</v>
      </c>
      <c r="Z289" s="15">
        <v>12965.750000000002</v>
      </c>
      <c r="AA289" s="16">
        <v>0</v>
      </c>
      <c r="AB289" s="15">
        <v>32494.955297000008</v>
      </c>
      <c r="AC289" s="16">
        <v>0</v>
      </c>
      <c r="AD289" s="15">
        <v>0</v>
      </c>
      <c r="AE289" s="16">
        <v>0</v>
      </c>
      <c r="AF289" s="15">
        <v>0</v>
      </c>
      <c r="AG289" s="16">
        <v>0</v>
      </c>
      <c r="AH289" s="15">
        <v>0</v>
      </c>
      <c r="AI289" s="15" t="s">
        <v>889</v>
      </c>
      <c r="AJ289" s="14">
        <v>0.63344907407407403</v>
      </c>
      <c r="AK289" s="17">
        <v>43976</v>
      </c>
      <c r="AL289" s="18" t="s">
        <v>291</v>
      </c>
      <c r="AM289" s="14" t="s">
        <v>292</v>
      </c>
      <c r="AN289" s="14" t="s">
        <v>36</v>
      </c>
      <c r="AO289" s="14" t="s">
        <v>890</v>
      </c>
      <c r="AP289" s="14" t="s">
        <v>37</v>
      </c>
      <c r="AQ289" s="14" t="s">
        <v>184</v>
      </c>
      <c r="AR289" s="14" t="s">
        <v>4</v>
      </c>
      <c r="AS289" s="14">
        <v>0</v>
      </c>
      <c r="AT289" s="14">
        <v>0</v>
      </c>
      <c r="AU289" s="14">
        <v>0</v>
      </c>
      <c r="AV289" s="14">
        <v>0</v>
      </c>
      <c r="AW289" s="14"/>
      <c r="AX289" s="14"/>
      <c r="AY289" s="14"/>
      <c r="AZ289" s="14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  <c r="BL289" s="11"/>
      <c r="BM289" s="11"/>
      <c r="BN289" s="11"/>
    </row>
    <row r="290" spans="1:66" s="2" customFormat="1" ht="12" customHeight="1" x14ac:dyDescent="0.25">
      <c r="A290" s="9">
        <f t="shared" si="4"/>
        <v>1</v>
      </c>
      <c r="B290" s="6"/>
      <c r="C290" s="6"/>
      <c r="D290" s="24"/>
      <c r="E290" s="12" t="s">
        <v>38</v>
      </c>
      <c r="F290" s="25">
        <v>0</v>
      </c>
      <c r="G290" s="12" t="s">
        <v>891</v>
      </c>
      <c r="H290" s="12">
        <v>0</v>
      </c>
      <c r="I290" s="12">
        <v>0</v>
      </c>
      <c r="J290" s="12">
        <v>0</v>
      </c>
      <c r="K290" s="12">
        <v>0</v>
      </c>
      <c r="L290" s="13">
        <v>0</v>
      </c>
      <c r="M290" s="13">
        <v>0</v>
      </c>
      <c r="N290" s="12">
        <v>0</v>
      </c>
      <c r="O290" s="12">
        <v>0</v>
      </c>
      <c r="P290" s="12">
        <v>0</v>
      </c>
      <c r="Q290" s="14">
        <v>0</v>
      </c>
      <c r="R290" s="15">
        <v>4721494.84</v>
      </c>
      <c r="S290" s="16">
        <v>4721494.84</v>
      </c>
      <c r="T290" s="15">
        <v>4721494.84</v>
      </c>
      <c r="U290" s="16">
        <v>0</v>
      </c>
      <c r="V290" s="15">
        <v>0</v>
      </c>
      <c r="W290" s="16">
        <v>0</v>
      </c>
      <c r="X290" s="15">
        <v>0</v>
      </c>
      <c r="Y290" s="16">
        <v>0</v>
      </c>
      <c r="Z290" s="15">
        <v>0</v>
      </c>
      <c r="AA290" s="16">
        <v>0</v>
      </c>
      <c r="AB290" s="15">
        <v>0</v>
      </c>
      <c r="AC290" s="16">
        <v>0</v>
      </c>
      <c r="AD290" s="15">
        <v>0</v>
      </c>
      <c r="AE290" s="16">
        <v>0</v>
      </c>
      <c r="AF290" s="15">
        <v>0</v>
      </c>
      <c r="AG290" s="16">
        <v>0</v>
      </c>
      <c r="AH290" s="15">
        <v>0</v>
      </c>
      <c r="AI290" s="15" t="s">
        <v>892</v>
      </c>
      <c r="AJ290" s="14">
        <v>0.62717592592592586</v>
      </c>
      <c r="AK290" s="17">
        <v>43986</v>
      </c>
      <c r="AL290" s="18" t="s">
        <v>291</v>
      </c>
      <c r="AM290" s="14" t="s">
        <v>292</v>
      </c>
      <c r="AN290" s="14" t="s">
        <v>36</v>
      </c>
      <c r="AO290" s="14" t="s">
        <v>893</v>
      </c>
      <c r="AP290" s="14" t="s">
        <v>37</v>
      </c>
      <c r="AQ290" s="14" t="s">
        <v>184</v>
      </c>
      <c r="AR290" s="14" t="s">
        <v>4</v>
      </c>
      <c r="AS290" s="14">
        <v>0</v>
      </c>
      <c r="AT290" s="14">
        <v>0</v>
      </c>
      <c r="AU290" s="14">
        <v>0</v>
      </c>
      <c r="AV290" s="14">
        <v>0</v>
      </c>
      <c r="AW290" s="14"/>
      <c r="AX290" s="14"/>
      <c r="AY290" s="14"/>
      <c r="AZ290" s="14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  <c r="BL290" s="11"/>
      <c r="BM290" s="11"/>
      <c r="BN290" s="11"/>
    </row>
    <row r="291" spans="1:66" s="2" customFormat="1" ht="12" customHeight="1" x14ac:dyDescent="0.25">
      <c r="A291" s="9">
        <f t="shared" si="4"/>
        <v>1</v>
      </c>
      <c r="B291" s="6"/>
      <c r="C291" s="6"/>
      <c r="D291" s="24"/>
      <c r="E291" s="12" t="s">
        <v>38</v>
      </c>
      <c r="F291" s="25">
        <v>0</v>
      </c>
      <c r="G291" s="12" t="s">
        <v>894</v>
      </c>
      <c r="H291" s="12">
        <v>0</v>
      </c>
      <c r="I291" s="12">
        <v>0</v>
      </c>
      <c r="J291" s="12">
        <v>0</v>
      </c>
      <c r="K291" s="12">
        <v>0</v>
      </c>
      <c r="L291" s="13">
        <v>0</v>
      </c>
      <c r="M291" s="13">
        <v>0</v>
      </c>
      <c r="N291" s="12">
        <v>0</v>
      </c>
      <c r="O291" s="12">
        <v>0</v>
      </c>
      <c r="P291" s="12">
        <v>0</v>
      </c>
      <c r="Q291" s="14">
        <v>0</v>
      </c>
      <c r="R291" s="15">
        <v>0</v>
      </c>
      <c r="S291" s="16">
        <v>0</v>
      </c>
      <c r="T291" s="15">
        <v>0</v>
      </c>
      <c r="U291" s="16">
        <v>0</v>
      </c>
      <c r="V291" s="15">
        <v>0</v>
      </c>
      <c r="W291" s="16">
        <v>0</v>
      </c>
      <c r="X291" s="15">
        <v>0</v>
      </c>
      <c r="Y291" s="16">
        <v>0</v>
      </c>
      <c r="Z291" s="15">
        <v>0</v>
      </c>
      <c r="AA291" s="16">
        <v>0</v>
      </c>
      <c r="AB291" s="15">
        <v>0</v>
      </c>
      <c r="AC291" s="16">
        <v>0</v>
      </c>
      <c r="AD291" s="15">
        <v>0</v>
      </c>
      <c r="AE291" s="16">
        <v>0</v>
      </c>
      <c r="AF291" s="15">
        <v>0</v>
      </c>
      <c r="AG291" s="16">
        <v>0</v>
      </c>
      <c r="AH291" s="15">
        <v>0</v>
      </c>
      <c r="AI291" s="15" t="s">
        <v>895</v>
      </c>
      <c r="AJ291" s="14">
        <v>0.6616319444444444</v>
      </c>
      <c r="AK291" s="17">
        <v>43997</v>
      </c>
      <c r="AL291" s="18" t="s">
        <v>40</v>
      </c>
      <c r="AM291" s="14" t="s">
        <v>410</v>
      </c>
      <c r="AN291" s="14" t="s">
        <v>36</v>
      </c>
      <c r="AO291" s="14" t="s">
        <v>896</v>
      </c>
      <c r="AP291" s="14" t="s">
        <v>37</v>
      </c>
      <c r="AQ291" s="14" t="s">
        <v>184</v>
      </c>
      <c r="AR291" s="14" t="s">
        <v>4</v>
      </c>
      <c r="AS291" s="14">
        <v>0</v>
      </c>
      <c r="AT291" s="14">
        <v>0</v>
      </c>
      <c r="AU291" s="14">
        <v>0</v>
      </c>
      <c r="AV291" s="14">
        <v>0</v>
      </c>
      <c r="AW291" s="14"/>
      <c r="AX291" s="14"/>
      <c r="AY291" s="14"/>
      <c r="AZ291" s="14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  <c r="BL291" s="11"/>
      <c r="BM291" s="11"/>
      <c r="BN291" s="11"/>
    </row>
    <row r="292" spans="1:66" s="2" customFormat="1" ht="12" customHeight="1" x14ac:dyDescent="0.25">
      <c r="A292" s="9">
        <f t="shared" si="4"/>
        <v>1</v>
      </c>
      <c r="B292" s="6"/>
      <c r="C292" s="6"/>
      <c r="D292" s="24"/>
      <c r="E292" s="12" t="s">
        <v>38</v>
      </c>
      <c r="F292" s="25">
        <v>0</v>
      </c>
      <c r="G292" s="12" t="s">
        <v>897</v>
      </c>
      <c r="H292" s="12">
        <v>0</v>
      </c>
      <c r="I292" s="12">
        <v>0</v>
      </c>
      <c r="J292" s="12">
        <v>0</v>
      </c>
      <c r="K292" s="12">
        <v>0</v>
      </c>
      <c r="L292" s="13">
        <v>0</v>
      </c>
      <c r="M292" s="13">
        <v>0</v>
      </c>
      <c r="N292" s="12">
        <v>0</v>
      </c>
      <c r="O292" s="12">
        <v>0</v>
      </c>
      <c r="P292" s="12">
        <v>0</v>
      </c>
      <c r="Q292" s="14">
        <v>0</v>
      </c>
      <c r="R292" s="15">
        <v>8117.3410000000003</v>
      </c>
      <c r="S292" s="16">
        <v>8117.3410000000003</v>
      </c>
      <c r="T292" s="15">
        <v>6020</v>
      </c>
      <c r="U292" s="16">
        <v>0</v>
      </c>
      <c r="V292" s="15">
        <v>1000</v>
      </c>
      <c r="W292" s="16">
        <v>0</v>
      </c>
      <c r="X292" s="15">
        <v>496.30000000000007</v>
      </c>
      <c r="Y292" s="16">
        <v>0</v>
      </c>
      <c r="Z292" s="15">
        <v>70</v>
      </c>
      <c r="AA292" s="16">
        <v>0</v>
      </c>
      <c r="AB292" s="15">
        <v>531.04100000000005</v>
      </c>
      <c r="AC292" s="16">
        <v>0</v>
      </c>
      <c r="AD292" s="15">
        <v>0</v>
      </c>
      <c r="AE292" s="16">
        <v>0</v>
      </c>
      <c r="AF292" s="15">
        <v>0</v>
      </c>
      <c r="AG292" s="16">
        <v>0</v>
      </c>
      <c r="AH292" s="15">
        <v>0</v>
      </c>
      <c r="AI292" s="15" t="s">
        <v>898</v>
      </c>
      <c r="AJ292" s="14">
        <v>0.38721064814814815</v>
      </c>
      <c r="AK292" s="17">
        <v>44012</v>
      </c>
      <c r="AL292" s="18" t="s">
        <v>291</v>
      </c>
      <c r="AM292" s="14" t="s">
        <v>292</v>
      </c>
      <c r="AN292" s="14" t="s">
        <v>36</v>
      </c>
      <c r="AO292" s="14" t="s">
        <v>899</v>
      </c>
      <c r="AP292" s="14" t="s">
        <v>37</v>
      </c>
      <c r="AQ292" s="14" t="s">
        <v>184</v>
      </c>
      <c r="AR292" s="14" t="s">
        <v>4</v>
      </c>
      <c r="AS292" s="14">
        <v>0</v>
      </c>
      <c r="AT292" s="14">
        <v>0</v>
      </c>
      <c r="AU292" s="14">
        <v>0</v>
      </c>
      <c r="AV292" s="14">
        <v>0</v>
      </c>
      <c r="AW292" s="14"/>
      <c r="AX292" s="14"/>
      <c r="AY292" s="14"/>
      <c r="AZ292" s="14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  <c r="BL292" s="11"/>
      <c r="BM292" s="11"/>
      <c r="BN292" s="11"/>
    </row>
    <row r="293" spans="1:66" s="2" customFormat="1" ht="12" customHeight="1" x14ac:dyDescent="0.25">
      <c r="A293" s="9">
        <f t="shared" si="4"/>
        <v>1</v>
      </c>
      <c r="B293" s="6"/>
      <c r="C293" s="6"/>
      <c r="D293" s="24"/>
      <c r="E293" s="12" t="s">
        <v>38</v>
      </c>
      <c r="F293" s="25">
        <v>0</v>
      </c>
      <c r="G293" s="12" t="s">
        <v>900</v>
      </c>
      <c r="H293" s="12">
        <v>0</v>
      </c>
      <c r="I293" s="12">
        <v>0</v>
      </c>
      <c r="J293" s="12">
        <v>0</v>
      </c>
      <c r="K293" s="12">
        <v>0</v>
      </c>
      <c r="L293" s="13">
        <v>0</v>
      </c>
      <c r="M293" s="13">
        <v>0</v>
      </c>
      <c r="N293" s="12">
        <v>0</v>
      </c>
      <c r="O293" s="12">
        <v>0</v>
      </c>
      <c r="P293" s="12">
        <v>0</v>
      </c>
      <c r="Q293" s="14">
        <v>0</v>
      </c>
      <c r="R293" s="15">
        <v>198329.3</v>
      </c>
      <c r="S293" s="16">
        <v>198329.3</v>
      </c>
      <c r="T293" s="15">
        <v>122309.3</v>
      </c>
      <c r="U293" s="16">
        <v>0</v>
      </c>
      <c r="V293" s="15">
        <v>76020</v>
      </c>
      <c r="W293" s="16">
        <v>0</v>
      </c>
      <c r="X293" s="15">
        <v>0</v>
      </c>
      <c r="Y293" s="16">
        <v>0</v>
      </c>
      <c r="Z293" s="15">
        <v>0</v>
      </c>
      <c r="AA293" s="16">
        <v>0</v>
      </c>
      <c r="AB293" s="15">
        <v>0</v>
      </c>
      <c r="AC293" s="16">
        <v>0</v>
      </c>
      <c r="AD293" s="15">
        <v>0</v>
      </c>
      <c r="AE293" s="16">
        <v>0</v>
      </c>
      <c r="AF293" s="15">
        <v>0</v>
      </c>
      <c r="AG293" s="16">
        <v>0</v>
      </c>
      <c r="AH293" s="15">
        <v>0</v>
      </c>
      <c r="AI293" s="15" t="s">
        <v>901</v>
      </c>
      <c r="AJ293" s="14">
        <v>0.66873842592592592</v>
      </c>
      <c r="AK293" s="17">
        <v>44012</v>
      </c>
      <c r="AL293" s="18" t="s">
        <v>40</v>
      </c>
      <c r="AM293" s="14" t="s">
        <v>410</v>
      </c>
      <c r="AN293" s="14" t="s">
        <v>36</v>
      </c>
      <c r="AO293" s="14" t="s">
        <v>902</v>
      </c>
      <c r="AP293" s="14" t="s">
        <v>37</v>
      </c>
      <c r="AQ293" s="14" t="s">
        <v>184</v>
      </c>
      <c r="AR293" s="14" t="s">
        <v>4</v>
      </c>
      <c r="AS293" s="14">
        <v>0</v>
      </c>
      <c r="AT293" s="14">
        <v>0</v>
      </c>
      <c r="AU293" s="14">
        <v>0</v>
      </c>
      <c r="AV293" s="14">
        <v>0</v>
      </c>
      <c r="AW293" s="14"/>
      <c r="AX293" s="14"/>
      <c r="AY293" s="14"/>
      <c r="AZ293" s="14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  <c r="BL293" s="11"/>
      <c r="BM293" s="11"/>
      <c r="BN293" s="11"/>
    </row>
    <row r="294" spans="1:66" s="2" customFormat="1" ht="12" customHeight="1" x14ac:dyDescent="0.25">
      <c r="A294" s="9">
        <f t="shared" si="4"/>
        <v>1</v>
      </c>
      <c r="B294" s="6"/>
      <c r="C294" s="6"/>
      <c r="D294" s="24"/>
      <c r="E294" s="12" t="s">
        <v>38</v>
      </c>
      <c r="F294" s="25">
        <v>0</v>
      </c>
      <c r="G294" s="12" t="s">
        <v>903</v>
      </c>
      <c r="H294" s="12">
        <v>0</v>
      </c>
      <c r="I294" s="12">
        <v>0</v>
      </c>
      <c r="J294" s="12">
        <v>0</v>
      </c>
      <c r="K294" s="12">
        <v>0</v>
      </c>
      <c r="L294" s="13">
        <v>0</v>
      </c>
      <c r="M294" s="13">
        <v>0</v>
      </c>
      <c r="N294" s="12">
        <v>0</v>
      </c>
      <c r="O294" s="12">
        <v>0</v>
      </c>
      <c r="P294" s="12">
        <v>0</v>
      </c>
      <c r="Q294" s="14">
        <v>0</v>
      </c>
      <c r="R294" s="15">
        <v>215934.8</v>
      </c>
      <c r="S294" s="16">
        <v>215934.8</v>
      </c>
      <c r="T294" s="15">
        <v>132294.79999999999</v>
      </c>
      <c r="U294" s="16">
        <v>0</v>
      </c>
      <c r="V294" s="15">
        <v>83640</v>
      </c>
      <c r="W294" s="16">
        <v>0</v>
      </c>
      <c r="X294" s="15">
        <v>0</v>
      </c>
      <c r="Y294" s="16">
        <v>0</v>
      </c>
      <c r="Z294" s="15">
        <v>0</v>
      </c>
      <c r="AA294" s="16">
        <v>0</v>
      </c>
      <c r="AB294" s="15">
        <v>0</v>
      </c>
      <c r="AC294" s="16">
        <v>0</v>
      </c>
      <c r="AD294" s="15">
        <v>0</v>
      </c>
      <c r="AE294" s="16">
        <v>0</v>
      </c>
      <c r="AF294" s="15">
        <v>0</v>
      </c>
      <c r="AG294" s="16">
        <v>0</v>
      </c>
      <c r="AH294" s="15">
        <v>0</v>
      </c>
      <c r="AI294" s="15" t="s">
        <v>904</v>
      </c>
      <c r="AJ294" s="14">
        <v>0.67163194444444452</v>
      </c>
      <c r="AK294" s="17">
        <v>44012</v>
      </c>
      <c r="AL294" s="18" t="s">
        <v>40</v>
      </c>
      <c r="AM294" s="14" t="s">
        <v>410</v>
      </c>
      <c r="AN294" s="14" t="s">
        <v>36</v>
      </c>
      <c r="AO294" s="14" t="s">
        <v>905</v>
      </c>
      <c r="AP294" s="14" t="s">
        <v>37</v>
      </c>
      <c r="AQ294" s="14" t="s">
        <v>184</v>
      </c>
      <c r="AR294" s="14" t="s">
        <v>4</v>
      </c>
      <c r="AS294" s="14">
        <v>0</v>
      </c>
      <c r="AT294" s="14">
        <v>0</v>
      </c>
      <c r="AU294" s="14">
        <v>0</v>
      </c>
      <c r="AV294" s="14">
        <v>0</v>
      </c>
      <c r="AW294" s="14"/>
      <c r="AX294" s="14"/>
      <c r="AY294" s="14"/>
      <c r="AZ294" s="14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  <c r="BL294" s="11"/>
      <c r="BM294" s="11"/>
      <c r="BN294" s="11"/>
    </row>
    <row r="295" spans="1:66" s="2" customFormat="1" ht="12" customHeight="1" x14ac:dyDescent="0.25">
      <c r="A295" s="9">
        <f t="shared" si="4"/>
        <v>1</v>
      </c>
      <c r="B295" s="6"/>
      <c r="C295" s="6"/>
      <c r="D295" s="24"/>
      <c r="E295" s="12" t="s">
        <v>38</v>
      </c>
      <c r="F295" s="25">
        <v>0</v>
      </c>
      <c r="G295" s="12" t="s">
        <v>906</v>
      </c>
      <c r="H295" s="12">
        <v>0</v>
      </c>
      <c r="I295" s="12">
        <v>0</v>
      </c>
      <c r="J295" s="12">
        <v>0</v>
      </c>
      <c r="K295" s="12">
        <v>0</v>
      </c>
      <c r="L295" s="13">
        <v>0</v>
      </c>
      <c r="M295" s="13">
        <v>0</v>
      </c>
      <c r="N295" s="12">
        <v>0</v>
      </c>
      <c r="O295" s="12">
        <v>0</v>
      </c>
      <c r="P295" s="12">
        <v>0</v>
      </c>
      <c r="Q295" s="14">
        <v>0</v>
      </c>
      <c r="R295" s="15">
        <v>314595.8</v>
      </c>
      <c r="S295" s="16">
        <v>314595.8</v>
      </c>
      <c r="T295" s="15">
        <v>182505.8</v>
      </c>
      <c r="U295" s="16">
        <v>0</v>
      </c>
      <c r="V295" s="15">
        <v>132090</v>
      </c>
      <c r="W295" s="16">
        <v>0</v>
      </c>
      <c r="X295" s="15">
        <v>0</v>
      </c>
      <c r="Y295" s="16">
        <v>0</v>
      </c>
      <c r="Z295" s="15">
        <v>0</v>
      </c>
      <c r="AA295" s="16">
        <v>0</v>
      </c>
      <c r="AB295" s="15">
        <v>0</v>
      </c>
      <c r="AC295" s="16">
        <v>0</v>
      </c>
      <c r="AD295" s="15">
        <v>0</v>
      </c>
      <c r="AE295" s="16">
        <v>0</v>
      </c>
      <c r="AF295" s="15">
        <v>0</v>
      </c>
      <c r="AG295" s="16">
        <v>0</v>
      </c>
      <c r="AH295" s="15">
        <v>0</v>
      </c>
      <c r="AI295" s="15" t="s">
        <v>907</v>
      </c>
      <c r="AJ295" s="14">
        <v>0.67545138888888889</v>
      </c>
      <c r="AK295" s="17">
        <v>44012</v>
      </c>
      <c r="AL295" s="18" t="s">
        <v>40</v>
      </c>
      <c r="AM295" s="14" t="s">
        <v>410</v>
      </c>
      <c r="AN295" s="14" t="s">
        <v>36</v>
      </c>
      <c r="AO295" s="14" t="s">
        <v>908</v>
      </c>
      <c r="AP295" s="14" t="s">
        <v>37</v>
      </c>
      <c r="AQ295" s="14" t="s">
        <v>184</v>
      </c>
      <c r="AR295" s="14" t="s">
        <v>4</v>
      </c>
      <c r="AS295" s="14">
        <v>0</v>
      </c>
      <c r="AT295" s="14">
        <v>0</v>
      </c>
      <c r="AU295" s="14">
        <v>0</v>
      </c>
      <c r="AV295" s="14">
        <v>0</v>
      </c>
      <c r="AW295" s="14"/>
      <c r="AX295" s="14"/>
      <c r="AY295" s="14"/>
      <c r="AZ295" s="14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  <c r="BL295" s="11"/>
      <c r="BM295" s="11"/>
      <c r="BN295" s="11"/>
    </row>
    <row r="296" spans="1:66" s="2" customFormat="1" ht="12" customHeight="1" x14ac:dyDescent="0.25">
      <c r="A296" s="9">
        <f t="shared" si="4"/>
        <v>1</v>
      </c>
      <c r="B296" s="6"/>
      <c r="C296" s="6"/>
      <c r="D296" s="24"/>
      <c r="E296" s="12" t="s">
        <v>38</v>
      </c>
      <c r="F296" s="25">
        <v>0</v>
      </c>
      <c r="G296" s="12" t="s">
        <v>909</v>
      </c>
      <c r="H296" s="12">
        <v>0</v>
      </c>
      <c r="I296" s="12">
        <v>0</v>
      </c>
      <c r="J296" s="12">
        <v>0</v>
      </c>
      <c r="K296" s="12">
        <v>0</v>
      </c>
      <c r="L296" s="13">
        <v>0</v>
      </c>
      <c r="M296" s="13">
        <v>0</v>
      </c>
      <c r="N296" s="12">
        <v>0</v>
      </c>
      <c r="O296" s="12">
        <v>0</v>
      </c>
      <c r="P296" s="12">
        <v>0</v>
      </c>
      <c r="Q296" s="14">
        <v>0</v>
      </c>
      <c r="R296" s="15">
        <v>960332.9608</v>
      </c>
      <c r="S296" s="16">
        <v>960332.9608</v>
      </c>
      <c r="T296" s="15">
        <v>660829.6</v>
      </c>
      <c r="U296" s="16">
        <v>0</v>
      </c>
      <c r="V296" s="15">
        <v>166320</v>
      </c>
      <c r="W296" s="16">
        <v>0</v>
      </c>
      <c r="X296" s="15">
        <v>58715.44</v>
      </c>
      <c r="Y296" s="16">
        <v>0</v>
      </c>
      <c r="Z296" s="15">
        <v>11642.400000000001</v>
      </c>
      <c r="AA296" s="16">
        <v>0</v>
      </c>
      <c r="AB296" s="15">
        <v>62825.520800000006</v>
      </c>
      <c r="AC296" s="16">
        <v>0</v>
      </c>
      <c r="AD296" s="15">
        <v>0</v>
      </c>
      <c r="AE296" s="16">
        <v>0</v>
      </c>
      <c r="AF296" s="15">
        <v>0</v>
      </c>
      <c r="AG296" s="16">
        <v>0</v>
      </c>
      <c r="AH296" s="15">
        <v>0</v>
      </c>
      <c r="AI296" s="15" t="s">
        <v>910</v>
      </c>
      <c r="AJ296" s="14">
        <v>0.3911458333333333</v>
      </c>
      <c r="AK296" s="17">
        <v>44022</v>
      </c>
      <c r="AL296" s="18" t="s">
        <v>291</v>
      </c>
      <c r="AM296" s="14" t="s">
        <v>292</v>
      </c>
      <c r="AN296" s="14" t="s">
        <v>36</v>
      </c>
      <c r="AO296" s="14" t="s">
        <v>911</v>
      </c>
      <c r="AP296" s="14" t="s">
        <v>37</v>
      </c>
      <c r="AQ296" s="14" t="s">
        <v>184</v>
      </c>
      <c r="AR296" s="14" t="s">
        <v>4</v>
      </c>
      <c r="AS296" s="14">
        <v>0</v>
      </c>
      <c r="AT296" s="14">
        <v>0</v>
      </c>
      <c r="AU296" s="14">
        <v>0</v>
      </c>
      <c r="AV296" s="14">
        <v>0</v>
      </c>
      <c r="AW296" s="14"/>
      <c r="AX296" s="14"/>
      <c r="AY296" s="14"/>
      <c r="AZ296" s="14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  <c r="BL296" s="11"/>
      <c r="BM296" s="11"/>
      <c r="BN296" s="11"/>
    </row>
    <row r="297" spans="1:66" s="2" customFormat="1" ht="12" customHeight="1" x14ac:dyDescent="0.25">
      <c r="A297" s="9">
        <f t="shared" si="4"/>
        <v>1</v>
      </c>
      <c r="B297" s="6"/>
      <c r="C297" s="6"/>
      <c r="D297" s="24"/>
      <c r="E297" s="12" t="s">
        <v>38</v>
      </c>
      <c r="F297" s="25">
        <v>0</v>
      </c>
      <c r="G297" s="12" t="s">
        <v>912</v>
      </c>
      <c r="H297" s="12">
        <v>0</v>
      </c>
      <c r="I297" s="12">
        <v>0</v>
      </c>
      <c r="J297" s="12">
        <v>0</v>
      </c>
      <c r="K297" s="12">
        <v>0</v>
      </c>
      <c r="L297" s="13">
        <v>0</v>
      </c>
      <c r="M297" s="13">
        <v>0</v>
      </c>
      <c r="N297" s="12">
        <v>0</v>
      </c>
      <c r="O297" s="12">
        <v>0</v>
      </c>
      <c r="P297" s="12">
        <v>0</v>
      </c>
      <c r="Q297" s="14">
        <v>0</v>
      </c>
      <c r="R297" s="15">
        <v>2597167.9699999997</v>
      </c>
      <c r="S297" s="16">
        <v>2597167.9699999997</v>
      </c>
      <c r="T297" s="15">
        <v>2088567.97</v>
      </c>
      <c r="U297" s="16">
        <v>0</v>
      </c>
      <c r="V297" s="15">
        <v>508600</v>
      </c>
      <c r="W297" s="16">
        <v>0</v>
      </c>
      <c r="X297" s="15">
        <v>0</v>
      </c>
      <c r="Y297" s="16">
        <v>0</v>
      </c>
      <c r="Z297" s="15">
        <v>0</v>
      </c>
      <c r="AA297" s="16">
        <v>0</v>
      </c>
      <c r="AB297" s="15">
        <v>0</v>
      </c>
      <c r="AC297" s="16">
        <v>0</v>
      </c>
      <c r="AD297" s="15">
        <v>0</v>
      </c>
      <c r="AE297" s="16">
        <v>0</v>
      </c>
      <c r="AF297" s="15">
        <v>0</v>
      </c>
      <c r="AG297" s="16">
        <v>0</v>
      </c>
      <c r="AH297" s="15">
        <v>0</v>
      </c>
      <c r="AI297" s="15" t="s">
        <v>913</v>
      </c>
      <c r="AJ297" s="14">
        <v>0.45971064814814816</v>
      </c>
      <c r="AK297" s="17">
        <v>44040</v>
      </c>
      <c r="AL297" s="18" t="s">
        <v>291</v>
      </c>
      <c r="AM297" s="14" t="s">
        <v>292</v>
      </c>
      <c r="AN297" s="14" t="s">
        <v>36</v>
      </c>
      <c r="AO297" s="14" t="s">
        <v>914</v>
      </c>
      <c r="AP297" s="14" t="s">
        <v>37</v>
      </c>
      <c r="AQ297" s="14" t="s">
        <v>184</v>
      </c>
      <c r="AR297" s="14" t="s">
        <v>4</v>
      </c>
      <c r="AS297" s="14">
        <v>0</v>
      </c>
      <c r="AT297" s="14">
        <v>0</v>
      </c>
      <c r="AU297" s="14">
        <v>0</v>
      </c>
      <c r="AV297" s="14">
        <v>0</v>
      </c>
      <c r="AW297" s="14"/>
      <c r="AX297" s="14"/>
      <c r="AY297" s="14"/>
      <c r="AZ297" s="14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  <c r="BL297" s="11"/>
      <c r="BM297" s="11"/>
      <c r="BN297" s="11"/>
    </row>
    <row r="298" spans="1:66" s="2" customFormat="1" ht="12" customHeight="1" x14ac:dyDescent="0.25">
      <c r="A298" s="9">
        <f t="shared" si="4"/>
        <v>1</v>
      </c>
      <c r="B298" s="6"/>
      <c r="C298" s="6"/>
      <c r="D298" s="24"/>
      <c r="E298" s="12" t="s">
        <v>38</v>
      </c>
      <c r="F298" s="25">
        <v>0</v>
      </c>
      <c r="G298" s="12" t="s">
        <v>915</v>
      </c>
      <c r="H298" s="12">
        <v>0</v>
      </c>
      <c r="I298" s="12">
        <v>0</v>
      </c>
      <c r="J298" s="12">
        <v>0</v>
      </c>
      <c r="K298" s="12">
        <v>0</v>
      </c>
      <c r="L298" s="13">
        <v>0</v>
      </c>
      <c r="M298" s="13">
        <v>0</v>
      </c>
      <c r="N298" s="12">
        <v>0</v>
      </c>
      <c r="O298" s="12">
        <v>0</v>
      </c>
      <c r="P298" s="12">
        <v>0</v>
      </c>
      <c r="Q298" s="14">
        <v>0</v>
      </c>
      <c r="R298" s="15">
        <v>468096.43</v>
      </c>
      <c r="S298" s="16">
        <v>468096.43</v>
      </c>
      <c r="T298" s="15">
        <v>468096.43</v>
      </c>
      <c r="U298" s="16">
        <v>0</v>
      </c>
      <c r="V298" s="15">
        <v>0</v>
      </c>
      <c r="W298" s="16">
        <v>0</v>
      </c>
      <c r="X298" s="15">
        <v>0</v>
      </c>
      <c r="Y298" s="16">
        <v>0</v>
      </c>
      <c r="Z298" s="15">
        <v>0</v>
      </c>
      <c r="AA298" s="16">
        <v>0</v>
      </c>
      <c r="AB298" s="15">
        <v>0</v>
      </c>
      <c r="AC298" s="16">
        <v>0</v>
      </c>
      <c r="AD298" s="15">
        <v>0</v>
      </c>
      <c r="AE298" s="16">
        <v>0</v>
      </c>
      <c r="AF298" s="15">
        <v>0</v>
      </c>
      <c r="AG298" s="16">
        <v>0</v>
      </c>
      <c r="AH298" s="15">
        <v>0</v>
      </c>
      <c r="AI298" s="15" t="s">
        <v>916</v>
      </c>
      <c r="AJ298" s="14">
        <v>0.46045138888888887</v>
      </c>
      <c r="AK298" s="17">
        <v>44040</v>
      </c>
      <c r="AL298" s="18" t="s">
        <v>291</v>
      </c>
      <c r="AM298" s="14" t="s">
        <v>292</v>
      </c>
      <c r="AN298" s="14" t="s">
        <v>36</v>
      </c>
      <c r="AO298" s="14" t="s">
        <v>917</v>
      </c>
      <c r="AP298" s="14" t="s">
        <v>37</v>
      </c>
      <c r="AQ298" s="14" t="s">
        <v>184</v>
      </c>
      <c r="AR298" s="14" t="s">
        <v>4</v>
      </c>
      <c r="AS298" s="14">
        <v>0</v>
      </c>
      <c r="AT298" s="14">
        <v>0</v>
      </c>
      <c r="AU298" s="14">
        <v>0</v>
      </c>
      <c r="AV298" s="14">
        <v>0</v>
      </c>
      <c r="AW298" s="14"/>
      <c r="AX298" s="14"/>
      <c r="AY298" s="14"/>
      <c r="AZ298" s="14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  <c r="BL298" s="11"/>
      <c r="BM298" s="11"/>
      <c r="BN298" s="11"/>
    </row>
    <row r="299" spans="1:66" s="2" customFormat="1" ht="12" customHeight="1" x14ac:dyDescent="0.25">
      <c r="A299" s="9">
        <f t="shared" si="4"/>
        <v>1</v>
      </c>
      <c r="B299" s="6"/>
      <c r="C299" s="6"/>
      <c r="D299" s="24"/>
      <c r="E299" s="12" t="s">
        <v>38</v>
      </c>
      <c r="F299" s="25">
        <v>0</v>
      </c>
      <c r="G299" s="12" t="s">
        <v>918</v>
      </c>
      <c r="H299" s="12">
        <v>0</v>
      </c>
      <c r="I299" s="12">
        <v>0</v>
      </c>
      <c r="J299" s="12">
        <v>0</v>
      </c>
      <c r="K299" s="12">
        <v>0</v>
      </c>
      <c r="L299" s="13">
        <v>0</v>
      </c>
      <c r="M299" s="13">
        <v>0</v>
      </c>
      <c r="N299" s="12">
        <v>0</v>
      </c>
      <c r="O299" s="12">
        <v>0</v>
      </c>
      <c r="P299" s="12">
        <v>0</v>
      </c>
      <c r="Q299" s="14">
        <v>0</v>
      </c>
      <c r="R299" s="15">
        <v>974204.75</v>
      </c>
      <c r="S299" s="16">
        <v>974204.75</v>
      </c>
      <c r="T299" s="15">
        <v>630026.2699999999</v>
      </c>
      <c r="U299" s="16">
        <v>0</v>
      </c>
      <c r="V299" s="15">
        <v>344178.48000000004</v>
      </c>
      <c r="W299" s="16">
        <v>0</v>
      </c>
      <c r="X299" s="15">
        <v>0</v>
      </c>
      <c r="Y299" s="16">
        <v>0</v>
      </c>
      <c r="Z299" s="15">
        <v>0</v>
      </c>
      <c r="AA299" s="16">
        <v>0</v>
      </c>
      <c r="AB299" s="15">
        <v>0</v>
      </c>
      <c r="AC299" s="16">
        <v>0</v>
      </c>
      <c r="AD299" s="15">
        <v>0</v>
      </c>
      <c r="AE299" s="16">
        <v>0</v>
      </c>
      <c r="AF299" s="15">
        <v>0</v>
      </c>
      <c r="AG299" s="16">
        <v>0</v>
      </c>
      <c r="AH299" s="15">
        <v>0</v>
      </c>
      <c r="AI299" s="15" t="s">
        <v>919</v>
      </c>
      <c r="AJ299" s="14">
        <v>0.47337962962962959</v>
      </c>
      <c r="AK299" s="17">
        <v>44047</v>
      </c>
      <c r="AL299" s="18" t="s">
        <v>40</v>
      </c>
      <c r="AM299" s="14" t="s">
        <v>410</v>
      </c>
      <c r="AN299" s="14" t="s">
        <v>36</v>
      </c>
      <c r="AO299" s="14" t="s">
        <v>920</v>
      </c>
      <c r="AP299" s="14" t="s">
        <v>37</v>
      </c>
      <c r="AQ299" s="14" t="s">
        <v>184</v>
      </c>
      <c r="AR299" s="14" t="s">
        <v>4</v>
      </c>
      <c r="AS299" s="14">
        <v>0</v>
      </c>
      <c r="AT299" s="14">
        <v>0</v>
      </c>
      <c r="AU299" s="14">
        <v>0</v>
      </c>
      <c r="AV299" s="14">
        <v>0</v>
      </c>
      <c r="AW299" s="14"/>
      <c r="AX299" s="14"/>
      <c r="AY299" s="14"/>
      <c r="AZ299" s="14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  <c r="BL299" s="11"/>
      <c r="BM299" s="11"/>
      <c r="BN299" s="11"/>
    </row>
    <row r="300" spans="1:66" s="2" customFormat="1" ht="12" customHeight="1" x14ac:dyDescent="0.25">
      <c r="A300" s="9">
        <f t="shared" si="4"/>
        <v>1</v>
      </c>
      <c r="B300" s="6"/>
      <c r="C300" s="6"/>
      <c r="D300" s="24"/>
      <c r="E300" s="12" t="s">
        <v>38</v>
      </c>
      <c r="F300" s="25">
        <v>0</v>
      </c>
      <c r="G300" s="12" t="s">
        <v>921</v>
      </c>
      <c r="H300" s="12">
        <v>0</v>
      </c>
      <c r="I300" s="12">
        <v>0</v>
      </c>
      <c r="J300" s="12">
        <v>0</v>
      </c>
      <c r="K300" s="12">
        <v>0</v>
      </c>
      <c r="L300" s="13">
        <v>0</v>
      </c>
      <c r="M300" s="13">
        <v>0</v>
      </c>
      <c r="N300" s="12">
        <v>0</v>
      </c>
      <c r="O300" s="12">
        <v>0</v>
      </c>
      <c r="P300" s="12">
        <v>0</v>
      </c>
      <c r="Q300" s="14">
        <v>0</v>
      </c>
      <c r="R300" s="15">
        <v>952071.98</v>
      </c>
      <c r="S300" s="16">
        <v>952071.98</v>
      </c>
      <c r="T300" s="15">
        <v>616778.86</v>
      </c>
      <c r="U300" s="16">
        <v>0</v>
      </c>
      <c r="V300" s="15">
        <v>335293.12000000005</v>
      </c>
      <c r="W300" s="16">
        <v>0</v>
      </c>
      <c r="X300" s="15">
        <v>0</v>
      </c>
      <c r="Y300" s="16">
        <v>0</v>
      </c>
      <c r="Z300" s="15">
        <v>0</v>
      </c>
      <c r="AA300" s="16">
        <v>0</v>
      </c>
      <c r="AB300" s="15">
        <v>0</v>
      </c>
      <c r="AC300" s="16">
        <v>0</v>
      </c>
      <c r="AD300" s="15">
        <v>0</v>
      </c>
      <c r="AE300" s="16">
        <v>0</v>
      </c>
      <c r="AF300" s="15">
        <v>0</v>
      </c>
      <c r="AG300" s="16">
        <v>0</v>
      </c>
      <c r="AH300" s="15">
        <v>0</v>
      </c>
      <c r="AI300" s="15" t="s">
        <v>922</v>
      </c>
      <c r="AJ300" s="14">
        <v>0.46777777777777779</v>
      </c>
      <c r="AK300" s="17">
        <v>44047</v>
      </c>
      <c r="AL300" s="18" t="s">
        <v>40</v>
      </c>
      <c r="AM300" s="14" t="s">
        <v>410</v>
      </c>
      <c r="AN300" s="14" t="s">
        <v>36</v>
      </c>
      <c r="AO300" s="14" t="s">
        <v>923</v>
      </c>
      <c r="AP300" s="14" t="s">
        <v>37</v>
      </c>
      <c r="AQ300" s="14" t="s">
        <v>184</v>
      </c>
      <c r="AR300" s="14" t="s">
        <v>4</v>
      </c>
      <c r="AS300" s="14">
        <v>0</v>
      </c>
      <c r="AT300" s="14">
        <v>0</v>
      </c>
      <c r="AU300" s="14">
        <v>0</v>
      </c>
      <c r="AV300" s="14">
        <v>0</v>
      </c>
      <c r="AW300" s="14"/>
      <c r="AX300" s="14"/>
      <c r="AY300" s="14"/>
      <c r="AZ300" s="14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  <c r="BL300" s="11"/>
      <c r="BM300" s="11"/>
      <c r="BN300" s="11"/>
    </row>
    <row r="301" spans="1:66" s="2" customFormat="1" ht="12" customHeight="1" x14ac:dyDescent="0.25">
      <c r="A301" s="9">
        <f t="shared" si="4"/>
        <v>1</v>
      </c>
      <c r="B301" s="6"/>
      <c r="C301" s="6"/>
      <c r="D301" s="24"/>
      <c r="E301" s="12" t="s">
        <v>38</v>
      </c>
      <c r="F301" s="25">
        <v>0</v>
      </c>
      <c r="G301" s="12" t="s">
        <v>924</v>
      </c>
      <c r="H301" s="12">
        <v>0</v>
      </c>
      <c r="I301" s="12">
        <v>0</v>
      </c>
      <c r="J301" s="12">
        <v>0</v>
      </c>
      <c r="K301" s="12">
        <v>0</v>
      </c>
      <c r="L301" s="13">
        <v>0</v>
      </c>
      <c r="M301" s="13">
        <v>0</v>
      </c>
      <c r="N301" s="12">
        <v>0</v>
      </c>
      <c r="O301" s="12">
        <v>0</v>
      </c>
      <c r="P301" s="12">
        <v>0</v>
      </c>
      <c r="Q301" s="14">
        <v>0</v>
      </c>
      <c r="R301" s="15">
        <v>706774.38000000012</v>
      </c>
      <c r="S301" s="16">
        <v>706774.38000000012</v>
      </c>
      <c r="T301" s="15">
        <v>466154.78000000009</v>
      </c>
      <c r="U301" s="16">
        <v>0</v>
      </c>
      <c r="V301" s="15">
        <v>240619.59999999998</v>
      </c>
      <c r="W301" s="16">
        <v>0</v>
      </c>
      <c r="X301" s="15">
        <v>0</v>
      </c>
      <c r="Y301" s="16">
        <v>0</v>
      </c>
      <c r="Z301" s="15">
        <v>0</v>
      </c>
      <c r="AA301" s="16">
        <v>0</v>
      </c>
      <c r="AB301" s="15">
        <v>0</v>
      </c>
      <c r="AC301" s="16">
        <v>0</v>
      </c>
      <c r="AD301" s="15">
        <v>0</v>
      </c>
      <c r="AE301" s="16">
        <v>0</v>
      </c>
      <c r="AF301" s="15">
        <v>0</v>
      </c>
      <c r="AG301" s="16">
        <v>0</v>
      </c>
      <c r="AH301" s="15">
        <v>0</v>
      </c>
      <c r="AI301" s="15" t="s">
        <v>925</v>
      </c>
      <c r="AJ301" s="14">
        <v>0.46738425925925925</v>
      </c>
      <c r="AK301" s="17">
        <v>44047</v>
      </c>
      <c r="AL301" s="18" t="s">
        <v>40</v>
      </c>
      <c r="AM301" s="14" t="s">
        <v>410</v>
      </c>
      <c r="AN301" s="14" t="s">
        <v>36</v>
      </c>
      <c r="AO301" s="14" t="s">
        <v>926</v>
      </c>
      <c r="AP301" s="14" t="s">
        <v>37</v>
      </c>
      <c r="AQ301" s="14" t="s">
        <v>184</v>
      </c>
      <c r="AR301" s="14" t="s">
        <v>4</v>
      </c>
      <c r="AS301" s="14">
        <v>0</v>
      </c>
      <c r="AT301" s="14">
        <v>0</v>
      </c>
      <c r="AU301" s="14">
        <v>0</v>
      </c>
      <c r="AV301" s="14">
        <v>0</v>
      </c>
      <c r="AW301" s="14"/>
      <c r="AX301" s="14"/>
      <c r="AY301" s="14"/>
      <c r="AZ301" s="14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  <c r="BL301" s="11"/>
      <c r="BM301" s="11"/>
      <c r="BN301" s="11"/>
    </row>
    <row r="302" spans="1:66" s="2" customFormat="1" ht="12" customHeight="1" x14ac:dyDescent="0.25">
      <c r="A302" s="9">
        <f t="shared" si="4"/>
        <v>1</v>
      </c>
      <c r="B302" s="6"/>
      <c r="C302" s="6"/>
      <c r="D302" s="24"/>
      <c r="E302" s="12" t="s">
        <v>38</v>
      </c>
      <c r="F302" s="25">
        <v>0</v>
      </c>
      <c r="G302" s="12" t="s">
        <v>927</v>
      </c>
      <c r="H302" s="12">
        <v>0</v>
      </c>
      <c r="I302" s="12">
        <v>0</v>
      </c>
      <c r="J302" s="12">
        <v>0</v>
      </c>
      <c r="K302" s="12">
        <v>0</v>
      </c>
      <c r="L302" s="13">
        <v>0</v>
      </c>
      <c r="M302" s="13">
        <v>0</v>
      </c>
      <c r="N302" s="12">
        <v>0</v>
      </c>
      <c r="O302" s="12">
        <v>0</v>
      </c>
      <c r="P302" s="12">
        <v>0</v>
      </c>
      <c r="Q302" s="14">
        <v>0</v>
      </c>
      <c r="R302" s="15">
        <v>1121335.8399999999</v>
      </c>
      <c r="S302" s="16">
        <v>1121335.8399999999</v>
      </c>
      <c r="T302" s="15">
        <v>714063.84</v>
      </c>
      <c r="U302" s="16">
        <v>0</v>
      </c>
      <c r="V302" s="15">
        <v>407272</v>
      </c>
      <c r="W302" s="16">
        <v>0</v>
      </c>
      <c r="X302" s="15">
        <v>0</v>
      </c>
      <c r="Y302" s="16">
        <v>0</v>
      </c>
      <c r="Z302" s="15">
        <v>0</v>
      </c>
      <c r="AA302" s="16">
        <v>0</v>
      </c>
      <c r="AB302" s="15">
        <v>0</v>
      </c>
      <c r="AC302" s="16">
        <v>0</v>
      </c>
      <c r="AD302" s="15">
        <v>0</v>
      </c>
      <c r="AE302" s="16">
        <v>0</v>
      </c>
      <c r="AF302" s="15">
        <v>0</v>
      </c>
      <c r="AG302" s="16">
        <v>0</v>
      </c>
      <c r="AH302" s="15">
        <v>0</v>
      </c>
      <c r="AI302" s="15" t="s">
        <v>928</v>
      </c>
      <c r="AJ302" s="14">
        <v>0.47275462962962966</v>
      </c>
      <c r="AK302" s="17">
        <v>44047</v>
      </c>
      <c r="AL302" s="18" t="s">
        <v>40</v>
      </c>
      <c r="AM302" s="14" t="s">
        <v>410</v>
      </c>
      <c r="AN302" s="14" t="s">
        <v>36</v>
      </c>
      <c r="AO302" s="14" t="s">
        <v>929</v>
      </c>
      <c r="AP302" s="14" t="s">
        <v>37</v>
      </c>
      <c r="AQ302" s="14" t="s">
        <v>184</v>
      </c>
      <c r="AR302" s="14" t="s">
        <v>4</v>
      </c>
      <c r="AS302" s="14">
        <v>0</v>
      </c>
      <c r="AT302" s="14">
        <v>0</v>
      </c>
      <c r="AU302" s="14">
        <v>0</v>
      </c>
      <c r="AV302" s="14">
        <v>0</v>
      </c>
      <c r="AW302" s="14"/>
      <c r="AX302" s="14"/>
      <c r="AY302" s="14"/>
      <c r="AZ302" s="14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  <c r="BL302" s="11"/>
      <c r="BM302" s="11"/>
      <c r="BN302" s="11"/>
    </row>
    <row r="303" spans="1:66" s="2" customFormat="1" ht="12" customHeight="1" x14ac:dyDescent="0.25">
      <c r="A303" s="9">
        <f t="shared" si="4"/>
        <v>1</v>
      </c>
      <c r="B303" s="6"/>
      <c r="C303" s="6"/>
      <c r="D303" s="24"/>
      <c r="E303" s="12" t="s">
        <v>38</v>
      </c>
      <c r="F303" s="25">
        <v>0</v>
      </c>
      <c r="G303" s="12" t="s">
        <v>930</v>
      </c>
      <c r="H303" s="12">
        <v>0</v>
      </c>
      <c r="I303" s="12">
        <v>0</v>
      </c>
      <c r="J303" s="12">
        <v>0</v>
      </c>
      <c r="K303" s="12">
        <v>0</v>
      </c>
      <c r="L303" s="13">
        <v>0</v>
      </c>
      <c r="M303" s="13">
        <v>0</v>
      </c>
      <c r="N303" s="12">
        <v>0</v>
      </c>
      <c r="O303" s="12">
        <v>0</v>
      </c>
      <c r="P303" s="12">
        <v>0</v>
      </c>
      <c r="Q303" s="14">
        <v>0</v>
      </c>
      <c r="R303" s="15">
        <v>1097375.6199999999</v>
      </c>
      <c r="S303" s="16">
        <v>1097375.6199999999</v>
      </c>
      <c r="T303" s="15">
        <v>702300.05999999994</v>
      </c>
      <c r="U303" s="16">
        <v>0</v>
      </c>
      <c r="V303" s="15">
        <v>395075.56</v>
      </c>
      <c r="W303" s="16">
        <v>0</v>
      </c>
      <c r="X303" s="15">
        <v>0</v>
      </c>
      <c r="Y303" s="16">
        <v>0</v>
      </c>
      <c r="Z303" s="15">
        <v>0</v>
      </c>
      <c r="AA303" s="16">
        <v>0</v>
      </c>
      <c r="AB303" s="15">
        <v>0</v>
      </c>
      <c r="AC303" s="16">
        <v>0</v>
      </c>
      <c r="AD303" s="15">
        <v>0</v>
      </c>
      <c r="AE303" s="16">
        <v>0</v>
      </c>
      <c r="AF303" s="15">
        <v>0</v>
      </c>
      <c r="AG303" s="16">
        <v>0</v>
      </c>
      <c r="AH303" s="15">
        <v>0</v>
      </c>
      <c r="AI303" s="15" t="s">
        <v>931</v>
      </c>
      <c r="AJ303" s="14">
        <v>0.7120023148148148</v>
      </c>
      <c r="AK303" s="17">
        <v>44090</v>
      </c>
      <c r="AL303" s="18" t="s">
        <v>291</v>
      </c>
      <c r="AM303" s="14" t="s">
        <v>292</v>
      </c>
      <c r="AN303" s="14" t="s">
        <v>36</v>
      </c>
      <c r="AO303" s="14" t="s">
        <v>932</v>
      </c>
      <c r="AP303" s="14" t="s">
        <v>37</v>
      </c>
      <c r="AQ303" s="14" t="s">
        <v>184</v>
      </c>
      <c r="AR303" s="14" t="s">
        <v>4</v>
      </c>
      <c r="AS303" s="14">
        <v>0</v>
      </c>
      <c r="AT303" s="14">
        <v>0</v>
      </c>
      <c r="AU303" s="14">
        <v>0</v>
      </c>
      <c r="AV303" s="14">
        <v>0</v>
      </c>
      <c r="AW303" s="14"/>
      <c r="AX303" s="14"/>
      <c r="AY303" s="14"/>
      <c r="AZ303" s="14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  <c r="BL303" s="11"/>
      <c r="BM303" s="11"/>
      <c r="BN303" s="11"/>
    </row>
    <row r="304" spans="1:66" s="2" customFormat="1" ht="12" customHeight="1" x14ac:dyDescent="0.25">
      <c r="A304" s="9">
        <f t="shared" si="4"/>
        <v>1</v>
      </c>
      <c r="B304" s="6"/>
      <c r="C304" s="6"/>
      <c r="D304" s="24"/>
      <c r="E304" s="12" t="s">
        <v>38</v>
      </c>
      <c r="F304" s="25">
        <v>0</v>
      </c>
      <c r="G304" s="12" t="s">
        <v>933</v>
      </c>
      <c r="H304" s="12">
        <v>0</v>
      </c>
      <c r="I304" s="12">
        <v>0</v>
      </c>
      <c r="J304" s="12">
        <v>0</v>
      </c>
      <c r="K304" s="12">
        <v>0</v>
      </c>
      <c r="L304" s="13">
        <v>0</v>
      </c>
      <c r="M304" s="13">
        <v>0</v>
      </c>
      <c r="N304" s="12">
        <v>0</v>
      </c>
      <c r="O304" s="12">
        <v>0</v>
      </c>
      <c r="P304" s="12">
        <v>0</v>
      </c>
      <c r="Q304" s="14">
        <v>0</v>
      </c>
      <c r="R304" s="15">
        <v>1129756.3599999999</v>
      </c>
      <c r="S304" s="16">
        <v>1129756.3599999999</v>
      </c>
      <c r="T304" s="15">
        <v>718418.88</v>
      </c>
      <c r="U304" s="16">
        <v>0</v>
      </c>
      <c r="V304" s="15">
        <v>411337.48</v>
      </c>
      <c r="W304" s="16">
        <v>0</v>
      </c>
      <c r="X304" s="15">
        <v>0</v>
      </c>
      <c r="Y304" s="16">
        <v>0</v>
      </c>
      <c r="Z304" s="15">
        <v>0</v>
      </c>
      <c r="AA304" s="16">
        <v>0</v>
      </c>
      <c r="AB304" s="15">
        <v>0</v>
      </c>
      <c r="AC304" s="16">
        <v>0</v>
      </c>
      <c r="AD304" s="15">
        <v>0</v>
      </c>
      <c r="AE304" s="16">
        <v>0</v>
      </c>
      <c r="AF304" s="15">
        <v>0</v>
      </c>
      <c r="AG304" s="16">
        <v>0</v>
      </c>
      <c r="AH304" s="15">
        <v>0</v>
      </c>
      <c r="AI304" s="15" t="s">
        <v>934</v>
      </c>
      <c r="AJ304" s="14">
        <v>0.49486111111111114</v>
      </c>
      <c r="AK304" s="17">
        <v>44047</v>
      </c>
      <c r="AL304" s="18" t="s">
        <v>40</v>
      </c>
      <c r="AM304" s="14" t="s">
        <v>410</v>
      </c>
      <c r="AN304" s="14" t="s">
        <v>36</v>
      </c>
      <c r="AO304" s="14" t="s">
        <v>935</v>
      </c>
      <c r="AP304" s="14" t="s">
        <v>37</v>
      </c>
      <c r="AQ304" s="14" t="s">
        <v>184</v>
      </c>
      <c r="AR304" s="14" t="s">
        <v>4</v>
      </c>
      <c r="AS304" s="14">
        <v>0</v>
      </c>
      <c r="AT304" s="14">
        <v>0</v>
      </c>
      <c r="AU304" s="14">
        <v>0</v>
      </c>
      <c r="AV304" s="14">
        <v>0</v>
      </c>
      <c r="AW304" s="14"/>
      <c r="AX304" s="14"/>
      <c r="AY304" s="14"/>
      <c r="AZ304" s="14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  <c r="BL304" s="11"/>
      <c r="BM304" s="11"/>
      <c r="BN304" s="11"/>
    </row>
    <row r="305" spans="1:66" s="2" customFormat="1" ht="12" customHeight="1" x14ac:dyDescent="0.25">
      <c r="A305" s="9">
        <f t="shared" si="4"/>
        <v>1</v>
      </c>
      <c r="B305" s="6"/>
      <c r="C305" s="6"/>
      <c r="D305" s="24"/>
      <c r="E305" s="12" t="s">
        <v>38</v>
      </c>
      <c r="F305" s="25">
        <v>0</v>
      </c>
      <c r="G305" s="12" t="s">
        <v>936</v>
      </c>
      <c r="H305" s="12">
        <v>0</v>
      </c>
      <c r="I305" s="12">
        <v>0</v>
      </c>
      <c r="J305" s="12">
        <v>0</v>
      </c>
      <c r="K305" s="12">
        <v>0</v>
      </c>
      <c r="L305" s="13">
        <v>0</v>
      </c>
      <c r="M305" s="13">
        <v>0</v>
      </c>
      <c r="N305" s="12">
        <v>0</v>
      </c>
      <c r="O305" s="12">
        <v>0</v>
      </c>
      <c r="P305" s="12">
        <v>0</v>
      </c>
      <c r="Q305" s="14">
        <v>0</v>
      </c>
      <c r="R305" s="15">
        <v>962319.95</v>
      </c>
      <c r="S305" s="16">
        <v>962319.95</v>
      </c>
      <c r="T305" s="15">
        <v>619650.2699999999</v>
      </c>
      <c r="U305" s="16">
        <v>0</v>
      </c>
      <c r="V305" s="15">
        <v>342669.68000000005</v>
      </c>
      <c r="W305" s="16">
        <v>0</v>
      </c>
      <c r="X305" s="15">
        <v>0</v>
      </c>
      <c r="Y305" s="16">
        <v>0</v>
      </c>
      <c r="Z305" s="15">
        <v>0</v>
      </c>
      <c r="AA305" s="16">
        <v>0</v>
      </c>
      <c r="AB305" s="15">
        <v>0</v>
      </c>
      <c r="AC305" s="16">
        <v>0</v>
      </c>
      <c r="AD305" s="15">
        <v>0</v>
      </c>
      <c r="AE305" s="16">
        <v>0</v>
      </c>
      <c r="AF305" s="15">
        <v>0</v>
      </c>
      <c r="AG305" s="16">
        <v>0</v>
      </c>
      <c r="AH305" s="15">
        <v>0</v>
      </c>
      <c r="AI305" s="15" t="s">
        <v>937</v>
      </c>
      <c r="AJ305" s="14">
        <v>0.31135416666666665</v>
      </c>
      <c r="AK305" s="17">
        <v>44048</v>
      </c>
      <c r="AL305" s="18" t="s">
        <v>568</v>
      </c>
      <c r="AM305" s="14" t="s">
        <v>569</v>
      </c>
      <c r="AN305" s="14" t="s">
        <v>36</v>
      </c>
      <c r="AO305" s="14" t="s">
        <v>938</v>
      </c>
      <c r="AP305" s="14" t="s">
        <v>37</v>
      </c>
      <c r="AQ305" s="14" t="s">
        <v>184</v>
      </c>
      <c r="AR305" s="14" t="s">
        <v>4</v>
      </c>
      <c r="AS305" s="14">
        <v>0</v>
      </c>
      <c r="AT305" s="14">
        <v>0</v>
      </c>
      <c r="AU305" s="14">
        <v>0</v>
      </c>
      <c r="AV305" s="14">
        <v>0</v>
      </c>
      <c r="AW305" s="14"/>
      <c r="AX305" s="14"/>
      <c r="AY305" s="14"/>
      <c r="AZ305" s="14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  <c r="BL305" s="11"/>
      <c r="BM305" s="11"/>
      <c r="BN305" s="11"/>
    </row>
    <row r="306" spans="1:66" s="2" customFormat="1" ht="12" customHeight="1" x14ac:dyDescent="0.25">
      <c r="A306" s="9">
        <f t="shared" si="4"/>
        <v>1</v>
      </c>
      <c r="B306" s="6"/>
      <c r="C306" s="6"/>
      <c r="D306" s="24"/>
      <c r="E306" s="12" t="s">
        <v>38</v>
      </c>
      <c r="F306" s="25">
        <v>0</v>
      </c>
      <c r="G306" s="12" t="s">
        <v>939</v>
      </c>
      <c r="H306" s="12">
        <v>0</v>
      </c>
      <c r="I306" s="12">
        <v>0</v>
      </c>
      <c r="J306" s="12">
        <v>0</v>
      </c>
      <c r="K306" s="12">
        <v>0</v>
      </c>
      <c r="L306" s="13">
        <v>0</v>
      </c>
      <c r="M306" s="13">
        <v>0</v>
      </c>
      <c r="N306" s="12">
        <v>0</v>
      </c>
      <c r="O306" s="12">
        <v>0</v>
      </c>
      <c r="P306" s="12">
        <v>0</v>
      </c>
      <c r="Q306" s="14">
        <v>0</v>
      </c>
      <c r="R306" s="15">
        <v>198506.18000000002</v>
      </c>
      <c r="S306" s="16">
        <v>198506.18000000002</v>
      </c>
      <c r="T306" s="15">
        <v>198506.18000000002</v>
      </c>
      <c r="U306" s="16">
        <v>0</v>
      </c>
      <c r="V306" s="15">
        <v>0</v>
      </c>
      <c r="W306" s="16">
        <v>0</v>
      </c>
      <c r="X306" s="15">
        <v>0</v>
      </c>
      <c r="Y306" s="16">
        <v>0</v>
      </c>
      <c r="Z306" s="15">
        <v>0</v>
      </c>
      <c r="AA306" s="16">
        <v>0</v>
      </c>
      <c r="AB306" s="15">
        <v>0</v>
      </c>
      <c r="AC306" s="16">
        <v>0</v>
      </c>
      <c r="AD306" s="15">
        <v>0</v>
      </c>
      <c r="AE306" s="16">
        <v>0</v>
      </c>
      <c r="AF306" s="15">
        <v>0</v>
      </c>
      <c r="AG306" s="16">
        <v>0</v>
      </c>
      <c r="AH306" s="15">
        <v>0</v>
      </c>
      <c r="AI306" s="15" t="s">
        <v>940</v>
      </c>
      <c r="AJ306" s="14">
        <v>0.41778935185185184</v>
      </c>
      <c r="AK306" s="17">
        <v>44056</v>
      </c>
      <c r="AL306" s="18" t="s">
        <v>291</v>
      </c>
      <c r="AM306" s="14" t="s">
        <v>292</v>
      </c>
      <c r="AN306" s="14" t="s">
        <v>36</v>
      </c>
      <c r="AO306" s="14" t="s">
        <v>941</v>
      </c>
      <c r="AP306" s="14" t="s">
        <v>37</v>
      </c>
      <c r="AQ306" s="14" t="s">
        <v>184</v>
      </c>
      <c r="AR306" s="14" t="s">
        <v>4</v>
      </c>
      <c r="AS306" s="14">
        <v>0</v>
      </c>
      <c r="AT306" s="14">
        <v>0</v>
      </c>
      <c r="AU306" s="14">
        <v>0</v>
      </c>
      <c r="AV306" s="14">
        <v>0</v>
      </c>
      <c r="AW306" s="14"/>
      <c r="AX306" s="14"/>
      <c r="AY306" s="14"/>
      <c r="AZ306" s="14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  <c r="BL306" s="11"/>
      <c r="BM306" s="11"/>
      <c r="BN306" s="11"/>
    </row>
    <row r="307" spans="1:66" s="2" customFormat="1" ht="12" customHeight="1" x14ac:dyDescent="0.25">
      <c r="A307" s="9">
        <f t="shared" si="4"/>
        <v>1</v>
      </c>
      <c r="B307" s="6"/>
      <c r="C307" s="6"/>
      <c r="D307" s="24"/>
      <c r="E307" s="12" t="s">
        <v>38</v>
      </c>
      <c r="F307" s="25">
        <v>0</v>
      </c>
      <c r="G307" s="12" t="s">
        <v>942</v>
      </c>
      <c r="H307" s="12">
        <v>0</v>
      </c>
      <c r="I307" s="12">
        <v>0</v>
      </c>
      <c r="J307" s="12">
        <v>0</v>
      </c>
      <c r="K307" s="12">
        <v>0</v>
      </c>
      <c r="L307" s="13">
        <v>0</v>
      </c>
      <c r="M307" s="13">
        <v>0</v>
      </c>
      <c r="N307" s="12">
        <v>0</v>
      </c>
      <c r="O307" s="12">
        <v>0</v>
      </c>
      <c r="P307" s="12">
        <v>0</v>
      </c>
      <c r="Q307" s="14">
        <v>0</v>
      </c>
      <c r="R307" s="15">
        <v>7679684.75</v>
      </c>
      <c r="S307" s="16">
        <v>7679684.75</v>
      </c>
      <c r="T307" s="15">
        <v>4294684.75</v>
      </c>
      <c r="U307" s="16">
        <v>0</v>
      </c>
      <c r="V307" s="15">
        <v>3385000</v>
      </c>
      <c r="W307" s="16">
        <v>0</v>
      </c>
      <c r="X307" s="15">
        <v>0</v>
      </c>
      <c r="Y307" s="16">
        <v>0</v>
      </c>
      <c r="Z307" s="15">
        <v>0</v>
      </c>
      <c r="AA307" s="16">
        <v>0</v>
      </c>
      <c r="AB307" s="15">
        <v>0</v>
      </c>
      <c r="AC307" s="16">
        <v>0</v>
      </c>
      <c r="AD307" s="15">
        <v>0</v>
      </c>
      <c r="AE307" s="16">
        <v>0</v>
      </c>
      <c r="AF307" s="15">
        <v>0</v>
      </c>
      <c r="AG307" s="16">
        <v>0</v>
      </c>
      <c r="AH307" s="15">
        <v>0</v>
      </c>
      <c r="AI307" s="15" t="s">
        <v>943</v>
      </c>
      <c r="AJ307" s="14">
        <v>0.68093750000000008</v>
      </c>
      <c r="AK307" s="17">
        <v>44075</v>
      </c>
      <c r="AL307" s="18" t="s">
        <v>291</v>
      </c>
      <c r="AM307" s="14" t="s">
        <v>292</v>
      </c>
      <c r="AN307" s="14" t="s">
        <v>36</v>
      </c>
      <c r="AO307" s="14" t="s">
        <v>944</v>
      </c>
      <c r="AP307" s="14" t="s">
        <v>37</v>
      </c>
      <c r="AQ307" s="14" t="s">
        <v>184</v>
      </c>
      <c r="AR307" s="14" t="s">
        <v>4</v>
      </c>
      <c r="AS307" s="14">
        <v>0</v>
      </c>
      <c r="AT307" s="14">
        <v>0</v>
      </c>
      <c r="AU307" s="14">
        <v>0</v>
      </c>
      <c r="AV307" s="14">
        <v>0</v>
      </c>
      <c r="AW307" s="14"/>
      <c r="AX307" s="14"/>
      <c r="AY307" s="14"/>
      <c r="AZ307" s="14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  <c r="BL307" s="11"/>
      <c r="BM307" s="11"/>
      <c r="BN307" s="11"/>
    </row>
    <row r="308" spans="1:66" s="2" customFormat="1" ht="12" customHeight="1" x14ac:dyDescent="0.25">
      <c r="A308" s="9">
        <f t="shared" si="4"/>
        <v>1</v>
      </c>
      <c r="B308" s="6"/>
      <c r="C308" s="6"/>
      <c r="D308" s="24"/>
      <c r="E308" s="12" t="s">
        <v>38</v>
      </c>
      <c r="F308" s="25">
        <v>0</v>
      </c>
      <c r="G308" s="12" t="s">
        <v>945</v>
      </c>
      <c r="H308" s="12">
        <v>0</v>
      </c>
      <c r="I308" s="12">
        <v>0</v>
      </c>
      <c r="J308" s="12">
        <v>0</v>
      </c>
      <c r="K308" s="12">
        <v>0</v>
      </c>
      <c r="L308" s="13">
        <v>0</v>
      </c>
      <c r="M308" s="13">
        <v>0</v>
      </c>
      <c r="N308" s="12">
        <v>0</v>
      </c>
      <c r="O308" s="12">
        <v>0</v>
      </c>
      <c r="P308" s="12">
        <v>0</v>
      </c>
      <c r="Q308" s="14">
        <v>0</v>
      </c>
      <c r="R308" s="15">
        <v>1291873.4048150002</v>
      </c>
      <c r="S308" s="16">
        <v>1291873.4048150002</v>
      </c>
      <c r="T308" s="15">
        <v>568576.53</v>
      </c>
      <c r="U308" s="16">
        <v>0</v>
      </c>
      <c r="V308" s="15">
        <v>355013.36000000004</v>
      </c>
      <c r="W308" s="16">
        <v>0</v>
      </c>
      <c r="X308" s="15">
        <v>146526.28410000002</v>
      </c>
      <c r="Y308" s="16">
        <v>0</v>
      </c>
      <c r="Z308" s="15">
        <v>53252.004000000008</v>
      </c>
      <c r="AA308" s="16">
        <v>0</v>
      </c>
      <c r="AB308" s="15">
        <v>168505.22671500003</v>
      </c>
      <c r="AC308" s="16">
        <v>0</v>
      </c>
      <c r="AD308" s="15">
        <v>0</v>
      </c>
      <c r="AE308" s="16">
        <v>0</v>
      </c>
      <c r="AF308" s="15">
        <v>0</v>
      </c>
      <c r="AG308" s="16">
        <v>0</v>
      </c>
      <c r="AH308" s="15">
        <v>0</v>
      </c>
      <c r="AI308" s="15" t="s">
        <v>946</v>
      </c>
      <c r="AJ308" s="14">
        <v>0.48516203703703703</v>
      </c>
      <c r="AK308" s="17">
        <v>44076</v>
      </c>
      <c r="AL308" s="18" t="s">
        <v>291</v>
      </c>
      <c r="AM308" s="14" t="s">
        <v>292</v>
      </c>
      <c r="AN308" s="14" t="s">
        <v>36</v>
      </c>
      <c r="AO308" s="14" t="s">
        <v>947</v>
      </c>
      <c r="AP308" s="14" t="s">
        <v>37</v>
      </c>
      <c r="AQ308" s="14" t="s">
        <v>184</v>
      </c>
      <c r="AR308" s="14" t="s">
        <v>4</v>
      </c>
      <c r="AS308" s="14">
        <v>0</v>
      </c>
      <c r="AT308" s="14">
        <v>0</v>
      </c>
      <c r="AU308" s="14">
        <v>0</v>
      </c>
      <c r="AV308" s="14">
        <v>0</v>
      </c>
      <c r="AW308" s="14"/>
      <c r="AX308" s="14"/>
      <c r="AY308" s="14"/>
      <c r="AZ308" s="14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  <c r="BL308" s="11"/>
      <c r="BM308" s="11"/>
      <c r="BN308" s="11"/>
    </row>
    <row r="309" spans="1:66" s="2" customFormat="1" ht="12" customHeight="1" x14ac:dyDescent="0.25">
      <c r="A309" s="9">
        <f t="shared" si="4"/>
        <v>1</v>
      </c>
      <c r="B309" s="6"/>
      <c r="C309" s="6"/>
      <c r="D309" s="24"/>
      <c r="E309" s="12" t="s">
        <v>38</v>
      </c>
      <c r="F309" s="25">
        <v>0</v>
      </c>
      <c r="G309" s="12" t="s">
        <v>948</v>
      </c>
      <c r="H309" s="12">
        <v>0</v>
      </c>
      <c r="I309" s="12">
        <v>0</v>
      </c>
      <c r="J309" s="12">
        <v>0</v>
      </c>
      <c r="K309" s="12">
        <v>0</v>
      </c>
      <c r="L309" s="13">
        <v>0</v>
      </c>
      <c r="M309" s="13">
        <v>0</v>
      </c>
      <c r="N309" s="12">
        <v>0</v>
      </c>
      <c r="O309" s="12">
        <v>0</v>
      </c>
      <c r="P309" s="12">
        <v>0</v>
      </c>
      <c r="Q309" s="14">
        <v>0</v>
      </c>
      <c r="R309" s="15">
        <v>491411.86</v>
      </c>
      <c r="S309" s="16">
        <v>491411.86</v>
      </c>
      <c r="T309" s="15">
        <v>352239.98</v>
      </c>
      <c r="U309" s="16">
        <v>0</v>
      </c>
      <c r="V309" s="15">
        <v>139171.88</v>
      </c>
      <c r="W309" s="16">
        <v>0</v>
      </c>
      <c r="X309" s="15">
        <v>0</v>
      </c>
      <c r="Y309" s="16">
        <v>0</v>
      </c>
      <c r="Z309" s="15">
        <v>0</v>
      </c>
      <c r="AA309" s="16">
        <v>0</v>
      </c>
      <c r="AB309" s="15">
        <v>0</v>
      </c>
      <c r="AC309" s="16">
        <v>0</v>
      </c>
      <c r="AD309" s="15">
        <v>0</v>
      </c>
      <c r="AE309" s="16">
        <v>0</v>
      </c>
      <c r="AF309" s="15">
        <v>0</v>
      </c>
      <c r="AG309" s="16">
        <v>0</v>
      </c>
      <c r="AH309" s="15">
        <v>0</v>
      </c>
      <c r="AI309" s="15" t="s">
        <v>949</v>
      </c>
      <c r="AJ309" s="14">
        <v>0.6934837962962962</v>
      </c>
      <c r="AK309" s="17">
        <v>44076</v>
      </c>
      <c r="AL309" s="18" t="s">
        <v>291</v>
      </c>
      <c r="AM309" s="14" t="s">
        <v>292</v>
      </c>
      <c r="AN309" s="14" t="s">
        <v>36</v>
      </c>
      <c r="AO309" s="14" t="s">
        <v>950</v>
      </c>
      <c r="AP309" s="14" t="s">
        <v>37</v>
      </c>
      <c r="AQ309" s="14" t="s">
        <v>184</v>
      </c>
      <c r="AR309" s="14" t="s">
        <v>4</v>
      </c>
      <c r="AS309" s="14">
        <v>0</v>
      </c>
      <c r="AT309" s="14">
        <v>0</v>
      </c>
      <c r="AU309" s="14">
        <v>0</v>
      </c>
      <c r="AV309" s="14">
        <v>0</v>
      </c>
      <c r="AW309" s="14"/>
      <c r="AX309" s="14"/>
      <c r="AY309" s="14"/>
      <c r="AZ309" s="14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  <c r="BL309" s="11"/>
      <c r="BM309" s="11"/>
      <c r="BN309" s="11"/>
    </row>
    <row r="310" spans="1:66" s="2" customFormat="1" ht="12" customHeight="1" x14ac:dyDescent="0.25">
      <c r="A310" s="9">
        <f t="shared" si="4"/>
        <v>1</v>
      </c>
      <c r="B310" s="6"/>
      <c r="C310" s="6"/>
      <c r="D310" s="24"/>
      <c r="E310" s="12" t="s">
        <v>38</v>
      </c>
      <c r="F310" s="25">
        <v>0</v>
      </c>
      <c r="G310" s="12" t="s">
        <v>951</v>
      </c>
      <c r="H310" s="12">
        <v>0</v>
      </c>
      <c r="I310" s="12">
        <v>0</v>
      </c>
      <c r="J310" s="12">
        <v>0</v>
      </c>
      <c r="K310" s="12">
        <v>0</v>
      </c>
      <c r="L310" s="13">
        <v>0</v>
      </c>
      <c r="M310" s="13">
        <v>0</v>
      </c>
      <c r="N310" s="12">
        <v>0</v>
      </c>
      <c r="O310" s="12">
        <v>0</v>
      </c>
      <c r="P310" s="12">
        <v>0</v>
      </c>
      <c r="Q310" s="14">
        <v>0</v>
      </c>
      <c r="R310" s="15">
        <v>7411.8771900000002</v>
      </c>
      <c r="S310" s="16">
        <v>7411.8771900000002</v>
      </c>
      <c r="T310" s="15">
        <v>2502.02</v>
      </c>
      <c r="U310" s="16">
        <v>0</v>
      </c>
      <c r="V310" s="15">
        <v>2697.76</v>
      </c>
      <c r="W310" s="16">
        <v>0</v>
      </c>
      <c r="X310" s="15">
        <v>840.66660000000002</v>
      </c>
      <c r="Y310" s="16">
        <v>0</v>
      </c>
      <c r="Z310" s="15">
        <v>404.66400000000004</v>
      </c>
      <c r="AA310" s="16">
        <v>0</v>
      </c>
      <c r="AB310" s="15">
        <v>966.76658999999995</v>
      </c>
      <c r="AC310" s="16">
        <v>0</v>
      </c>
      <c r="AD310" s="15">
        <v>0</v>
      </c>
      <c r="AE310" s="16">
        <v>0</v>
      </c>
      <c r="AF310" s="15">
        <v>0</v>
      </c>
      <c r="AG310" s="16">
        <v>0</v>
      </c>
      <c r="AH310" s="15">
        <v>0</v>
      </c>
      <c r="AI310" s="15" t="s">
        <v>952</v>
      </c>
      <c r="AJ310" s="14">
        <v>0.65347222222222223</v>
      </c>
      <c r="AK310" s="17">
        <v>44098</v>
      </c>
      <c r="AL310" s="18" t="s">
        <v>291</v>
      </c>
      <c r="AM310" s="14" t="s">
        <v>292</v>
      </c>
      <c r="AN310" s="14" t="s">
        <v>36</v>
      </c>
      <c r="AO310" s="14" t="s">
        <v>953</v>
      </c>
      <c r="AP310" s="14" t="s">
        <v>37</v>
      </c>
      <c r="AQ310" s="14" t="s">
        <v>184</v>
      </c>
      <c r="AR310" s="14" t="s">
        <v>4</v>
      </c>
      <c r="AS310" s="14">
        <v>0</v>
      </c>
      <c r="AT310" s="14">
        <v>0</v>
      </c>
      <c r="AU310" s="14">
        <v>0</v>
      </c>
      <c r="AV310" s="14">
        <v>0</v>
      </c>
      <c r="AW310" s="14"/>
      <c r="AX310" s="14"/>
      <c r="AY310" s="14"/>
      <c r="AZ310" s="14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  <c r="BL310" s="11"/>
      <c r="BM310" s="11"/>
      <c r="BN310" s="11"/>
    </row>
    <row r="311" spans="1:66" s="2" customFormat="1" ht="12" customHeight="1" x14ac:dyDescent="0.25">
      <c r="A311" s="9">
        <f t="shared" si="4"/>
        <v>1</v>
      </c>
      <c r="B311" s="6"/>
      <c r="C311" s="6"/>
      <c r="D311" s="24"/>
      <c r="E311" s="12" t="s">
        <v>38</v>
      </c>
      <c r="F311" s="25">
        <v>0</v>
      </c>
      <c r="G311" s="12" t="s">
        <v>954</v>
      </c>
      <c r="H311" s="12">
        <v>0</v>
      </c>
      <c r="I311" s="12">
        <v>0</v>
      </c>
      <c r="J311" s="12">
        <v>0</v>
      </c>
      <c r="K311" s="12">
        <v>0</v>
      </c>
      <c r="L311" s="13">
        <v>0</v>
      </c>
      <c r="M311" s="13">
        <v>0</v>
      </c>
      <c r="N311" s="12">
        <v>0</v>
      </c>
      <c r="O311" s="12">
        <v>0</v>
      </c>
      <c r="P311" s="12">
        <v>0</v>
      </c>
      <c r="Q311" s="14">
        <v>0</v>
      </c>
      <c r="R311" s="15">
        <v>43661.009999999995</v>
      </c>
      <c r="S311" s="16">
        <v>43661.009999999995</v>
      </c>
      <c r="T311" s="15">
        <v>20485.009999999998</v>
      </c>
      <c r="U311" s="16">
        <v>0</v>
      </c>
      <c r="V311" s="15">
        <v>23176</v>
      </c>
      <c r="W311" s="16">
        <v>0</v>
      </c>
      <c r="X311" s="15">
        <v>0</v>
      </c>
      <c r="Y311" s="16">
        <v>0</v>
      </c>
      <c r="Z311" s="15">
        <v>0</v>
      </c>
      <c r="AA311" s="16">
        <v>0</v>
      </c>
      <c r="AB311" s="15">
        <v>0</v>
      </c>
      <c r="AC311" s="16">
        <v>0</v>
      </c>
      <c r="AD311" s="15">
        <v>0</v>
      </c>
      <c r="AE311" s="16">
        <v>0</v>
      </c>
      <c r="AF311" s="15">
        <v>0</v>
      </c>
      <c r="AG311" s="16">
        <v>0</v>
      </c>
      <c r="AH311" s="15">
        <v>0</v>
      </c>
      <c r="AI311" s="15" t="s">
        <v>955</v>
      </c>
      <c r="AJ311" s="14">
        <v>0.70768518518518519</v>
      </c>
      <c r="AK311" s="17">
        <v>44098</v>
      </c>
      <c r="AL311" s="18" t="s">
        <v>291</v>
      </c>
      <c r="AM311" s="14" t="s">
        <v>292</v>
      </c>
      <c r="AN311" s="14" t="s">
        <v>36</v>
      </c>
      <c r="AO311" s="14" t="s">
        <v>956</v>
      </c>
      <c r="AP311" s="14" t="s">
        <v>37</v>
      </c>
      <c r="AQ311" s="14" t="s">
        <v>184</v>
      </c>
      <c r="AR311" s="14" t="s">
        <v>4</v>
      </c>
      <c r="AS311" s="14">
        <v>0</v>
      </c>
      <c r="AT311" s="14">
        <v>0</v>
      </c>
      <c r="AU311" s="14">
        <v>0</v>
      </c>
      <c r="AV311" s="14">
        <v>0</v>
      </c>
      <c r="AW311" s="14"/>
      <c r="AX311" s="14"/>
      <c r="AY311" s="14"/>
      <c r="AZ311" s="14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  <c r="BL311" s="11"/>
      <c r="BM311" s="11"/>
      <c r="BN311" s="11"/>
    </row>
    <row r="312" spans="1:66" s="2" customFormat="1" ht="12" customHeight="1" x14ac:dyDescent="0.25">
      <c r="A312" s="9">
        <f t="shared" si="4"/>
        <v>1</v>
      </c>
      <c r="B312" s="6"/>
      <c r="C312" s="6"/>
      <c r="D312" s="24"/>
      <c r="E312" s="12" t="s">
        <v>38</v>
      </c>
      <c r="F312" s="25">
        <v>0</v>
      </c>
      <c r="G312" s="12" t="s">
        <v>957</v>
      </c>
      <c r="H312" s="12">
        <v>0</v>
      </c>
      <c r="I312" s="12">
        <v>0</v>
      </c>
      <c r="J312" s="12">
        <v>0</v>
      </c>
      <c r="K312" s="12">
        <v>0</v>
      </c>
      <c r="L312" s="13">
        <v>0</v>
      </c>
      <c r="M312" s="13">
        <v>0</v>
      </c>
      <c r="N312" s="12">
        <v>0</v>
      </c>
      <c r="O312" s="12">
        <v>0</v>
      </c>
      <c r="P312" s="12">
        <v>0</v>
      </c>
      <c r="Q312" s="14">
        <v>0</v>
      </c>
      <c r="R312" s="15">
        <v>2307918.4699999997</v>
      </c>
      <c r="S312" s="16">
        <v>2307918.4699999997</v>
      </c>
      <c r="T312" s="15">
        <v>1452889.3499999999</v>
      </c>
      <c r="U312" s="16">
        <v>0</v>
      </c>
      <c r="V312" s="15">
        <v>855029.12</v>
      </c>
      <c r="W312" s="16">
        <v>0</v>
      </c>
      <c r="X312" s="15">
        <v>0</v>
      </c>
      <c r="Y312" s="16">
        <v>0</v>
      </c>
      <c r="Z312" s="15">
        <v>0</v>
      </c>
      <c r="AA312" s="16">
        <v>0</v>
      </c>
      <c r="AB312" s="15">
        <v>0</v>
      </c>
      <c r="AC312" s="16">
        <v>0</v>
      </c>
      <c r="AD312" s="15">
        <v>0</v>
      </c>
      <c r="AE312" s="16">
        <v>0</v>
      </c>
      <c r="AF312" s="15">
        <v>0</v>
      </c>
      <c r="AG312" s="16">
        <v>0</v>
      </c>
      <c r="AH312" s="15">
        <v>0</v>
      </c>
      <c r="AI312" s="15" t="s">
        <v>958</v>
      </c>
      <c r="AJ312" s="14">
        <v>0.40856481481481483</v>
      </c>
      <c r="AK312" s="17">
        <v>44116</v>
      </c>
      <c r="AL312" s="18" t="s">
        <v>291</v>
      </c>
      <c r="AM312" s="14" t="s">
        <v>292</v>
      </c>
      <c r="AN312" s="14" t="s">
        <v>36</v>
      </c>
      <c r="AO312" s="14" t="s">
        <v>959</v>
      </c>
      <c r="AP312" s="14" t="s">
        <v>37</v>
      </c>
      <c r="AQ312" s="14" t="s">
        <v>184</v>
      </c>
      <c r="AR312" s="14" t="s">
        <v>4</v>
      </c>
      <c r="AS312" s="14">
        <v>0</v>
      </c>
      <c r="AT312" s="14">
        <v>0</v>
      </c>
      <c r="AU312" s="14">
        <v>0</v>
      </c>
      <c r="AV312" s="14">
        <v>0</v>
      </c>
      <c r="AW312" s="14"/>
      <c r="AX312" s="14"/>
      <c r="AY312" s="14"/>
      <c r="AZ312" s="14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  <c r="BL312" s="11"/>
      <c r="BM312" s="11"/>
      <c r="BN312" s="11"/>
    </row>
    <row r="313" spans="1:66" s="2" customFormat="1" ht="12" customHeight="1" x14ac:dyDescent="0.25">
      <c r="A313" s="9">
        <f t="shared" si="4"/>
        <v>1</v>
      </c>
      <c r="B313" s="6"/>
      <c r="C313" s="6"/>
      <c r="D313" s="24"/>
      <c r="E313" s="12" t="s">
        <v>38</v>
      </c>
      <c r="F313" s="25">
        <v>0</v>
      </c>
      <c r="G313" s="12" t="s">
        <v>960</v>
      </c>
      <c r="H313" s="12">
        <v>0</v>
      </c>
      <c r="I313" s="12">
        <v>0</v>
      </c>
      <c r="J313" s="12">
        <v>0</v>
      </c>
      <c r="K313" s="12">
        <v>0</v>
      </c>
      <c r="L313" s="13">
        <v>0</v>
      </c>
      <c r="M313" s="13">
        <v>0</v>
      </c>
      <c r="N313" s="12">
        <v>0</v>
      </c>
      <c r="O313" s="12">
        <v>0</v>
      </c>
      <c r="P313" s="12">
        <v>0</v>
      </c>
      <c r="Q313" s="14">
        <v>0</v>
      </c>
      <c r="R313" s="15">
        <v>542718.68724800006</v>
      </c>
      <c r="S313" s="16">
        <v>542718.68724800006</v>
      </c>
      <c r="T313" s="15">
        <v>269099.77</v>
      </c>
      <c r="U313" s="16">
        <v>0</v>
      </c>
      <c r="V313" s="15">
        <v>191525</v>
      </c>
      <c r="W313" s="16">
        <v>0</v>
      </c>
      <c r="X313" s="15">
        <v>33182.206400000003</v>
      </c>
      <c r="Y313" s="16">
        <v>0</v>
      </c>
      <c r="Z313" s="15">
        <v>13406.750000000002</v>
      </c>
      <c r="AA313" s="16">
        <v>0</v>
      </c>
      <c r="AB313" s="15">
        <v>35504.96084800001</v>
      </c>
      <c r="AC313" s="16">
        <v>0</v>
      </c>
      <c r="AD313" s="15">
        <v>0</v>
      </c>
      <c r="AE313" s="16">
        <v>0</v>
      </c>
      <c r="AF313" s="15">
        <v>0</v>
      </c>
      <c r="AG313" s="16">
        <v>0</v>
      </c>
      <c r="AH313" s="15">
        <v>0</v>
      </c>
      <c r="AI313" s="15" t="s">
        <v>961</v>
      </c>
      <c r="AJ313" s="14">
        <v>0.4635185185185185</v>
      </c>
      <c r="AK313" s="17">
        <v>44104</v>
      </c>
      <c r="AL313" s="18" t="s">
        <v>291</v>
      </c>
      <c r="AM313" s="14" t="s">
        <v>292</v>
      </c>
      <c r="AN313" s="14" t="s">
        <v>36</v>
      </c>
      <c r="AO313" s="14" t="s">
        <v>962</v>
      </c>
      <c r="AP313" s="14" t="s">
        <v>37</v>
      </c>
      <c r="AQ313" s="14" t="s">
        <v>184</v>
      </c>
      <c r="AR313" s="14" t="s">
        <v>4</v>
      </c>
      <c r="AS313" s="14">
        <v>0</v>
      </c>
      <c r="AT313" s="14">
        <v>0</v>
      </c>
      <c r="AU313" s="14">
        <v>0</v>
      </c>
      <c r="AV313" s="14">
        <v>0</v>
      </c>
      <c r="AW313" s="14"/>
      <c r="AX313" s="14"/>
      <c r="AY313" s="14"/>
      <c r="AZ313" s="14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  <c r="BL313" s="11"/>
      <c r="BM313" s="11"/>
      <c r="BN313" s="11"/>
    </row>
    <row r="314" spans="1:66" s="2" customFormat="1" ht="12" customHeight="1" x14ac:dyDescent="0.25">
      <c r="A314" s="9">
        <f t="shared" si="4"/>
        <v>1</v>
      </c>
      <c r="B314" s="6"/>
      <c r="C314" s="6"/>
      <c r="D314" s="24"/>
      <c r="E314" s="12" t="s">
        <v>38</v>
      </c>
      <c r="F314" s="25">
        <v>0</v>
      </c>
      <c r="G314" s="12" t="s">
        <v>963</v>
      </c>
      <c r="H314" s="12">
        <v>0</v>
      </c>
      <c r="I314" s="12">
        <v>0</v>
      </c>
      <c r="J314" s="12">
        <v>0</v>
      </c>
      <c r="K314" s="12">
        <v>0</v>
      </c>
      <c r="L314" s="13">
        <v>0</v>
      </c>
      <c r="M314" s="13">
        <v>0</v>
      </c>
      <c r="N314" s="12">
        <v>0</v>
      </c>
      <c r="O314" s="12">
        <v>0</v>
      </c>
      <c r="P314" s="12">
        <v>0</v>
      </c>
      <c r="Q314" s="14">
        <v>0</v>
      </c>
      <c r="R314" s="15">
        <v>1656656.3399999999</v>
      </c>
      <c r="S314" s="16">
        <v>1656656.3399999999</v>
      </c>
      <c r="T314" s="15">
        <v>930048.5</v>
      </c>
      <c r="U314" s="16">
        <v>0</v>
      </c>
      <c r="V314" s="15">
        <v>726607.84</v>
      </c>
      <c r="W314" s="16">
        <v>0</v>
      </c>
      <c r="X314" s="15">
        <v>0</v>
      </c>
      <c r="Y314" s="16">
        <v>0</v>
      </c>
      <c r="Z314" s="15">
        <v>0</v>
      </c>
      <c r="AA314" s="16">
        <v>0</v>
      </c>
      <c r="AB314" s="15">
        <v>0</v>
      </c>
      <c r="AC314" s="16">
        <v>0</v>
      </c>
      <c r="AD314" s="15">
        <v>0</v>
      </c>
      <c r="AE314" s="16">
        <v>0</v>
      </c>
      <c r="AF314" s="15">
        <v>0</v>
      </c>
      <c r="AG314" s="16">
        <v>0</v>
      </c>
      <c r="AH314" s="15">
        <v>0</v>
      </c>
      <c r="AI314" s="15" t="s">
        <v>964</v>
      </c>
      <c r="AJ314" s="14">
        <v>0.48628472222222219</v>
      </c>
      <c r="AK314" s="17">
        <v>44211</v>
      </c>
      <c r="AL314" s="18" t="s">
        <v>40</v>
      </c>
      <c r="AM314" s="14" t="s">
        <v>410</v>
      </c>
      <c r="AN314" s="14" t="s">
        <v>36</v>
      </c>
      <c r="AO314" s="14" t="s">
        <v>965</v>
      </c>
      <c r="AP314" s="14" t="s">
        <v>37</v>
      </c>
      <c r="AQ314" s="14" t="s">
        <v>184</v>
      </c>
      <c r="AR314" s="14" t="s">
        <v>4</v>
      </c>
      <c r="AS314" s="14">
        <v>0</v>
      </c>
      <c r="AT314" s="14">
        <v>0</v>
      </c>
      <c r="AU314" s="14">
        <v>0</v>
      </c>
      <c r="AV314" s="14">
        <v>0</v>
      </c>
      <c r="AW314" s="14"/>
      <c r="AX314" s="14"/>
      <c r="AY314" s="14"/>
      <c r="AZ314" s="14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  <c r="BL314" s="11"/>
      <c r="BM314" s="11"/>
      <c r="BN314" s="11"/>
    </row>
    <row r="315" spans="1:66" s="2" customFormat="1" ht="12" customHeight="1" x14ac:dyDescent="0.25">
      <c r="A315" s="9">
        <f t="shared" si="4"/>
        <v>1</v>
      </c>
      <c r="B315" s="6"/>
      <c r="C315" s="6"/>
      <c r="D315" s="24"/>
      <c r="E315" s="12" t="s">
        <v>38</v>
      </c>
      <c r="F315" s="25">
        <v>0</v>
      </c>
      <c r="G315" s="12" t="s">
        <v>966</v>
      </c>
      <c r="H315" s="12">
        <v>0</v>
      </c>
      <c r="I315" s="12">
        <v>0</v>
      </c>
      <c r="J315" s="12">
        <v>0</v>
      </c>
      <c r="K315" s="12">
        <v>0</v>
      </c>
      <c r="L315" s="13">
        <v>0</v>
      </c>
      <c r="M315" s="13">
        <v>0</v>
      </c>
      <c r="N315" s="12">
        <v>0</v>
      </c>
      <c r="O315" s="12">
        <v>0</v>
      </c>
      <c r="P315" s="12">
        <v>0</v>
      </c>
      <c r="Q315" s="14">
        <v>0</v>
      </c>
      <c r="R315" s="15">
        <v>1325565.29</v>
      </c>
      <c r="S315" s="16">
        <v>1325565.29</v>
      </c>
      <c r="T315" s="15">
        <v>765892.97000000009</v>
      </c>
      <c r="U315" s="16">
        <v>0</v>
      </c>
      <c r="V315" s="15">
        <v>559672.31999999995</v>
      </c>
      <c r="W315" s="16">
        <v>0</v>
      </c>
      <c r="X315" s="15">
        <v>0</v>
      </c>
      <c r="Y315" s="16">
        <v>0</v>
      </c>
      <c r="Z315" s="15">
        <v>0</v>
      </c>
      <c r="AA315" s="16">
        <v>0</v>
      </c>
      <c r="AB315" s="15">
        <v>0</v>
      </c>
      <c r="AC315" s="16">
        <v>0</v>
      </c>
      <c r="AD315" s="15">
        <v>0</v>
      </c>
      <c r="AE315" s="16">
        <v>0</v>
      </c>
      <c r="AF315" s="15">
        <v>0</v>
      </c>
      <c r="AG315" s="16">
        <v>0</v>
      </c>
      <c r="AH315" s="15">
        <v>0</v>
      </c>
      <c r="AI315" s="15" t="s">
        <v>967</v>
      </c>
      <c r="AJ315" s="14">
        <v>0.43874999999999997</v>
      </c>
      <c r="AK315" s="17">
        <v>44120</v>
      </c>
      <c r="AL315" s="18" t="s">
        <v>291</v>
      </c>
      <c r="AM315" s="14" t="s">
        <v>292</v>
      </c>
      <c r="AN315" s="14" t="s">
        <v>36</v>
      </c>
      <c r="AO315" s="14" t="s">
        <v>968</v>
      </c>
      <c r="AP315" s="14" t="s">
        <v>37</v>
      </c>
      <c r="AQ315" s="14" t="s">
        <v>184</v>
      </c>
      <c r="AR315" s="14" t="s">
        <v>4</v>
      </c>
      <c r="AS315" s="14">
        <v>0</v>
      </c>
      <c r="AT315" s="14">
        <v>0</v>
      </c>
      <c r="AU315" s="14">
        <v>0</v>
      </c>
      <c r="AV315" s="14">
        <v>0</v>
      </c>
      <c r="AW315" s="14"/>
      <c r="AX315" s="14"/>
      <c r="AY315" s="14"/>
      <c r="AZ315" s="14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  <c r="BL315" s="11"/>
      <c r="BM315" s="11"/>
      <c r="BN315" s="11"/>
    </row>
    <row r="316" spans="1:66" s="2" customFormat="1" ht="12" customHeight="1" x14ac:dyDescent="0.25">
      <c r="A316" s="9">
        <f t="shared" si="4"/>
        <v>1</v>
      </c>
      <c r="B316" s="6"/>
      <c r="C316" s="6"/>
      <c r="D316" s="24"/>
      <c r="E316" s="12" t="s">
        <v>38</v>
      </c>
      <c r="F316" s="25">
        <v>0</v>
      </c>
      <c r="G316" s="12" t="s">
        <v>969</v>
      </c>
      <c r="H316" s="12">
        <v>0</v>
      </c>
      <c r="I316" s="12">
        <v>0</v>
      </c>
      <c r="J316" s="12">
        <v>0</v>
      </c>
      <c r="K316" s="12">
        <v>0</v>
      </c>
      <c r="L316" s="13">
        <v>0</v>
      </c>
      <c r="M316" s="13">
        <v>0</v>
      </c>
      <c r="N316" s="12">
        <v>0</v>
      </c>
      <c r="O316" s="12">
        <v>0</v>
      </c>
      <c r="P316" s="12">
        <v>0</v>
      </c>
      <c r="Q316" s="14">
        <v>0</v>
      </c>
      <c r="R316" s="15">
        <v>719170.33</v>
      </c>
      <c r="S316" s="16">
        <v>719170.33</v>
      </c>
      <c r="T316" s="15">
        <v>556619.61</v>
      </c>
      <c r="U316" s="16">
        <v>0</v>
      </c>
      <c r="V316" s="15">
        <v>162550.71999999997</v>
      </c>
      <c r="W316" s="16">
        <v>0</v>
      </c>
      <c r="X316" s="15">
        <v>0</v>
      </c>
      <c r="Y316" s="16">
        <v>0</v>
      </c>
      <c r="Z316" s="15">
        <v>0</v>
      </c>
      <c r="AA316" s="16">
        <v>0</v>
      </c>
      <c r="AB316" s="15">
        <v>0</v>
      </c>
      <c r="AC316" s="16">
        <v>0</v>
      </c>
      <c r="AD316" s="15">
        <v>0</v>
      </c>
      <c r="AE316" s="16">
        <v>0</v>
      </c>
      <c r="AF316" s="15">
        <v>0</v>
      </c>
      <c r="AG316" s="16">
        <v>0</v>
      </c>
      <c r="AH316" s="15">
        <v>0</v>
      </c>
      <c r="AI316" s="15" t="s">
        <v>970</v>
      </c>
      <c r="AJ316" s="14">
        <v>0.3894097222222222</v>
      </c>
      <c r="AK316" s="17">
        <v>44119</v>
      </c>
      <c r="AL316" s="18" t="s">
        <v>291</v>
      </c>
      <c r="AM316" s="14" t="s">
        <v>292</v>
      </c>
      <c r="AN316" s="14" t="s">
        <v>36</v>
      </c>
      <c r="AO316" s="14" t="s">
        <v>971</v>
      </c>
      <c r="AP316" s="14" t="s">
        <v>37</v>
      </c>
      <c r="AQ316" s="14" t="s">
        <v>184</v>
      </c>
      <c r="AR316" s="14" t="s">
        <v>4</v>
      </c>
      <c r="AS316" s="14">
        <v>0</v>
      </c>
      <c r="AT316" s="14">
        <v>0</v>
      </c>
      <c r="AU316" s="14">
        <v>0</v>
      </c>
      <c r="AV316" s="14">
        <v>0</v>
      </c>
      <c r="AW316" s="14"/>
      <c r="AX316" s="14"/>
      <c r="AY316" s="14"/>
      <c r="AZ316" s="14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  <c r="BL316" s="11"/>
      <c r="BM316" s="11"/>
      <c r="BN316" s="11"/>
    </row>
    <row r="317" spans="1:66" s="2" customFormat="1" ht="12" customHeight="1" x14ac:dyDescent="0.25">
      <c r="A317" s="9">
        <f t="shared" si="4"/>
        <v>1</v>
      </c>
      <c r="B317" s="6"/>
      <c r="C317" s="6"/>
      <c r="D317" s="24"/>
      <c r="E317" s="12" t="s">
        <v>38</v>
      </c>
      <c r="F317" s="25">
        <v>0</v>
      </c>
      <c r="G317" s="12" t="s">
        <v>972</v>
      </c>
      <c r="H317" s="12">
        <v>0</v>
      </c>
      <c r="I317" s="12">
        <v>0</v>
      </c>
      <c r="J317" s="12">
        <v>0</v>
      </c>
      <c r="K317" s="12">
        <v>0</v>
      </c>
      <c r="L317" s="13">
        <v>0</v>
      </c>
      <c r="M317" s="13">
        <v>0</v>
      </c>
      <c r="N317" s="12">
        <v>0</v>
      </c>
      <c r="O317" s="12">
        <v>0</v>
      </c>
      <c r="P317" s="12">
        <v>0</v>
      </c>
      <c r="Q317" s="14">
        <v>0</v>
      </c>
      <c r="R317" s="15">
        <v>183814.32</v>
      </c>
      <c r="S317" s="16">
        <v>183814.32</v>
      </c>
      <c r="T317" s="15">
        <v>124232.8</v>
      </c>
      <c r="U317" s="16">
        <v>0</v>
      </c>
      <c r="V317" s="15">
        <v>59581.52</v>
      </c>
      <c r="W317" s="16">
        <v>0</v>
      </c>
      <c r="X317" s="15">
        <v>0</v>
      </c>
      <c r="Y317" s="16">
        <v>0</v>
      </c>
      <c r="Z317" s="15">
        <v>0</v>
      </c>
      <c r="AA317" s="16">
        <v>0</v>
      </c>
      <c r="AB317" s="15">
        <v>0</v>
      </c>
      <c r="AC317" s="16">
        <v>0</v>
      </c>
      <c r="AD317" s="15">
        <v>0</v>
      </c>
      <c r="AE317" s="16">
        <v>0</v>
      </c>
      <c r="AF317" s="15">
        <v>0</v>
      </c>
      <c r="AG317" s="16">
        <v>0</v>
      </c>
      <c r="AH317" s="15">
        <v>0</v>
      </c>
      <c r="AI317" s="15" t="s">
        <v>973</v>
      </c>
      <c r="AJ317" s="14">
        <v>0.6775000000000001</v>
      </c>
      <c r="AK317" s="17">
        <v>44123</v>
      </c>
      <c r="AL317" s="18" t="s">
        <v>40</v>
      </c>
      <c r="AM317" s="14" t="s">
        <v>410</v>
      </c>
      <c r="AN317" s="14" t="s">
        <v>36</v>
      </c>
      <c r="AO317" s="14" t="s">
        <v>974</v>
      </c>
      <c r="AP317" s="14" t="s">
        <v>37</v>
      </c>
      <c r="AQ317" s="14" t="s">
        <v>184</v>
      </c>
      <c r="AR317" s="14" t="s">
        <v>4</v>
      </c>
      <c r="AS317" s="14">
        <v>0</v>
      </c>
      <c r="AT317" s="14">
        <v>0</v>
      </c>
      <c r="AU317" s="14">
        <v>0</v>
      </c>
      <c r="AV317" s="14">
        <v>0</v>
      </c>
      <c r="AW317" s="14"/>
      <c r="AX317" s="14"/>
      <c r="AY317" s="14"/>
      <c r="AZ317" s="14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  <c r="BL317" s="11"/>
      <c r="BM317" s="11"/>
      <c r="BN317" s="11"/>
    </row>
    <row r="318" spans="1:66" s="2" customFormat="1" ht="12" customHeight="1" x14ac:dyDescent="0.25">
      <c r="A318" s="9">
        <f t="shared" si="4"/>
        <v>1</v>
      </c>
      <c r="B318" s="6"/>
      <c r="C318" s="6"/>
      <c r="D318" s="24"/>
      <c r="E318" s="12" t="s">
        <v>38</v>
      </c>
      <c r="F318" s="25">
        <v>0</v>
      </c>
      <c r="G318" s="12" t="s">
        <v>975</v>
      </c>
      <c r="H318" s="12">
        <v>0</v>
      </c>
      <c r="I318" s="12">
        <v>0</v>
      </c>
      <c r="J318" s="12">
        <v>0</v>
      </c>
      <c r="K318" s="12">
        <v>0</v>
      </c>
      <c r="L318" s="13">
        <v>0</v>
      </c>
      <c r="M318" s="13">
        <v>0</v>
      </c>
      <c r="N318" s="12">
        <v>0</v>
      </c>
      <c r="O318" s="12">
        <v>0</v>
      </c>
      <c r="P318" s="12">
        <v>0</v>
      </c>
      <c r="Q318" s="14">
        <v>0</v>
      </c>
      <c r="R318" s="15">
        <v>181328.91999999998</v>
      </c>
      <c r="S318" s="16">
        <v>181328.91999999998</v>
      </c>
      <c r="T318" s="15">
        <v>123147.4</v>
      </c>
      <c r="U318" s="16">
        <v>0</v>
      </c>
      <c r="V318" s="15">
        <v>58181.52</v>
      </c>
      <c r="W318" s="16">
        <v>0</v>
      </c>
      <c r="X318" s="15">
        <v>0</v>
      </c>
      <c r="Y318" s="16">
        <v>0</v>
      </c>
      <c r="Z318" s="15">
        <v>0</v>
      </c>
      <c r="AA318" s="16">
        <v>0</v>
      </c>
      <c r="AB318" s="15">
        <v>0</v>
      </c>
      <c r="AC318" s="16">
        <v>0</v>
      </c>
      <c r="AD318" s="15">
        <v>0</v>
      </c>
      <c r="AE318" s="16">
        <v>0</v>
      </c>
      <c r="AF318" s="15">
        <v>0</v>
      </c>
      <c r="AG318" s="16">
        <v>0</v>
      </c>
      <c r="AH318" s="15">
        <v>0</v>
      </c>
      <c r="AI318" s="15" t="s">
        <v>976</v>
      </c>
      <c r="AJ318" s="14">
        <v>0.67809027777777775</v>
      </c>
      <c r="AK318" s="17">
        <v>44123</v>
      </c>
      <c r="AL318" s="18" t="s">
        <v>40</v>
      </c>
      <c r="AM318" s="14" t="s">
        <v>410</v>
      </c>
      <c r="AN318" s="14" t="s">
        <v>36</v>
      </c>
      <c r="AO318" s="14" t="s">
        <v>977</v>
      </c>
      <c r="AP318" s="14" t="s">
        <v>37</v>
      </c>
      <c r="AQ318" s="14" t="s">
        <v>184</v>
      </c>
      <c r="AR318" s="14" t="s">
        <v>4</v>
      </c>
      <c r="AS318" s="14">
        <v>0</v>
      </c>
      <c r="AT318" s="14">
        <v>0</v>
      </c>
      <c r="AU318" s="14">
        <v>0</v>
      </c>
      <c r="AV318" s="14">
        <v>0</v>
      </c>
      <c r="AW318" s="14"/>
      <c r="AX318" s="14"/>
      <c r="AY318" s="14"/>
      <c r="AZ318" s="14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  <c r="BL318" s="11"/>
      <c r="BM318" s="11"/>
      <c r="BN318" s="11"/>
    </row>
    <row r="319" spans="1:66" s="2" customFormat="1" ht="12" customHeight="1" x14ac:dyDescent="0.25">
      <c r="A319" s="9">
        <f t="shared" si="4"/>
        <v>1</v>
      </c>
      <c r="B319" s="6"/>
      <c r="C319" s="6"/>
      <c r="D319" s="24"/>
      <c r="E319" s="12" t="s">
        <v>38</v>
      </c>
      <c r="F319" s="25">
        <v>0</v>
      </c>
      <c r="G319" s="12" t="s">
        <v>978</v>
      </c>
      <c r="H319" s="12">
        <v>0</v>
      </c>
      <c r="I319" s="12">
        <v>0</v>
      </c>
      <c r="J319" s="12">
        <v>0</v>
      </c>
      <c r="K319" s="12">
        <v>0</v>
      </c>
      <c r="L319" s="13">
        <v>0</v>
      </c>
      <c r="M319" s="13">
        <v>0</v>
      </c>
      <c r="N319" s="12">
        <v>0</v>
      </c>
      <c r="O319" s="12">
        <v>0</v>
      </c>
      <c r="P319" s="12">
        <v>0</v>
      </c>
      <c r="Q319" s="14">
        <v>0</v>
      </c>
      <c r="R319" s="15">
        <v>182384.72</v>
      </c>
      <c r="S319" s="16">
        <v>182384.72</v>
      </c>
      <c r="T319" s="15">
        <v>123503.2</v>
      </c>
      <c r="U319" s="16">
        <v>0</v>
      </c>
      <c r="V319" s="15">
        <v>58881.52</v>
      </c>
      <c r="W319" s="16">
        <v>0</v>
      </c>
      <c r="X319" s="15">
        <v>0</v>
      </c>
      <c r="Y319" s="16">
        <v>0</v>
      </c>
      <c r="Z319" s="15">
        <v>0</v>
      </c>
      <c r="AA319" s="16">
        <v>0</v>
      </c>
      <c r="AB319" s="15">
        <v>0</v>
      </c>
      <c r="AC319" s="16">
        <v>0</v>
      </c>
      <c r="AD319" s="15">
        <v>0</v>
      </c>
      <c r="AE319" s="16">
        <v>0</v>
      </c>
      <c r="AF319" s="15">
        <v>0</v>
      </c>
      <c r="AG319" s="16">
        <v>0</v>
      </c>
      <c r="AH319" s="15">
        <v>0</v>
      </c>
      <c r="AI319" s="15" t="s">
        <v>979</v>
      </c>
      <c r="AJ319" s="14">
        <v>0.67863425925925924</v>
      </c>
      <c r="AK319" s="17">
        <v>44123</v>
      </c>
      <c r="AL319" s="18" t="s">
        <v>40</v>
      </c>
      <c r="AM319" s="14" t="s">
        <v>410</v>
      </c>
      <c r="AN319" s="14" t="s">
        <v>36</v>
      </c>
      <c r="AO319" s="14" t="s">
        <v>980</v>
      </c>
      <c r="AP319" s="14" t="s">
        <v>37</v>
      </c>
      <c r="AQ319" s="14" t="s">
        <v>184</v>
      </c>
      <c r="AR319" s="14" t="s">
        <v>4</v>
      </c>
      <c r="AS319" s="14">
        <v>0</v>
      </c>
      <c r="AT319" s="14">
        <v>0</v>
      </c>
      <c r="AU319" s="14">
        <v>0</v>
      </c>
      <c r="AV319" s="14">
        <v>0</v>
      </c>
      <c r="AW319" s="14"/>
      <c r="AX319" s="14"/>
      <c r="AY319" s="14"/>
      <c r="AZ319" s="14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  <c r="BL319" s="11"/>
      <c r="BM319" s="11"/>
      <c r="BN319" s="11"/>
    </row>
    <row r="320" spans="1:66" s="2" customFormat="1" ht="12" customHeight="1" x14ac:dyDescent="0.25">
      <c r="A320" s="9">
        <f t="shared" si="4"/>
        <v>1</v>
      </c>
      <c r="B320" s="6"/>
      <c r="C320" s="6"/>
      <c r="D320" s="24"/>
      <c r="E320" s="12" t="s">
        <v>38</v>
      </c>
      <c r="F320" s="25">
        <v>0</v>
      </c>
      <c r="G320" s="12" t="s">
        <v>981</v>
      </c>
      <c r="H320" s="12">
        <v>0</v>
      </c>
      <c r="I320" s="12">
        <v>0</v>
      </c>
      <c r="J320" s="12">
        <v>0</v>
      </c>
      <c r="K320" s="12">
        <v>0</v>
      </c>
      <c r="L320" s="13">
        <v>0</v>
      </c>
      <c r="M320" s="13">
        <v>0</v>
      </c>
      <c r="N320" s="12">
        <v>0</v>
      </c>
      <c r="O320" s="12">
        <v>0</v>
      </c>
      <c r="P320" s="12">
        <v>0</v>
      </c>
      <c r="Q320" s="14">
        <v>0</v>
      </c>
      <c r="R320" s="15">
        <v>179384.22</v>
      </c>
      <c r="S320" s="16">
        <v>179384.22</v>
      </c>
      <c r="T320" s="15">
        <v>120652.7</v>
      </c>
      <c r="U320" s="16">
        <v>0</v>
      </c>
      <c r="V320" s="15">
        <v>58731.519999999997</v>
      </c>
      <c r="W320" s="16">
        <v>0</v>
      </c>
      <c r="X320" s="15">
        <v>0</v>
      </c>
      <c r="Y320" s="16">
        <v>0</v>
      </c>
      <c r="Z320" s="15">
        <v>0</v>
      </c>
      <c r="AA320" s="16">
        <v>0</v>
      </c>
      <c r="AB320" s="15">
        <v>0</v>
      </c>
      <c r="AC320" s="16">
        <v>0</v>
      </c>
      <c r="AD320" s="15">
        <v>0</v>
      </c>
      <c r="AE320" s="16">
        <v>0</v>
      </c>
      <c r="AF320" s="15">
        <v>0</v>
      </c>
      <c r="AG320" s="16">
        <v>0</v>
      </c>
      <c r="AH320" s="15">
        <v>0</v>
      </c>
      <c r="AI320" s="15" t="s">
        <v>982</v>
      </c>
      <c r="AJ320" s="14">
        <v>0.67934027777777783</v>
      </c>
      <c r="AK320" s="17">
        <v>44123</v>
      </c>
      <c r="AL320" s="18" t="s">
        <v>40</v>
      </c>
      <c r="AM320" s="14" t="s">
        <v>410</v>
      </c>
      <c r="AN320" s="14" t="s">
        <v>36</v>
      </c>
      <c r="AO320" s="14" t="s">
        <v>983</v>
      </c>
      <c r="AP320" s="14" t="s">
        <v>37</v>
      </c>
      <c r="AQ320" s="14" t="s">
        <v>184</v>
      </c>
      <c r="AR320" s="14" t="s">
        <v>4</v>
      </c>
      <c r="AS320" s="14">
        <v>0</v>
      </c>
      <c r="AT320" s="14">
        <v>0</v>
      </c>
      <c r="AU320" s="14">
        <v>0</v>
      </c>
      <c r="AV320" s="14">
        <v>0</v>
      </c>
      <c r="AW320" s="14"/>
      <c r="AX320" s="14"/>
      <c r="AY320" s="14"/>
      <c r="AZ320" s="14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  <c r="BL320" s="11"/>
      <c r="BM320" s="11"/>
      <c r="BN320" s="11"/>
    </row>
    <row r="321" spans="1:66" s="2" customFormat="1" ht="12" customHeight="1" x14ac:dyDescent="0.25">
      <c r="A321" s="9">
        <f t="shared" si="4"/>
        <v>1</v>
      </c>
      <c r="B321" s="6"/>
      <c r="C321" s="6"/>
      <c r="D321" s="24"/>
      <c r="E321" s="12" t="s">
        <v>38</v>
      </c>
      <c r="F321" s="25">
        <v>0</v>
      </c>
      <c r="G321" s="12" t="s">
        <v>984</v>
      </c>
      <c r="H321" s="12">
        <v>0</v>
      </c>
      <c r="I321" s="12">
        <v>0</v>
      </c>
      <c r="J321" s="12">
        <v>0</v>
      </c>
      <c r="K321" s="12">
        <v>0</v>
      </c>
      <c r="L321" s="13">
        <v>0</v>
      </c>
      <c r="M321" s="13">
        <v>0</v>
      </c>
      <c r="N321" s="12">
        <v>0</v>
      </c>
      <c r="O321" s="12">
        <v>0</v>
      </c>
      <c r="P321" s="12">
        <v>0</v>
      </c>
      <c r="Q321" s="14">
        <v>0</v>
      </c>
      <c r="R321" s="15">
        <v>179384.22</v>
      </c>
      <c r="S321" s="16">
        <v>179384.22</v>
      </c>
      <c r="T321" s="15">
        <v>120652.7</v>
      </c>
      <c r="U321" s="16">
        <v>0</v>
      </c>
      <c r="V321" s="15">
        <v>58731.519999999997</v>
      </c>
      <c r="W321" s="16">
        <v>0</v>
      </c>
      <c r="X321" s="15">
        <v>0</v>
      </c>
      <c r="Y321" s="16">
        <v>0</v>
      </c>
      <c r="Z321" s="15">
        <v>0</v>
      </c>
      <c r="AA321" s="16">
        <v>0</v>
      </c>
      <c r="AB321" s="15">
        <v>0</v>
      </c>
      <c r="AC321" s="16">
        <v>0</v>
      </c>
      <c r="AD321" s="15">
        <v>0</v>
      </c>
      <c r="AE321" s="16">
        <v>0</v>
      </c>
      <c r="AF321" s="15">
        <v>0</v>
      </c>
      <c r="AG321" s="16">
        <v>0</v>
      </c>
      <c r="AH321" s="15">
        <v>0</v>
      </c>
      <c r="AI321" s="15" t="s">
        <v>985</v>
      </c>
      <c r="AJ321" s="14">
        <v>0.67986111111111114</v>
      </c>
      <c r="AK321" s="17">
        <v>44123</v>
      </c>
      <c r="AL321" s="18" t="s">
        <v>40</v>
      </c>
      <c r="AM321" s="14" t="s">
        <v>410</v>
      </c>
      <c r="AN321" s="14" t="s">
        <v>36</v>
      </c>
      <c r="AO321" s="14" t="s">
        <v>986</v>
      </c>
      <c r="AP321" s="14" t="s">
        <v>37</v>
      </c>
      <c r="AQ321" s="14" t="s">
        <v>184</v>
      </c>
      <c r="AR321" s="14" t="s">
        <v>4</v>
      </c>
      <c r="AS321" s="14">
        <v>0</v>
      </c>
      <c r="AT321" s="14">
        <v>0</v>
      </c>
      <c r="AU321" s="14">
        <v>0</v>
      </c>
      <c r="AV321" s="14">
        <v>0</v>
      </c>
      <c r="AW321" s="14"/>
      <c r="AX321" s="14"/>
      <c r="AY321" s="14"/>
      <c r="AZ321" s="14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  <c r="BL321" s="11"/>
      <c r="BM321" s="11"/>
      <c r="BN321" s="11"/>
    </row>
    <row r="322" spans="1:66" s="2" customFormat="1" ht="12" customHeight="1" x14ac:dyDescent="0.25">
      <c r="A322" s="9">
        <f t="shared" si="4"/>
        <v>1</v>
      </c>
      <c r="B322" s="6"/>
      <c r="C322" s="6"/>
      <c r="D322" s="24"/>
      <c r="E322" s="12" t="s">
        <v>38</v>
      </c>
      <c r="F322" s="25">
        <v>0</v>
      </c>
      <c r="G322" s="12" t="s">
        <v>987</v>
      </c>
      <c r="H322" s="12">
        <v>0</v>
      </c>
      <c r="I322" s="12">
        <v>0</v>
      </c>
      <c r="J322" s="12">
        <v>0</v>
      </c>
      <c r="K322" s="12">
        <v>0</v>
      </c>
      <c r="L322" s="13">
        <v>0</v>
      </c>
      <c r="M322" s="13">
        <v>0</v>
      </c>
      <c r="N322" s="12">
        <v>0</v>
      </c>
      <c r="O322" s="12">
        <v>0</v>
      </c>
      <c r="P322" s="12">
        <v>0</v>
      </c>
      <c r="Q322" s="14">
        <v>0</v>
      </c>
      <c r="R322" s="15">
        <v>809281.37</v>
      </c>
      <c r="S322" s="16">
        <v>809281.37</v>
      </c>
      <c r="T322" s="15">
        <v>608755.65</v>
      </c>
      <c r="U322" s="16">
        <v>0</v>
      </c>
      <c r="V322" s="15">
        <v>200525.71999999997</v>
      </c>
      <c r="W322" s="16">
        <v>0</v>
      </c>
      <c r="X322" s="15">
        <v>0</v>
      </c>
      <c r="Y322" s="16">
        <v>0</v>
      </c>
      <c r="Z322" s="15">
        <v>0</v>
      </c>
      <c r="AA322" s="16">
        <v>0</v>
      </c>
      <c r="AB322" s="15">
        <v>0</v>
      </c>
      <c r="AC322" s="16">
        <v>0</v>
      </c>
      <c r="AD322" s="15">
        <v>0</v>
      </c>
      <c r="AE322" s="16">
        <v>0</v>
      </c>
      <c r="AF322" s="15">
        <v>0</v>
      </c>
      <c r="AG322" s="16">
        <v>0</v>
      </c>
      <c r="AH322" s="15">
        <v>0</v>
      </c>
      <c r="AI322" s="15" t="s">
        <v>988</v>
      </c>
      <c r="AJ322" s="14">
        <v>0.47042824074074074</v>
      </c>
      <c r="AK322" s="17">
        <v>44126</v>
      </c>
      <c r="AL322" s="18" t="s">
        <v>291</v>
      </c>
      <c r="AM322" s="14" t="s">
        <v>292</v>
      </c>
      <c r="AN322" s="14" t="s">
        <v>36</v>
      </c>
      <c r="AO322" s="14" t="s">
        <v>989</v>
      </c>
      <c r="AP322" s="14" t="s">
        <v>37</v>
      </c>
      <c r="AQ322" s="14" t="s">
        <v>184</v>
      </c>
      <c r="AR322" s="14" t="s">
        <v>4</v>
      </c>
      <c r="AS322" s="14">
        <v>0</v>
      </c>
      <c r="AT322" s="14">
        <v>0</v>
      </c>
      <c r="AU322" s="14">
        <v>0</v>
      </c>
      <c r="AV322" s="14">
        <v>0</v>
      </c>
      <c r="AW322" s="14"/>
      <c r="AX322" s="14"/>
      <c r="AY322" s="14"/>
      <c r="AZ322" s="14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  <c r="BL322" s="11"/>
      <c r="BM322" s="11"/>
      <c r="BN322" s="11"/>
    </row>
    <row r="323" spans="1:66" s="2" customFormat="1" ht="12" customHeight="1" x14ac:dyDescent="0.25">
      <c r="A323" s="9">
        <f t="shared" si="4"/>
        <v>1</v>
      </c>
      <c r="B323" s="6"/>
      <c r="C323" s="6"/>
      <c r="D323" s="24"/>
      <c r="E323" s="12" t="s">
        <v>38</v>
      </c>
      <c r="F323" s="25">
        <v>0</v>
      </c>
      <c r="G323" s="12" t="s">
        <v>990</v>
      </c>
      <c r="H323" s="12">
        <v>0</v>
      </c>
      <c r="I323" s="12">
        <v>0</v>
      </c>
      <c r="J323" s="12">
        <v>0</v>
      </c>
      <c r="K323" s="12">
        <v>0</v>
      </c>
      <c r="L323" s="13">
        <v>0</v>
      </c>
      <c r="M323" s="13">
        <v>0</v>
      </c>
      <c r="N323" s="12">
        <v>0</v>
      </c>
      <c r="O323" s="12">
        <v>0</v>
      </c>
      <c r="P323" s="12">
        <v>0</v>
      </c>
      <c r="Q323" s="14">
        <v>0</v>
      </c>
      <c r="R323" s="15">
        <v>245705.93000000002</v>
      </c>
      <c r="S323" s="16">
        <v>245705.93000000002</v>
      </c>
      <c r="T323" s="15">
        <v>197177.09000000003</v>
      </c>
      <c r="U323" s="16">
        <v>0</v>
      </c>
      <c r="V323" s="15">
        <v>48528.84</v>
      </c>
      <c r="W323" s="16">
        <v>0</v>
      </c>
      <c r="X323" s="15">
        <v>0</v>
      </c>
      <c r="Y323" s="16">
        <v>0</v>
      </c>
      <c r="Z323" s="15">
        <v>0</v>
      </c>
      <c r="AA323" s="16">
        <v>0</v>
      </c>
      <c r="AB323" s="15">
        <v>0</v>
      </c>
      <c r="AC323" s="16">
        <v>0</v>
      </c>
      <c r="AD323" s="15">
        <v>0</v>
      </c>
      <c r="AE323" s="16">
        <v>0</v>
      </c>
      <c r="AF323" s="15">
        <v>0</v>
      </c>
      <c r="AG323" s="16">
        <v>0</v>
      </c>
      <c r="AH323" s="15">
        <v>0</v>
      </c>
      <c r="AI323" s="15" t="s">
        <v>991</v>
      </c>
      <c r="AJ323" s="14">
        <v>0.65935185185185186</v>
      </c>
      <c r="AK323" s="17">
        <v>44131</v>
      </c>
      <c r="AL323" s="18" t="s">
        <v>291</v>
      </c>
      <c r="AM323" s="14" t="s">
        <v>292</v>
      </c>
      <c r="AN323" s="14" t="s">
        <v>36</v>
      </c>
      <c r="AO323" s="14" t="s">
        <v>992</v>
      </c>
      <c r="AP323" s="14" t="s">
        <v>37</v>
      </c>
      <c r="AQ323" s="14" t="s">
        <v>184</v>
      </c>
      <c r="AR323" s="14" t="s">
        <v>4</v>
      </c>
      <c r="AS323" s="14">
        <v>0</v>
      </c>
      <c r="AT323" s="14">
        <v>0</v>
      </c>
      <c r="AU323" s="14">
        <v>0</v>
      </c>
      <c r="AV323" s="14">
        <v>0</v>
      </c>
      <c r="AW323" s="14"/>
      <c r="AX323" s="14"/>
      <c r="AY323" s="14"/>
      <c r="AZ323" s="14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  <c r="BL323" s="11"/>
      <c r="BM323" s="11"/>
      <c r="BN323" s="11"/>
    </row>
    <row r="324" spans="1:66" s="2" customFormat="1" ht="12" customHeight="1" x14ac:dyDescent="0.25">
      <c r="A324" s="9">
        <f t="shared" si="4"/>
        <v>1</v>
      </c>
      <c r="B324" s="6"/>
      <c r="C324" s="6"/>
      <c r="D324" s="24"/>
      <c r="E324" s="12" t="s">
        <v>38</v>
      </c>
      <c r="F324" s="25">
        <v>0</v>
      </c>
      <c r="G324" s="12" t="s">
        <v>993</v>
      </c>
      <c r="H324" s="12">
        <v>0</v>
      </c>
      <c r="I324" s="12">
        <v>0</v>
      </c>
      <c r="J324" s="12">
        <v>0</v>
      </c>
      <c r="K324" s="12">
        <v>0</v>
      </c>
      <c r="L324" s="13">
        <v>0</v>
      </c>
      <c r="M324" s="13">
        <v>0</v>
      </c>
      <c r="N324" s="12">
        <v>0</v>
      </c>
      <c r="O324" s="12">
        <v>0</v>
      </c>
      <c r="P324" s="12">
        <v>0</v>
      </c>
      <c r="Q324" s="14">
        <v>0</v>
      </c>
      <c r="R324" s="15">
        <v>563575.43999999994</v>
      </c>
      <c r="S324" s="16">
        <v>563575.43999999994</v>
      </c>
      <c r="T324" s="15">
        <v>411578.56</v>
      </c>
      <c r="U324" s="16">
        <v>0</v>
      </c>
      <c r="V324" s="15">
        <v>151996.88</v>
      </c>
      <c r="W324" s="16">
        <v>0</v>
      </c>
      <c r="X324" s="15">
        <v>0</v>
      </c>
      <c r="Y324" s="16">
        <v>0</v>
      </c>
      <c r="Z324" s="15">
        <v>0</v>
      </c>
      <c r="AA324" s="16">
        <v>0</v>
      </c>
      <c r="AB324" s="15">
        <v>0</v>
      </c>
      <c r="AC324" s="16">
        <v>0</v>
      </c>
      <c r="AD324" s="15">
        <v>0</v>
      </c>
      <c r="AE324" s="16">
        <v>0</v>
      </c>
      <c r="AF324" s="15">
        <v>0</v>
      </c>
      <c r="AG324" s="16">
        <v>0</v>
      </c>
      <c r="AH324" s="15">
        <v>0</v>
      </c>
      <c r="AI324" s="15" t="s">
        <v>994</v>
      </c>
      <c r="AJ324" s="14">
        <v>0.6663310185185185</v>
      </c>
      <c r="AK324" s="17">
        <v>44131</v>
      </c>
      <c r="AL324" s="18" t="s">
        <v>291</v>
      </c>
      <c r="AM324" s="14" t="s">
        <v>292</v>
      </c>
      <c r="AN324" s="14" t="s">
        <v>36</v>
      </c>
      <c r="AO324" s="14" t="s">
        <v>995</v>
      </c>
      <c r="AP324" s="14" t="s">
        <v>37</v>
      </c>
      <c r="AQ324" s="14" t="s">
        <v>184</v>
      </c>
      <c r="AR324" s="14" t="s">
        <v>4</v>
      </c>
      <c r="AS324" s="14">
        <v>0</v>
      </c>
      <c r="AT324" s="14">
        <v>0</v>
      </c>
      <c r="AU324" s="14">
        <v>0</v>
      </c>
      <c r="AV324" s="14">
        <v>0</v>
      </c>
      <c r="AW324" s="14"/>
      <c r="AX324" s="14"/>
      <c r="AY324" s="14"/>
      <c r="AZ324" s="14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  <c r="BL324" s="11"/>
      <c r="BM324" s="11"/>
      <c r="BN324" s="11"/>
    </row>
    <row r="325" spans="1:66" s="2" customFormat="1" ht="12" customHeight="1" x14ac:dyDescent="0.25">
      <c r="A325" s="9">
        <f t="shared" si="4"/>
        <v>1</v>
      </c>
      <c r="B325" s="6"/>
      <c r="C325" s="6"/>
      <c r="D325" s="24"/>
      <c r="E325" s="12" t="s">
        <v>38</v>
      </c>
      <c r="F325" s="25">
        <v>0</v>
      </c>
      <c r="G325" s="12" t="s">
        <v>996</v>
      </c>
      <c r="H325" s="12">
        <v>0</v>
      </c>
      <c r="I325" s="12">
        <v>0</v>
      </c>
      <c r="J325" s="12">
        <v>0</v>
      </c>
      <c r="K325" s="12">
        <v>0</v>
      </c>
      <c r="L325" s="13">
        <v>0</v>
      </c>
      <c r="M325" s="13">
        <v>0</v>
      </c>
      <c r="N325" s="12">
        <v>0</v>
      </c>
      <c r="O325" s="12">
        <v>0</v>
      </c>
      <c r="P325" s="12">
        <v>0</v>
      </c>
      <c r="Q325" s="14">
        <v>0</v>
      </c>
      <c r="R325" s="15">
        <v>69121.540000000008</v>
      </c>
      <c r="S325" s="16">
        <v>69121.540000000008</v>
      </c>
      <c r="T325" s="15">
        <v>31610.98</v>
      </c>
      <c r="U325" s="16">
        <v>0</v>
      </c>
      <c r="V325" s="15">
        <v>37510.560000000005</v>
      </c>
      <c r="W325" s="16">
        <v>0</v>
      </c>
      <c r="X325" s="15">
        <v>0</v>
      </c>
      <c r="Y325" s="16">
        <v>0</v>
      </c>
      <c r="Z325" s="15">
        <v>0</v>
      </c>
      <c r="AA325" s="16">
        <v>0</v>
      </c>
      <c r="AB325" s="15">
        <v>0</v>
      </c>
      <c r="AC325" s="16">
        <v>0</v>
      </c>
      <c r="AD325" s="15">
        <v>0</v>
      </c>
      <c r="AE325" s="16">
        <v>0</v>
      </c>
      <c r="AF325" s="15">
        <v>0</v>
      </c>
      <c r="AG325" s="16">
        <v>0</v>
      </c>
      <c r="AH325" s="15">
        <v>0</v>
      </c>
      <c r="AI325" s="15" t="s">
        <v>997</v>
      </c>
      <c r="AJ325" s="14">
        <v>0.66630787037037031</v>
      </c>
      <c r="AK325" s="17">
        <v>44152</v>
      </c>
      <c r="AL325" s="18" t="s">
        <v>291</v>
      </c>
      <c r="AM325" s="14" t="s">
        <v>292</v>
      </c>
      <c r="AN325" s="14" t="s">
        <v>36</v>
      </c>
      <c r="AO325" s="14" t="s">
        <v>998</v>
      </c>
      <c r="AP325" s="14" t="s">
        <v>37</v>
      </c>
      <c r="AQ325" s="14" t="s">
        <v>184</v>
      </c>
      <c r="AR325" s="14" t="s">
        <v>4</v>
      </c>
      <c r="AS325" s="14">
        <v>0</v>
      </c>
      <c r="AT325" s="14">
        <v>0</v>
      </c>
      <c r="AU325" s="14">
        <v>0</v>
      </c>
      <c r="AV325" s="14">
        <v>0</v>
      </c>
      <c r="AW325" s="14"/>
      <c r="AX325" s="14"/>
      <c r="AY325" s="14"/>
      <c r="AZ325" s="14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  <c r="BL325" s="11"/>
      <c r="BM325" s="11"/>
      <c r="BN325" s="11"/>
    </row>
    <row r="326" spans="1:66" s="2" customFormat="1" ht="12.75" x14ac:dyDescent="0.25">
      <c r="A326" s="9">
        <f t="shared" si="4"/>
        <v>1</v>
      </c>
      <c r="B326" s="6"/>
      <c r="C326" s="6"/>
      <c r="D326" s="24"/>
      <c r="E326" s="12" t="s">
        <v>38</v>
      </c>
      <c r="F326" s="25">
        <v>0</v>
      </c>
      <c r="G326" s="12" t="s">
        <v>999</v>
      </c>
      <c r="H326" s="12">
        <v>0</v>
      </c>
      <c r="I326" s="12">
        <v>0</v>
      </c>
      <c r="J326" s="12">
        <v>0</v>
      </c>
      <c r="K326" s="12">
        <v>0</v>
      </c>
      <c r="L326" s="13">
        <v>0</v>
      </c>
      <c r="M326" s="13">
        <v>0</v>
      </c>
      <c r="N326" s="12">
        <v>0</v>
      </c>
      <c r="O326" s="12">
        <v>0</v>
      </c>
      <c r="P326" s="12">
        <v>0</v>
      </c>
      <c r="Q326" s="14">
        <v>0</v>
      </c>
      <c r="R326" s="15">
        <v>697610.64</v>
      </c>
      <c r="S326" s="16">
        <v>697610.64</v>
      </c>
      <c r="T326" s="15">
        <v>528957.76</v>
      </c>
      <c r="U326" s="16">
        <v>0</v>
      </c>
      <c r="V326" s="15">
        <v>168652.88</v>
      </c>
      <c r="W326" s="16">
        <v>0</v>
      </c>
      <c r="X326" s="15">
        <v>0</v>
      </c>
      <c r="Y326" s="16">
        <v>0</v>
      </c>
      <c r="Z326" s="15">
        <v>0</v>
      </c>
      <c r="AA326" s="16">
        <v>0</v>
      </c>
      <c r="AB326" s="15">
        <v>0</v>
      </c>
      <c r="AC326" s="16">
        <v>0</v>
      </c>
      <c r="AD326" s="15">
        <v>0</v>
      </c>
      <c r="AE326" s="16">
        <v>0</v>
      </c>
      <c r="AF326" s="15">
        <v>0</v>
      </c>
      <c r="AG326" s="16">
        <v>0</v>
      </c>
      <c r="AH326" s="15">
        <v>0</v>
      </c>
      <c r="AI326" s="15" t="s">
        <v>1000</v>
      </c>
      <c r="AJ326" s="14">
        <v>0.34674768518518517</v>
      </c>
      <c r="AK326" s="17">
        <v>44144</v>
      </c>
      <c r="AL326" s="18" t="s">
        <v>291</v>
      </c>
      <c r="AM326" s="14" t="s">
        <v>292</v>
      </c>
      <c r="AN326" s="14" t="s">
        <v>36</v>
      </c>
      <c r="AO326" s="14" t="s">
        <v>1001</v>
      </c>
      <c r="AP326" s="14" t="s">
        <v>37</v>
      </c>
      <c r="AQ326" s="14" t="s">
        <v>184</v>
      </c>
      <c r="AR326" s="14" t="s">
        <v>4</v>
      </c>
      <c r="AS326" s="14">
        <v>0</v>
      </c>
      <c r="AT326" s="14">
        <v>0</v>
      </c>
      <c r="AU326" s="14">
        <v>0</v>
      </c>
      <c r="AV326" s="14">
        <v>0</v>
      </c>
      <c r="AW326" s="14"/>
      <c r="AX326" s="14"/>
      <c r="AY326" s="14"/>
      <c r="AZ326" s="14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  <c r="BL326" s="11"/>
      <c r="BM326" s="11"/>
      <c r="BN326" s="11"/>
    </row>
    <row r="327" spans="1:66" s="2" customFormat="1" ht="12.75" x14ac:dyDescent="0.25">
      <c r="A327" s="9">
        <f t="shared" si="4"/>
        <v>1</v>
      </c>
      <c r="B327" s="6"/>
      <c r="C327" s="6"/>
      <c r="D327" s="24"/>
      <c r="E327" s="12" t="s">
        <v>38</v>
      </c>
      <c r="F327" s="25">
        <v>0</v>
      </c>
      <c r="G327" s="12" t="s">
        <v>1002</v>
      </c>
      <c r="H327" s="12">
        <v>0</v>
      </c>
      <c r="I327" s="12">
        <v>0</v>
      </c>
      <c r="J327" s="12">
        <v>0</v>
      </c>
      <c r="K327" s="12">
        <v>0</v>
      </c>
      <c r="L327" s="13">
        <v>0</v>
      </c>
      <c r="M327" s="13">
        <v>0</v>
      </c>
      <c r="N327" s="12">
        <v>0</v>
      </c>
      <c r="O327" s="12">
        <v>0</v>
      </c>
      <c r="P327" s="12">
        <v>0</v>
      </c>
      <c r="Q327" s="14">
        <v>0</v>
      </c>
      <c r="R327" s="15">
        <v>96134.963199999998</v>
      </c>
      <c r="S327" s="16">
        <v>96134.963199999998</v>
      </c>
      <c r="T327" s="15">
        <v>28221</v>
      </c>
      <c r="U327" s="16">
        <v>0</v>
      </c>
      <c r="V327" s="15">
        <v>52100</v>
      </c>
      <c r="W327" s="16">
        <v>0</v>
      </c>
      <c r="X327" s="15">
        <v>5877.76</v>
      </c>
      <c r="Y327" s="16">
        <v>0</v>
      </c>
      <c r="Z327" s="15">
        <v>3647.0000000000005</v>
      </c>
      <c r="AA327" s="16">
        <v>0</v>
      </c>
      <c r="AB327" s="15">
        <v>6289.2031999999999</v>
      </c>
      <c r="AC327" s="16">
        <v>0</v>
      </c>
      <c r="AD327" s="15">
        <v>0</v>
      </c>
      <c r="AE327" s="16">
        <v>0</v>
      </c>
      <c r="AF327" s="15">
        <v>0</v>
      </c>
      <c r="AG327" s="16">
        <v>0</v>
      </c>
      <c r="AH327" s="15">
        <v>0</v>
      </c>
      <c r="AI327" s="15" t="s">
        <v>1003</v>
      </c>
      <c r="AJ327" s="14">
        <v>0.55118055555555556</v>
      </c>
      <c r="AK327" s="17">
        <v>44154</v>
      </c>
      <c r="AL327" s="18" t="s">
        <v>291</v>
      </c>
      <c r="AM327" s="14" t="s">
        <v>292</v>
      </c>
      <c r="AN327" s="14" t="s">
        <v>36</v>
      </c>
      <c r="AO327" s="14" t="s">
        <v>1004</v>
      </c>
      <c r="AP327" s="14" t="s">
        <v>37</v>
      </c>
      <c r="AQ327" s="14" t="s">
        <v>184</v>
      </c>
      <c r="AR327" s="14" t="s">
        <v>4</v>
      </c>
      <c r="AS327" s="14">
        <v>0</v>
      </c>
      <c r="AT327" s="14">
        <v>0</v>
      </c>
      <c r="AU327" s="14">
        <v>0</v>
      </c>
      <c r="AV327" s="14">
        <v>0</v>
      </c>
      <c r="AW327" s="14"/>
      <c r="AX327" s="14"/>
      <c r="AY327" s="14"/>
      <c r="AZ327" s="14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  <c r="BL327" s="11"/>
      <c r="BM327" s="11"/>
      <c r="BN327" s="11"/>
    </row>
    <row r="328" spans="1:66" s="2" customFormat="1" ht="12.75" x14ac:dyDescent="0.25">
      <c r="A328" s="9">
        <f t="shared" si="4"/>
        <v>1</v>
      </c>
      <c r="B328" s="6"/>
      <c r="C328" s="6"/>
      <c r="D328" s="24"/>
      <c r="E328" s="12" t="s">
        <v>38</v>
      </c>
      <c r="F328" s="25">
        <v>0</v>
      </c>
      <c r="G328" s="12" t="s">
        <v>1005</v>
      </c>
      <c r="H328" s="12">
        <v>0</v>
      </c>
      <c r="I328" s="12">
        <v>0</v>
      </c>
      <c r="J328" s="12">
        <v>0</v>
      </c>
      <c r="K328" s="12">
        <v>0</v>
      </c>
      <c r="L328" s="13">
        <v>0</v>
      </c>
      <c r="M328" s="13">
        <v>0</v>
      </c>
      <c r="N328" s="12">
        <v>0</v>
      </c>
      <c r="O328" s="12">
        <v>0</v>
      </c>
      <c r="P328" s="12">
        <v>0</v>
      </c>
      <c r="Q328" s="14">
        <v>0</v>
      </c>
      <c r="R328" s="15">
        <v>2635717</v>
      </c>
      <c r="S328" s="16">
        <v>2635717</v>
      </c>
      <c r="T328" s="15">
        <v>2635717</v>
      </c>
      <c r="U328" s="16">
        <v>0</v>
      </c>
      <c r="V328" s="15">
        <v>0</v>
      </c>
      <c r="W328" s="16">
        <v>0</v>
      </c>
      <c r="X328" s="15">
        <v>0</v>
      </c>
      <c r="Y328" s="16">
        <v>0</v>
      </c>
      <c r="Z328" s="15">
        <v>0</v>
      </c>
      <c r="AA328" s="16">
        <v>0</v>
      </c>
      <c r="AB328" s="15">
        <v>0</v>
      </c>
      <c r="AC328" s="16">
        <v>0</v>
      </c>
      <c r="AD328" s="15">
        <v>0</v>
      </c>
      <c r="AE328" s="16">
        <v>0</v>
      </c>
      <c r="AF328" s="15">
        <v>0</v>
      </c>
      <c r="AG328" s="16">
        <v>0</v>
      </c>
      <c r="AH328" s="15">
        <v>0</v>
      </c>
      <c r="AI328" s="15" t="s">
        <v>1006</v>
      </c>
      <c r="AJ328" s="14">
        <v>0.63987268518518514</v>
      </c>
      <c r="AK328" s="17">
        <v>44155</v>
      </c>
      <c r="AL328" s="18" t="s">
        <v>291</v>
      </c>
      <c r="AM328" s="14" t="s">
        <v>292</v>
      </c>
      <c r="AN328" s="14" t="s">
        <v>36</v>
      </c>
      <c r="AO328" s="14" t="s">
        <v>1007</v>
      </c>
      <c r="AP328" s="14" t="s">
        <v>37</v>
      </c>
      <c r="AQ328" s="14" t="s">
        <v>184</v>
      </c>
      <c r="AR328" s="14" t="s">
        <v>4</v>
      </c>
      <c r="AS328" s="14">
        <v>0</v>
      </c>
      <c r="AT328" s="14">
        <v>0</v>
      </c>
      <c r="AU328" s="14">
        <v>0</v>
      </c>
      <c r="AV328" s="14">
        <v>0</v>
      </c>
      <c r="AW328" s="14"/>
      <c r="AX328" s="14"/>
      <c r="AY328" s="14"/>
      <c r="AZ328" s="14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  <c r="BL328" s="11"/>
      <c r="BM328" s="11"/>
      <c r="BN328" s="11"/>
    </row>
    <row r="329" spans="1:66" s="2" customFormat="1" ht="12.75" x14ac:dyDescent="0.25">
      <c r="A329" s="9">
        <f t="shared" si="4"/>
        <v>1</v>
      </c>
      <c r="B329" s="6"/>
      <c r="C329" s="6"/>
      <c r="D329" s="24"/>
      <c r="E329" s="12" t="s">
        <v>38</v>
      </c>
      <c r="F329" s="25">
        <v>0</v>
      </c>
      <c r="G329" s="12" t="s">
        <v>1008</v>
      </c>
      <c r="H329" s="12">
        <v>0</v>
      </c>
      <c r="I329" s="12">
        <v>0</v>
      </c>
      <c r="J329" s="12">
        <v>0</v>
      </c>
      <c r="K329" s="12">
        <v>0</v>
      </c>
      <c r="L329" s="13">
        <v>0</v>
      </c>
      <c r="M329" s="13">
        <v>0</v>
      </c>
      <c r="N329" s="12">
        <v>0</v>
      </c>
      <c r="O329" s="12">
        <v>0</v>
      </c>
      <c r="P329" s="12">
        <v>0</v>
      </c>
      <c r="Q329" s="14">
        <v>0</v>
      </c>
      <c r="R329" s="15">
        <v>3905695.1999999997</v>
      </c>
      <c r="S329" s="16">
        <v>3905695.1999999997</v>
      </c>
      <c r="T329" s="15">
        <v>3905695.1999999997</v>
      </c>
      <c r="U329" s="16">
        <v>0</v>
      </c>
      <c r="V329" s="15">
        <v>0</v>
      </c>
      <c r="W329" s="16">
        <v>0</v>
      </c>
      <c r="X329" s="15">
        <v>0</v>
      </c>
      <c r="Y329" s="16">
        <v>0</v>
      </c>
      <c r="Z329" s="15">
        <v>0</v>
      </c>
      <c r="AA329" s="16">
        <v>0</v>
      </c>
      <c r="AB329" s="15">
        <v>0</v>
      </c>
      <c r="AC329" s="16">
        <v>0</v>
      </c>
      <c r="AD329" s="15">
        <v>0</v>
      </c>
      <c r="AE329" s="16">
        <v>0</v>
      </c>
      <c r="AF329" s="15">
        <v>0</v>
      </c>
      <c r="AG329" s="16">
        <v>0</v>
      </c>
      <c r="AH329" s="15">
        <v>0</v>
      </c>
      <c r="AI329" s="15" t="s">
        <v>1009</v>
      </c>
      <c r="AJ329" s="14">
        <v>0.4755092592592593</v>
      </c>
      <c r="AK329" s="17">
        <v>44159</v>
      </c>
      <c r="AL329" s="18" t="s">
        <v>291</v>
      </c>
      <c r="AM329" s="14" t="s">
        <v>292</v>
      </c>
      <c r="AN329" s="14" t="s">
        <v>36</v>
      </c>
      <c r="AO329" s="14" t="s">
        <v>1010</v>
      </c>
      <c r="AP329" s="14" t="s">
        <v>37</v>
      </c>
      <c r="AQ329" s="14" t="s">
        <v>184</v>
      </c>
      <c r="AR329" s="14" t="s">
        <v>4</v>
      </c>
      <c r="AS329" s="14">
        <v>0</v>
      </c>
      <c r="AT329" s="14">
        <v>0</v>
      </c>
      <c r="AU329" s="14">
        <v>0</v>
      </c>
      <c r="AV329" s="14">
        <v>0</v>
      </c>
      <c r="AW329" s="14"/>
      <c r="AX329" s="14"/>
      <c r="AY329" s="14"/>
      <c r="AZ329" s="14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  <c r="BL329" s="11"/>
      <c r="BM329" s="11"/>
      <c r="BN329" s="11"/>
    </row>
    <row r="330" spans="1:66" s="2" customFormat="1" ht="12.75" x14ac:dyDescent="0.25">
      <c r="A330" s="9">
        <f t="shared" si="4"/>
        <v>1</v>
      </c>
      <c r="B330" s="6"/>
      <c r="C330" s="6"/>
      <c r="D330" s="24"/>
      <c r="E330" s="12" t="s">
        <v>38</v>
      </c>
      <c r="F330" s="25">
        <v>0</v>
      </c>
      <c r="G330" s="12" t="s">
        <v>1011</v>
      </c>
      <c r="H330" s="12">
        <v>0</v>
      </c>
      <c r="I330" s="12">
        <v>0</v>
      </c>
      <c r="J330" s="12">
        <v>0</v>
      </c>
      <c r="K330" s="12">
        <v>0</v>
      </c>
      <c r="L330" s="13">
        <v>0</v>
      </c>
      <c r="M330" s="13">
        <v>0</v>
      </c>
      <c r="N330" s="12">
        <v>0</v>
      </c>
      <c r="O330" s="12">
        <v>0</v>
      </c>
      <c r="P330" s="12">
        <v>0</v>
      </c>
      <c r="Q330" s="14">
        <v>0</v>
      </c>
      <c r="R330" s="15">
        <v>16844429.18</v>
      </c>
      <c r="S330" s="16">
        <v>16844429.18</v>
      </c>
      <c r="T330" s="15">
        <v>16844429.18</v>
      </c>
      <c r="U330" s="16">
        <v>0</v>
      </c>
      <c r="V330" s="15">
        <v>0</v>
      </c>
      <c r="W330" s="16">
        <v>0</v>
      </c>
      <c r="X330" s="15">
        <v>0</v>
      </c>
      <c r="Y330" s="16">
        <v>0</v>
      </c>
      <c r="Z330" s="15">
        <v>0</v>
      </c>
      <c r="AA330" s="16">
        <v>0</v>
      </c>
      <c r="AB330" s="15">
        <v>0</v>
      </c>
      <c r="AC330" s="16">
        <v>0</v>
      </c>
      <c r="AD330" s="15">
        <v>0</v>
      </c>
      <c r="AE330" s="16">
        <v>0</v>
      </c>
      <c r="AF330" s="15">
        <v>0</v>
      </c>
      <c r="AG330" s="16">
        <v>0</v>
      </c>
      <c r="AH330" s="15">
        <v>0</v>
      </c>
      <c r="AI330" s="15" t="s">
        <v>1012</v>
      </c>
      <c r="AJ330" s="14">
        <v>0.69958333333333333</v>
      </c>
      <c r="AK330" s="17">
        <v>44173</v>
      </c>
      <c r="AL330" s="18" t="s">
        <v>291</v>
      </c>
      <c r="AM330" s="14" t="s">
        <v>292</v>
      </c>
      <c r="AN330" s="14" t="s">
        <v>36</v>
      </c>
      <c r="AO330" s="14" t="s">
        <v>1013</v>
      </c>
      <c r="AP330" s="14" t="s">
        <v>37</v>
      </c>
      <c r="AQ330" s="14" t="s">
        <v>184</v>
      </c>
      <c r="AR330" s="14" t="s">
        <v>4</v>
      </c>
      <c r="AS330" s="14">
        <v>0</v>
      </c>
      <c r="AT330" s="14">
        <v>0</v>
      </c>
      <c r="AU330" s="14">
        <v>0</v>
      </c>
      <c r="AV330" s="14">
        <v>0</v>
      </c>
      <c r="AW330" s="14"/>
      <c r="AX330" s="14"/>
      <c r="AY330" s="14"/>
      <c r="AZ330" s="14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  <c r="BL330" s="11"/>
      <c r="BM330" s="11"/>
      <c r="BN330" s="11"/>
    </row>
    <row r="331" spans="1:66" s="2" customFormat="1" ht="12.75" x14ac:dyDescent="0.25">
      <c r="A331" s="9">
        <f t="shared" si="4"/>
        <v>1</v>
      </c>
      <c r="B331" s="6"/>
      <c r="C331" s="6"/>
      <c r="D331" s="24"/>
      <c r="E331" s="12" t="s">
        <v>38</v>
      </c>
      <c r="F331" s="25">
        <v>0</v>
      </c>
      <c r="G331" s="12" t="s">
        <v>1014</v>
      </c>
      <c r="H331" s="12">
        <v>0</v>
      </c>
      <c r="I331" s="12">
        <v>0</v>
      </c>
      <c r="J331" s="12">
        <v>0</v>
      </c>
      <c r="K331" s="12">
        <v>0</v>
      </c>
      <c r="L331" s="13">
        <v>0</v>
      </c>
      <c r="M331" s="13">
        <v>0</v>
      </c>
      <c r="N331" s="12">
        <v>0</v>
      </c>
      <c r="O331" s="12">
        <v>0</v>
      </c>
      <c r="P331" s="12">
        <v>0</v>
      </c>
      <c r="Q331" s="14">
        <v>0</v>
      </c>
      <c r="R331" s="15">
        <v>25768867.780000001</v>
      </c>
      <c r="S331" s="16">
        <v>25768867.780000001</v>
      </c>
      <c r="T331" s="15">
        <v>18271118.18</v>
      </c>
      <c r="U331" s="16">
        <v>0</v>
      </c>
      <c r="V331" s="15">
        <v>7497749.5999999996</v>
      </c>
      <c r="W331" s="16">
        <v>0</v>
      </c>
      <c r="X331" s="15">
        <v>0</v>
      </c>
      <c r="Y331" s="16">
        <v>0</v>
      </c>
      <c r="Z331" s="15">
        <v>0</v>
      </c>
      <c r="AA331" s="16">
        <v>0</v>
      </c>
      <c r="AB331" s="15">
        <v>0</v>
      </c>
      <c r="AC331" s="16">
        <v>0</v>
      </c>
      <c r="AD331" s="15">
        <v>0</v>
      </c>
      <c r="AE331" s="16">
        <v>0</v>
      </c>
      <c r="AF331" s="15">
        <v>0</v>
      </c>
      <c r="AG331" s="16">
        <v>0</v>
      </c>
      <c r="AH331" s="15">
        <v>0</v>
      </c>
      <c r="AI331" s="15" t="s">
        <v>1015</v>
      </c>
      <c r="AJ331" s="14">
        <v>0.67471064814814818</v>
      </c>
      <c r="AK331" s="17">
        <v>44182</v>
      </c>
      <c r="AL331" s="18" t="s">
        <v>291</v>
      </c>
      <c r="AM331" s="14" t="s">
        <v>292</v>
      </c>
      <c r="AN331" s="14" t="s">
        <v>36</v>
      </c>
      <c r="AO331" s="14" t="s">
        <v>1016</v>
      </c>
      <c r="AP331" s="14" t="s">
        <v>37</v>
      </c>
      <c r="AQ331" s="14" t="s">
        <v>184</v>
      </c>
      <c r="AR331" s="14" t="s">
        <v>4</v>
      </c>
      <c r="AS331" s="14">
        <v>0</v>
      </c>
      <c r="AT331" s="14">
        <v>0</v>
      </c>
      <c r="AU331" s="14">
        <v>0</v>
      </c>
      <c r="AV331" s="14">
        <v>0</v>
      </c>
      <c r="AW331" s="14"/>
      <c r="AX331" s="14"/>
      <c r="AY331" s="14"/>
      <c r="AZ331" s="14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  <c r="BL331" s="11"/>
      <c r="BM331" s="11"/>
      <c r="BN331" s="11"/>
    </row>
    <row r="332" spans="1:66" s="2" customFormat="1" ht="12.75" x14ac:dyDescent="0.25">
      <c r="A332" s="9">
        <f t="shared" ref="A332:A395" si="5">IF(G332&gt;0,1,0)</f>
        <v>1</v>
      </c>
      <c r="B332" s="6"/>
      <c r="C332" s="6"/>
      <c r="D332" s="24"/>
      <c r="E332" s="12" t="s">
        <v>38</v>
      </c>
      <c r="F332" s="25">
        <v>0</v>
      </c>
      <c r="G332" s="12" t="s">
        <v>1017</v>
      </c>
      <c r="H332" s="12">
        <v>0</v>
      </c>
      <c r="I332" s="12">
        <v>0</v>
      </c>
      <c r="J332" s="12">
        <v>0</v>
      </c>
      <c r="K332" s="12">
        <v>0</v>
      </c>
      <c r="L332" s="13">
        <v>0</v>
      </c>
      <c r="M332" s="13">
        <v>0</v>
      </c>
      <c r="N332" s="12">
        <v>0</v>
      </c>
      <c r="O332" s="12">
        <v>0</v>
      </c>
      <c r="P332" s="12">
        <v>0</v>
      </c>
      <c r="Q332" s="14">
        <v>0</v>
      </c>
      <c r="R332" s="15">
        <v>1058650.52</v>
      </c>
      <c r="S332" s="16">
        <v>1058650.52</v>
      </c>
      <c r="T332" s="15">
        <v>724049.16000000015</v>
      </c>
      <c r="U332" s="16">
        <v>0</v>
      </c>
      <c r="V332" s="15">
        <v>334601.36</v>
      </c>
      <c r="W332" s="16">
        <v>0</v>
      </c>
      <c r="X332" s="15">
        <v>0</v>
      </c>
      <c r="Y332" s="16">
        <v>0</v>
      </c>
      <c r="Z332" s="15">
        <v>0</v>
      </c>
      <c r="AA332" s="16">
        <v>0</v>
      </c>
      <c r="AB332" s="15">
        <v>0</v>
      </c>
      <c r="AC332" s="16">
        <v>0</v>
      </c>
      <c r="AD332" s="15">
        <v>0</v>
      </c>
      <c r="AE332" s="16">
        <v>0</v>
      </c>
      <c r="AF332" s="15">
        <v>0</v>
      </c>
      <c r="AG332" s="16">
        <v>0</v>
      </c>
      <c r="AH332" s="15">
        <v>0</v>
      </c>
      <c r="AI332" s="15" t="s">
        <v>1018</v>
      </c>
      <c r="AJ332" s="14">
        <v>0.57146990740740744</v>
      </c>
      <c r="AK332" s="17">
        <v>44175</v>
      </c>
      <c r="AL332" s="18" t="s">
        <v>291</v>
      </c>
      <c r="AM332" s="14" t="s">
        <v>292</v>
      </c>
      <c r="AN332" s="14" t="s">
        <v>36</v>
      </c>
      <c r="AO332" s="14" t="s">
        <v>1019</v>
      </c>
      <c r="AP332" s="14" t="s">
        <v>37</v>
      </c>
      <c r="AQ332" s="14" t="s">
        <v>184</v>
      </c>
      <c r="AR332" s="14" t="s">
        <v>4</v>
      </c>
      <c r="AS332" s="14">
        <v>0</v>
      </c>
      <c r="AT332" s="14">
        <v>0</v>
      </c>
      <c r="AU332" s="14">
        <v>0</v>
      </c>
      <c r="AV332" s="14">
        <v>0</v>
      </c>
      <c r="AW332" s="14"/>
      <c r="AX332" s="14"/>
      <c r="AY332" s="14"/>
      <c r="AZ332" s="14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  <c r="BL332" s="11"/>
      <c r="BM332" s="11"/>
      <c r="BN332" s="11"/>
    </row>
    <row r="333" spans="1:66" s="2" customFormat="1" ht="12.75" x14ac:dyDescent="0.25">
      <c r="A333" s="9">
        <f t="shared" si="5"/>
        <v>1</v>
      </c>
      <c r="B333" s="6"/>
      <c r="C333" s="6"/>
      <c r="D333" s="24"/>
      <c r="E333" s="12" t="s">
        <v>38</v>
      </c>
      <c r="F333" s="25">
        <v>0</v>
      </c>
      <c r="G333" s="12" t="s">
        <v>1020</v>
      </c>
      <c r="H333" s="12">
        <v>0</v>
      </c>
      <c r="I333" s="12">
        <v>0</v>
      </c>
      <c r="J333" s="12">
        <v>0</v>
      </c>
      <c r="K333" s="12">
        <v>0</v>
      </c>
      <c r="L333" s="13">
        <v>0</v>
      </c>
      <c r="M333" s="13">
        <v>0</v>
      </c>
      <c r="N333" s="12">
        <v>0</v>
      </c>
      <c r="O333" s="12">
        <v>0</v>
      </c>
      <c r="P333" s="12">
        <v>0</v>
      </c>
      <c r="Q333" s="14">
        <v>0</v>
      </c>
      <c r="R333" s="15">
        <v>185153</v>
      </c>
      <c r="S333" s="16">
        <v>185153</v>
      </c>
      <c r="T333" s="15">
        <v>185153</v>
      </c>
      <c r="U333" s="16">
        <v>0</v>
      </c>
      <c r="V333" s="15">
        <v>0</v>
      </c>
      <c r="W333" s="16">
        <v>0</v>
      </c>
      <c r="X333" s="15">
        <v>0</v>
      </c>
      <c r="Y333" s="16">
        <v>0</v>
      </c>
      <c r="Z333" s="15">
        <v>0</v>
      </c>
      <c r="AA333" s="16">
        <v>0</v>
      </c>
      <c r="AB333" s="15">
        <v>0</v>
      </c>
      <c r="AC333" s="16">
        <v>0</v>
      </c>
      <c r="AD333" s="15">
        <v>0</v>
      </c>
      <c r="AE333" s="16">
        <v>0</v>
      </c>
      <c r="AF333" s="15">
        <v>0</v>
      </c>
      <c r="AG333" s="16">
        <v>0</v>
      </c>
      <c r="AH333" s="15">
        <v>0</v>
      </c>
      <c r="AI333" s="15" t="s">
        <v>1021</v>
      </c>
      <c r="AJ333" s="14">
        <v>0.58851851851851855</v>
      </c>
      <c r="AK333" s="17">
        <v>44176</v>
      </c>
      <c r="AL333" s="18" t="s">
        <v>291</v>
      </c>
      <c r="AM333" s="14" t="s">
        <v>292</v>
      </c>
      <c r="AN333" s="14" t="s">
        <v>36</v>
      </c>
      <c r="AO333" s="14" t="s">
        <v>1022</v>
      </c>
      <c r="AP333" s="14" t="s">
        <v>37</v>
      </c>
      <c r="AQ333" s="14" t="s">
        <v>184</v>
      </c>
      <c r="AR333" s="14" t="s">
        <v>4</v>
      </c>
      <c r="AS333" s="14">
        <v>0</v>
      </c>
      <c r="AT333" s="14">
        <v>0</v>
      </c>
      <c r="AU333" s="14">
        <v>0</v>
      </c>
      <c r="AV333" s="14">
        <v>0</v>
      </c>
      <c r="AW333" s="14"/>
      <c r="AX333" s="14"/>
      <c r="AY333" s="14"/>
      <c r="AZ333" s="14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  <c r="BL333" s="11"/>
      <c r="BM333" s="11"/>
      <c r="BN333" s="11"/>
    </row>
    <row r="334" spans="1:66" s="2" customFormat="1" ht="12.75" x14ac:dyDescent="0.25">
      <c r="A334" s="9">
        <f t="shared" si="5"/>
        <v>1</v>
      </c>
      <c r="B334" s="6"/>
      <c r="C334" s="6"/>
      <c r="D334" s="24"/>
      <c r="E334" s="12" t="s">
        <v>38</v>
      </c>
      <c r="F334" s="25">
        <v>0</v>
      </c>
      <c r="G334" s="12" t="s">
        <v>1023</v>
      </c>
      <c r="H334" s="12">
        <v>0</v>
      </c>
      <c r="I334" s="12">
        <v>0</v>
      </c>
      <c r="J334" s="12">
        <v>0</v>
      </c>
      <c r="K334" s="12">
        <v>0</v>
      </c>
      <c r="L334" s="13">
        <v>0</v>
      </c>
      <c r="M334" s="13">
        <v>0</v>
      </c>
      <c r="N334" s="12">
        <v>0</v>
      </c>
      <c r="O334" s="12">
        <v>0</v>
      </c>
      <c r="P334" s="12">
        <v>0</v>
      </c>
      <c r="Q334" s="14">
        <v>0</v>
      </c>
      <c r="R334" s="15">
        <v>43776.112174999995</v>
      </c>
      <c r="S334" s="16">
        <v>43776.112174999995</v>
      </c>
      <c r="T334" s="15">
        <v>11837.530000000002</v>
      </c>
      <c r="U334" s="16">
        <v>0</v>
      </c>
      <c r="V334" s="15">
        <v>18490</v>
      </c>
      <c r="W334" s="16">
        <v>0</v>
      </c>
      <c r="X334" s="15">
        <v>4965.1544999999996</v>
      </c>
      <c r="Y334" s="16">
        <v>0</v>
      </c>
      <c r="Z334" s="15">
        <v>2773.5</v>
      </c>
      <c r="AA334" s="16">
        <v>0</v>
      </c>
      <c r="AB334" s="15">
        <v>5709.927674999999</v>
      </c>
      <c r="AC334" s="16">
        <v>0</v>
      </c>
      <c r="AD334" s="15">
        <v>0</v>
      </c>
      <c r="AE334" s="16">
        <v>0</v>
      </c>
      <c r="AF334" s="15">
        <v>0</v>
      </c>
      <c r="AG334" s="16">
        <v>0</v>
      </c>
      <c r="AH334" s="15">
        <v>0</v>
      </c>
      <c r="AI334" s="15" t="s">
        <v>1024</v>
      </c>
      <c r="AJ334" s="14">
        <v>0.36425925925925928</v>
      </c>
      <c r="AK334" s="17">
        <v>44356</v>
      </c>
      <c r="AL334" s="18" t="s">
        <v>40</v>
      </c>
      <c r="AM334" s="14" t="s">
        <v>410</v>
      </c>
      <c r="AN334" s="14" t="s">
        <v>36</v>
      </c>
      <c r="AO334" s="14" t="s">
        <v>1025</v>
      </c>
      <c r="AP334" s="14" t="s">
        <v>37</v>
      </c>
      <c r="AQ334" s="14" t="s">
        <v>184</v>
      </c>
      <c r="AR334" s="14" t="s">
        <v>4</v>
      </c>
      <c r="AS334" s="14">
        <v>0</v>
      </c>
      <c r="AT334" s="14">
        <v>0</v>
      </c>
      <c r="AU334" s="14">
        <v>0</v>
      </c>
      <c r="AV334" s="14">
        <v>0</v>
      </c>
      <c r="AW334" s="14"/>
      <c r="AX334" s="14"/>
      <c r="AY334" s="14"/>
      <c r="AZ334" s="14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  <c r="BL334" s="11"/>
      <c r="BM334" s="11"/>
      <c r="BN334" s="11"/>
    </row>
    <row r="335" spans="1:66" s="2" customFormat="1" ht="12.75" x14ac:dyDescent="0.25">
      <c r="A335" s="9">
        <f t="shared" si="5"/>
        <v>1</v>
      </c>
      <c r="B335" s="6"/>
      <c r="C335" s="6"/>
      <c r="D335" s="24"/>
      <c r="E335" s="12" t="s">
        <v>38</v>
      </c>
      <c r="F335" s="25">
        <v>0</v>
      </c>
      <c r="G335" s="12" t="s">
        <v>1026</v>
      </c>
      <c r="H335" s="12">
        <v>0</v>
      </c>
      <c r="I335" s="12">
        <v>0</v>
      </c>
      <c r="J335" s="12">
        <v>0</v>
      </c>
      <c r="K335" s="12">
        <v>0</v>
      </c>
      <c r="L335" s="13">
        <v>0</v>
      </c>
      <c r="M335" s="13">
        <v>0</v>
      </c>
      <c r="N335" s="12">
        <v>0</v>
      </c>
      <c r="O335" s="12">
        <v>0</v>
      </c>
      <c r="P335" s="12">
        <v>0</v>
      </c>
      <c r="Q335" s="14">
        <v>0</v>
      </c>
      <c r="R335" s="15">
        <v>741647.72</v>
      </c>
      <c r="S335" s="16">
        <v>741647.72</v>
      </c>
      <c r="T335" s="15">
        <v>488031.95999999996</v>
      </c>
      <c r="U335" s="16">
        <v>0</v>
      </c>
      <c r="V335" s="15">
        <v>253615.76</v>
      </c>
      <c r="W335" s="16">
        <v>0</v>
      </c>
      <c r="X335" s="15">
        <v>0</v>
      </c>
      <c r="Y335" s="16">
        <v>0</v>
      </c>
      <c r="Z335" s="15">
        <v>0</v>
      </c>
      <c r="AA335" s="16">
        <v>0</v>
      </c>
      <c r="AB335" s="15">
        <v>0</v>
      </c>
      <c r="AC335" s="16">
        <v>0</v>
      </c>
      <c r="AD335" s="15">
        <v>0</v>
      </c>
      <c r="AE335" s="16">
        <v>0</v>
      </c>
      <c r="AF335" s="15">
        <v>0</v>
      </c>
      <c r="AG335" s="16">
        <v>0</v>
      </c>
      <c r="AH335" s="15">
        <v>0</v>
      </c>
      <c r="AI335" s="15" t="s">
        <v>1027</v>
      </c>
      <c r="AJ335" s="14">
        <v>0.69150462962962955</v>
      </c>
      <c r="AK335" s="17">
        <v>44186</v>
      </c>
      <c r="AL335" s="18" t="s">
        <v>40</v>
      </c>
      <c r="AM335" s="14" t="s">
        <v>410</v>
      </c>
      <c r="AN335" s="14" t="s">
        <v>36</v>
      </c>
      <c r="AO335" s="14" t="s">
        <v>1028</v>
      </c>
      <c r="AP335" s="14" t="s">
        <v>37</v>
      </c>
      <c r="AQ335" s="14" t="s">
        <v>184</v>
      </c>
      <c r="AR335" s="14" t="s">
        <v>4</v>
      </c>
      <c r="AS335" s="14">
        <v>0</v>
      </c>
      <c r="AT335" s="14">
        <v>0</v>
      </c>
      <c r="AU335" s="14">
        <v>0</v>
      </c>
      <c r="AV335" s="14">
        <v>0</v>
      </c>
      <c r="AW335" s="14"/>
      <c r="AX335" s="14"/>
      <c r="AY335" s="14"/>
      <c r="AZ335" s="14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  <c r="BL335" s="11"/>
      <c r="BM335" s="11"/>
      <c r="BN335" s="11"/>
    </row>
    <row r="336" spans="1:66" s="2" customFormat="1" ht="12.75" x14ac:dyDescent="0.25">
      <c r="A336" s="9">
        <f t="shared" si="5"/>
        <v>1</v>
      </c>
      <c r="B336" s="6"/>
      <c r="C336" s="6"/>
      <c r="D336" s="24"/>
      <c r="E336" s="12" t="s">
        <v>38</v>
      </c>
      <c r="F336" s="25">
        <v>0</v>
      </c>
      <c r="G336" s="12" t="s">
        <v>1029</v>
      </c>
      <c r="H336" s="12">
        <v>0</v>
      </c>
      <c r="I336" s="12">
        <v>0</v>
      </c>
      <c r="J336" s="12">
        <v>0</v>
      </c>
      <c r="K336" s="12">
        <v>0</v>
      </c>
      <c r="L336" s="13">
        <v>0</v>
      </c>
      <c r="M336" s="13">
        <v>0</v>
      </c>
      <c r="N336" s="12">
        <v>0</v>
      </c>
      <c r="O336" s="12">
        <v>0</v>
      </c>
      <c r="P336" s="12">
        <v>0</v>
      </c>
      <c r="Q336" s="14">
        <v>0</v>
      </c>
      <c r="R336" s="15">
        <v>9887173.5099999998</v>
      </c>
      <c r="S336" s="16">
        <v>9887173.5099999998</v>
      </c>
      <c r="T336" s="15">
        <v>6141069.3600000003</v>
      </c>
      <c r="U336" s="16">
        <v>0</v>
      </c>
      <c r="V336" s="15">
        <v>3746104.15</v>
      </c>
      <c r="W336" s="16">
        <v>0</v>
      </c>
      <c r="X336" s="15">
        <v>0</v>
      </c>
      <c r="Y336" s="16">
        <v>0</v>
      </c>
      <c r="Z336" s="15">
        <v>0</v>
      </c>
      <c r="AA336" s="16">
        <v>0</v>
      </c>
      <c r="AB336" s="15">
        <v>0</v>
      </c>
      <c r="AC336" s="16">
        <v>0</v>
      </c>
      <c r="AD336" s="15">
        <v>0</v>
      </c>
      <c r="AE336" s="16">
        <v>0</v>
      </c>
      <c r="AF336" s="15">
        <v>0</v>
      </c>
      <c r="AG336" s="16">
        <v>0</v>
      </c>
      <c r="AH336" s="15">
        <v>0</v>
      </c>
      <c r="AI336" s="15" t="s">
        <v>1030</v>
      </c>
      <c r="AJ336" s="14">
        <v>0.5133564814814815</v>
      </c>
      <c r="AK336" s="17">
        <v>44189</v>
      </c>
      <c r="AL336" s="18" t="s">
        <v>291</v>
      </c>
      <c r="AM336" s="14" t="s">
        <v>292</v>
      </c>
      <c r="AN336" s="14" t="s">
        <v>36</v>
      </c>
      <c r="AO336" s="14" t="s">
        <v>1031</v>
      </c>
      <c r="AP336" s="14" t="s">
        <v>37</v>
      </c>
      <c r="AQ336" s="14" t="s">
        <v>184</v>
      </c>
      <c r="AR336" s="14" t="s">
        <v>4</v>
      </c>
      <c r="AS336" s="14">
        <v>0</v>
      </c>
      <c r="AT336" s="14">
        <v>0</v>
      </c>
      <c r="AU336" s="14">
        <v>0</v>
      </c>
      <c r="AV336" s="14">
        <v>0</v>
      </c>
      <c r="AW336" s="14"/>
      <c r="AX336" s="14"/>
      <c r="AY336" s="14"/>
      <c r="AZ336" s="14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  <c r="BL336" s="11"/>
      <c r="BM336" s="11"/>
      <c r="BN336" s="11"/>
    </row>
    <row r="337" spans="1:66" s="2" customFormat="1" ht="12.75" x14ac:dyDescent="0.25">
      <c r="A337" s="9">
        <f t="shared" si="5"/>
        <v>1</v>
      </c>
      <c r="B337" s="6"/>
      <c r="C337" s="6"/>
      <c r="D337" s="24"/>
      <c r="E337" s="12" t="s">
        <v>38</v>
      </c>
      <c r="F337" s="25">
        <v>0</v>
      </c>
      <c r="G337" s="12" t="s">
        <v>1032</v>
      </c>
      <c r="H337" s="12">
        <v>0</v>
      </c>
      <c r="I337" s="12">
        <v>0</v>
      </c>
      <c r="J337" s="12">
        <v>0</v>
      </c>
      <c r="K337" s="12">
        <v>0</v>
      </c>
      <c r="L337" s="13">
        <v>0</v>
      </c>
      <c r="M337" s="13">
        <v>0</v>
      </c>
      <c r="N337" s="12">
        <v>0</v>
      </c>
      <c r="O337" s="12">
        <v>0</v>
      </c>
      <c r="P337" s="12">
        <v>0</v>
      </c>
      <c r="Q337" s="14">
        <v>0</v>
      </c>
      <c r="R337" s="15">
        <v>933887.47</v>
      </c>
      <c r="S337" s="16">
        <v>933887.47</v>
      </c>
      <c r="T337" s="15">
        <v>609381.54999999993</v>
      </c>
      <c r="U337" s="16">
        <v>0</v>
      </c>
      <c r="V337" s="15">
        <v>324505.92</v>
      </c>
      <c r="W337" s="16">
        <v>0</v>
      </c>
      <c r="X337" s="15">
        <v>0</v>
      </c>
      <c r="Y337" s="16">
        <v>0</v>
      </c>
      <c r="Z337" s="15">
        <v>0</v>
      </c>
      <c r="AA337" s="16">
        <v>0</v>
      </c>
      <c r="AB337" s="15">
        <v>0</v>
      </c>
      <c r="AC337" s="16">
        <v>0</v>
      </c>
      <c r="AD337" s="15">
        <v>0</v>
      </c>
      <c r="AE337" s="16">
        <v>0</v>
      </c>
      <c r="AF337" s="15">
        <v>0</v>
      </c>
      <c r="AG337" s="16">
        <v>0</v>
      </c>
      <c r="AH337" s="15">
        <v>0</v>
      </c>
      <c r="AI337" s="15" t="s">
        <v>1033</v>
      </c>
      <c r="AJ337" s="14">
        <v>0.69226851851851856</v>
      </c>
      <c r="AK337" s="17">
        <v>44186</v>
      </c>
      <c r="AL337" s="18" t="s">
        <v>40</v>
      </c>
      <c r="AM337" s="14" t="s">
        <v>410</v>
      </c>
      <c r="AN337" s="14" t="s">
        <v>36</v>
      </c>
      <c r="AO337" s="14" t="s">
        <v>1034</v>
      </c>
      <c r="AP337" s="14" t="s">
        <v>37</v>
      </c>
      <c r="AQ337" s="14" t="s">
        <v>184</v>
      </c>
      <c r="AR337" s="14" t="s">
        <v>4</v>
      </c>
      <c r="AS337" s="14">
        <v>0</v>
      </c>
      <c r="AT337" s="14">
        <v>0</v>
      </c>
      <c r="AU337" s="14">
        <v>0</v>
      </c>
      <c r="AV337" s="14">
        <v>0</v>
      </c>
      <c r="AW337" s="14"/>
      <c r="AX337" s="14"/>
      <c r="AY337" s="14"/>
      <c r="AZ337" s="14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  <c r="BL337" s="11"/>
      <c r="BM337" s="11"/>
      <c r="BN337" s="11"/>
    </row>
    <row r="338" spans="1:66" s="2" customFormat="1" ht="12.75" x14ac:dyDescent="0.25">
      <c r="A338" s="9">
        <f t="shared" si="5"/>
        <v>1</v>
      </c>
      <c r="B338" s="6"/>
      <c r="C338" s="6"/>
      <c r="D338" s="24"/>
      <c r="E338" s="12" t="s">
        <v>38</v>
      </c>
      <c r="F338" s="25">
        <v>0</v>
      </c>
      <c r="G338" s="12" t="s">
        <v>1035</v>
      </c>
      <c r="H338" s="12">
        <v>0</v>
      </c>
      <c r="I338" s="12">
        <v>0</v>
      </c>
      <c r="J338" s="12">
        <v>0</v>
      </c>
      <c r="K338" s="12">
        <v>0</v>
      </c>
      <c r="L338" s="13">
        <v>0</v>
      </c>
      <c r="M338" s="13">
        <v>0</v>
      </c>
      <c r="N338" s="12">
        <v>0</v>
      </c>
      <c r="O338" s="12">
        <v>0</v>
      </c>
      <c r="P338" s="12">
        <v>0</v>
      </c>
      <c r="Q338" s="14">
        <v>0</v>
      </c>
      <c r="R338" s="15">
        <v>1147861.3299999998</v>
      </c>
      <c r="S338" s="16">
        <v>1147861.3299999998</v>
      </c>
      <c r="T338" s="15">
        <v>745210.00999999989</v>
      </c>
      <c r="U338" s="16">
        <v>0</v>
      </c>
      <c r="V338" s="15">
        <v>402651.32</v>
      </c>
      <c r="W338" s="16">
        <v>0</v>
      </c>
      <c r="X338" s="15">
        <v>0</v>
      </c>
      <c r="Y338" s="16">
        <v>0</v>
      </c>
      <c r="Z338" s="15">
        <v>0</v>
      </c>
      <c r="AA338" s="16">
        <v>0</v>
      </c>
      <c r="AB338" s="15">
        <v>0</v>
      </c>
      <c r="AC338" s="16">
        <v>0</v>
      </c>
      <c r="AD338" s="15">
        <v>0</v>
      </c>
      <c r="AE338" s="16">
        <v>0</v>
      </c>
      <c r="AF338" s="15">
        <v>0</v>
      </c>
      <c r="AG338" s="16">
        <v>0</v>
      </c>
      <c r="AH338" s="15">
        <v>0</v>
      </c>
      <c r="AI338" s="15" t="s">
        <v>1036</v>
      </c>
      <c r="AJ338" s="14">
        <v>0.6931018518518518</v>
      </c>
      <c r="AK338" s="17">
        <v>44186</v>
      </c>
      <c r="AL338" s="18" t="s">
        <v>40</v>
      </c>
      <c r="AM338" s="14" t="s">
        <v>410</v>
      </c>
      <c r="AN338" s="14" t="s">
        <v>36</v>
      </c>
      <c r="AO338" s="14" t="s">
        <v>1037</v>
      </c>
      <c r="AP338" s="14" t="s">
        <v>37</v>
      </c>
      <c r="AQ338" s="14" t="s">
        <v>184</v>
      </c>
      <c r="AR338" s="14" t="s">
        <v>4</v>
      </c>
      <c r="AS338" s="14">
        <v>0</v>
      </c>
      <c r="AT338" s="14">
        <v>0</v>
      </c>
      <c r="AU338" s="14">
        <v>0</v>
      </c>
      <c r="AV338" s="14">
        <v>0</v>
      </c>
      <c r="AW338" s="14"/>
      <c r="AX338" s="14"/>
      <c r="AY338" s="14"/>
      <c r="AZ338" s="14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  <c r="BL338" s="11"/>
      <c r="BM338" s="11"/>
      <c r="BN338" s="11"/>
    </row>
    <row r="339" spans="1:66" s="2" customFormat="1" ht="12.75" x14ac:dyDescent="0.25">
      <c r="A339" s="9">
        <f t="shared" si="5"/>
        <v>1</v>
      </c>
      <c r="B339" s="6"/>
      <c r="C339" s="6"/>
      <c r="D339" s="24"/>
      <c r="E339" s="12" t="s">
        <v>38</v>
      </c>
      <c r="F339" s="25">
        <v>0</v>
      </c>
      <c r="G339" s="12" t="s">
        <v>1038</v>
      </c>
      <c r="H339" s="12">
        <v>0</v>
      </c>
      <c r="I339" s="12">
        <v>0</v>
      </c>
      <c r="J339" s="12">
        <v>0</v>
      </c>
      <c r="K339" s="12">
        <v>0</v>
      </c>
      <c r="L339" s="13">
        <v>0</v>
      </c>
      <c r="M339" s="13">
        <v>0</v>
      </c>
      <c r="N339" s="12">
        <v>0</v>
      </c>
      <c r="O339" s="12">
        <v>0</v>
      </c>
      <c r="P339" s="12">
        <v>0</v>
      </c>
      <c r="Q339" s="14">
        <v>0</v>
      </c>
      <c r="R339" s="15">
        <v>741647.72</v>
      </c>
      <c r="S339" s="16">
        <v>741647.72</v>
      </c>
      <c r="T339" s="15">
        <v>488031.95999999996</v>
      </c>
      <c r="U339" s="16">
        <v>0</v>
      </c>
      <c r="V339" s="15">
        <v>253615.76</v>
      </c>
      <c r="W339" s="16">
        <v>0</v>
      </c>
      <c r="X339" s="15">
        <v>0</v>
      </c>
      <c r="Y339" s="16">
        <v>0</v>
      </c>
      <c r="Z339" s="15">
        <v>0</v>
      </c>
      <c r="AA339" s="16">
        <v>0</v>
      </c>
      <c r="AB339" s="15">
        <v>0</v>
      </c>
      <c r="AC339" s="16">
        <v>0</v>
      </c>
      <c r="AD339" s="15">
        <v>0</v>
      </c>
      <c r="AE339" s="16">
        <v>0</v>
      </c>
      <c r="AF339" s="15">
        <v>0</v>
      </c>
      <c r="AG339" s="16">
        <v>0</v>
      </c>
      <c r="AH339" s="15">
        <v>0</v>
      </c>
      <c r="AI339" s="15" t="s">
        <v>1039</v>
      </c>
      <c r="AJ339" s="14">
        <v>0.6944907407407408</v>
      </c>
      <c r="AK339" s="17">
        <v>44186</v>
      </c>
      <c r="AL339" s="18" t="s">
        <v>40</v>
      </c>
      <c r="AM339" s="14" t="s">
        <v>410</v>
      </c>
      <c r="AN339" s="14" t="s">
        <v>36</v>
      </c>
      <c r="AO339" s="14" t="s">
        <v>1040</v>
      </c>
      <c r="AP339" s="14" t="s">
        <v>37</v>
      </c>
      <c r="AQ339" s="14" t="s">
        <v>184</v>
      </c>
      <c r="AR339" s="14" t="s">
        <v>4</v>
      </c>
      <c r="AS339" s="14">
        <v>0</v>
      </c>
      <c r="AT339" s="14">
        <v>0</v>
      </c>
      <c r="AU339" s="14">
        <v>0</v>
      </c>
      <c r="AV339" s="14">
        <v>0</v>
      </c>
      <c r="AW339" s="14"/>
      <c r="AX339" s="14"/>
      <c r="AY339" s="14"/>
      <c r="AZ339" s="14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  <c r="BL339" s="11"/>
      <c r="BM339" s="11"/>
      <c r="BN339" s="11"/>
    </row>
    <row r="340" spans="1:66" s="2" customFormat="1" ht="12.75" x14ac:dyDescent="0.25">
      <c r="A340" s="9">
        <f t="shared" si="5"/>
        <v>1</v>
      </c>
      <c r="B340" s="6"/>
      <c r="C340" s="6"/>
      <c r="D340" s="24"/>
      <c r="E340" s="12" t="s">
        <v>38</v>
      </c>
      <c r="F340" s="25">
        <v>0</v>
      </c>
      <c r="G340" s="12" t="s">
        <v>1041</v>
      </c>
      <c r="H340" s="12">
        <v>0</v>
      </c>
      <c r="I340" s="12">
        <v>0</v>
      </c>
      <c r="J340" s="12">
        <v>0</v>
      </c>
      <c r="K340" s="12">
        <v>0</v>
      </c>
      <c r="L340" s="13">
        <v>0</v>
      </c>
      <c r="M340" s="13">
        <v>0</v>
      </c>
      <c r="N340" s="12">
        <v>0</v>
      </c>
      <c r="O340" s="12">
        <v>0</v>
      </c>
      <c r="P340" s="12">
        <v>0</v>
      </c>
      <c r="Q340" s="14">
        <v>0</v>
      </c>
      <c r="R340" s="15">
        <v>1248826.5801500001</v>
      </c>
      <c r="S340" s="16">
        <v>1248826.5801500001</v>
      </c>
      <c r="T340" s="15">
        <v>832582.5</v>
      </c>
      <c r="U340" s="16">
        <v>0</v>
      </c>
      <c r="V340" s="15">
        <v>241300</v>
      </c>
      <c r="W340" s="16">
        <v>0</v>
      </c>
      <c r="X340" s="15">
        <v>76354.145000000004</v>
      </c>
      <c r="Y340" s="16">
        <v>0</v>
      </c>
      <c r="Z340" s="15">
        <v>16891</v>
      </c>
      <c r="AA340" s="16">
        <v>0</v>
      </c>
      <c r="AB340" s="15">
        <v>81698.935150000005</v>
      </c>
      <c r="AC340" s="16">
        <v>0</v>
      </c>
      <c r="AD340" s="15">
        <v>0</v>
      </c>
      <c r="AE340" s="16">
        <v>0</v>
      </c>
      <c r="AF340" s="15">
        <v>0</v>
      </c>
      <c r="AG340" s="16">
        <v>0</v>
      </c>
      <c r="AH340" s="15">
        <v>0</v>
      </c>
      <c r="AI340" s="15" t="s">
        <v>1042</v>
      </c>
      <c r="AJ340" s="14">
        <v>0.36407407407407405</v>
      </c>
      <c r="AK340" s="17">
        <v>44189</v>
      </c>
      <c r="AL340" s="18" t="s">
        <v>291</v>
      </c>
      <c r="AM340" s="14" t="s">
        <v>292</v>
      </c>
      <c r="AN340" s="14" t="s">
        <v>36</v>
      </c>
      <c r="AO340" s="14" t="s">
        <v>1043</v>
      </c>
      <c r="AP340" s="14" t="s">
        <v>37</v>
      </c>
      <c r="AQ340" s="14" t="s">
        <v>184</v>
      </c>
      <c r="AR340" s="14" t="s">
        <v>4</v>
      </c>
      <c r="AS340" s="14">
        <v>0</v>
      </c>
      <c r="AT340" s="14">
        <v>0</v>
      </c>
      <c r="AU340" s="14">
        <v>0</v>
      </c>
      <c r="AV340" s="14">
        <v>0</v>
      </c>
      <c r="AW340" s="14"/>
      <c r="AX340" s="14"/>
      <c r="AY340" s="14"/>
      <c r="AZ340" s="14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  <c r="BL340" s="11"/>
      <c r="BM340" s="11"/>
      <c r="BN340" s="11"/>
    </row>
    <row r="341" spans="1:66" s="2" customFormat="1" ht="12.75" x14ac:dyDescent="0.25">
      <c r="A341" s="9">
        <f t="shared" si="5"/>
        <v>1</v>
      </c>
      <c r="B341" s="6"/>
      <c r="C341" s="6"/>
      <c r="D341" s="24"/>
      <c r="E341" s="12" t="s">
        <v>38</v>
      </c>
      <c r="F341" s="25">
        <v>0</v>
      </c>
      <c r="G341" s="12" t="s">
        <v>1044</v>
      </c>
      <c r="H341" s="12">
        <v>0</v>
      </c>
      <c r="I341" s="12">
        <v>0</v>
      </c>
      <c r="J341" s="12">
        <v>0</v>
      </c>
      <c r="K341" s="12">
        <v>0</v>
      </c>
      <c r="L341" s="13">
        <v>0</v>
      </c>
      <c r="M341" s="13">
        <v>0</v>
      </c>
      <c r="N341" s="12">
        <v>0</v>
      </c>
      <c r="O341" s="12">
        <v>0</v>
      </c>
      <c r="P341" s="12">
        <v>0</v>
      </c>
      <c r="Q341" s="14">
        <v>0</v>
      </c>
      <c r="R341" s="15">
        <v>3811374.7600000002</v>
      </c>
      <c r="S341" s="16">
        <v>3811374.7600000002</v>
      </c>
      <c r="T341" s="15">
        <v>2100974.7600000002</v>
      </c>
      <c r="U341" s="16">
        <v>0</v>
      </c>
      <c r="V341" s="15">
        <v>1710400</v>
      </c>
      <c r="W341" s="16">
        <v>0</v>
      </c>
      <c r="X341" s="15">
        <v>0</v>
      </c>
      <c r="Y341" s="16">
        <v>0</v>
      </c>
      <c r="Z341" s="15">
        <v>0</v>
      </c>
      <c r="AA341" s="16">
        <v>0</v>
      </c>
      <c r="AB341" s="15">
        <v>0</v>
      </c>
      <c r="AC341" s="16">
        <v>0</v>
      </c>
      <c r="AD341" s="15">
        <v>0</v>
      </c>
      <c r="AE341" s="16">
        <v>0</v>
      </c>
      <c r="AF341" s="15">
        <v>0</v>
      </c>
      <c r="AG341" s="16">
        <v>0</v>
      </c>
      <c r="AH341" s="15">
        <v>0</v>
      </c>
      <c r="AI341" s="15" t="s">
        <v>1045</v>
      </c>
      <c r="AJ341" s="14">
        <v>0.47437499999999999</v>
      </c>
      <c r="AK341" s="17">
        <v>44232</v>
      </c>
      <c r="AL341" s="18" t="s">
        <v>291</v>
      </c>
      <c r="AM341" s="14" t="s">
        <v>292</v>
      </c>
      <c r="AN341" s="14" t="s">
        <v>36</v>
      </c>
      <c r="AO341" s="14" t="s">
        <v>1046</v>
      </c>
      <c r="AP341" s="14" t="s">
        <v>37</v>
      </c>
      <c r="AQ341" s="14" t="s">
        <v>184</v>
      </c>
      <c r="AR341" s="14" t="s">
        <v>4</v>
      </c>
      <c r="AS341" s="14">
        <v>0</v>
      </c>
      <c r="AT341" s="14">
        <v>0</v>
      </c>
      <c r="AU341" s="14">
        <v>0</v>
      </c>
      <c r="AV341" s="14">
        <v>0</v>
      </c>
      <c r="AW341" s="14"/>
      <c r="AX341" s="14"/>
      <c r="AY341" s="14"/>
      <c r="AZ341" s="14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  <c r="BL341" s="11"/>
      <c r="BM341" s="11"/>
      <c r="BN341" s="11"/>
    </row>
    <row r="342" spans="1:66" s="2" customFormat="1" ht="12.75" x14ac:dyDescent="0.25">
      <c r="A342" s="9">
        <f t="shared" si="5"/>
        <v>1</v>
      </c>
      <c r="B342" s="6"/>
      <c r="C342" s="6"/>
      <c r="D342" s="24"/>
      <c r="E342" s="12" t="s">
        <v>38</v>
      </c>
      <c r="F342" s="25">
        <v>0</v>
      </c>
      <c r="G342" s="12" t="s">
        <v>1047</v>
      </c>
      <c r="H342" s="12">
        <v>0</v>
      </c>
      <c r="I342" s="12">
        <v>0</v>
      </c>
      <c r="J342" s="12">
        <v>0</v>
      </c>
      <c r="K342" s="12">
        <v>0</v>
      </c>
      <c r="L342" s="13">
        <v>0</v>
      </c>
      <c r="M342" s="13">
        <v>0</v>
      </c>
      <c r="N342" s="12">
        <v>0</v>
      </c>
      <c r="O342" s="12">
        <v>0</v>
      </c>
      <c r="P342" s="12">
        <v>0</v>
      </c>
      <c r="Q342" s="14">
        <v>0</v>
      </c>
      <c r="R342" s="15">
        <v>1761732.8399999999</v>
      </c>
      <c r="S342" s="16">
        <v>1761732.8399999999</v>
      </c>
      <c r="T342" s="15">
        <v>1422221.2399999998</v>
      </c>
      <c r="U342" s="16">
        <v>0</v>
      </c>
      <c r="V342" s="15">
        <v>339511.6</v>
      </c>
      <c r="W342" s="16">
        <v>0</v>
      </c>
      <c r="X342" s="15">
        <v>0</v>
      </c>
      <c r="Y342" s="16">
        <v>0</v>
      </c>
      <c r="Z342" s="15">
        <v>0</v>
      </c>
      <c r="AA342" s="16">
        <v>0</v>
      </c>
      <c r="AB342" s="15">
        <v>0</v>
      </c>
      <c r="AC342" s="16">
        <v>0</v>
      </c>
      <c r="AD342" s="15">
        <v>0</v>
      </c>
      <c r="AE342" s="16">
        <v>0</v>
      </c>
      <c r="AF342" s="15">
        <v>0</v>
      </c>
      <c r="AG342" s="16">
        <v>0</v>
      </c>
      <c r="AH342" s="15">
        <v>0</v>
      </c>
      <c r="AI342" s="15" t="s">
        <v>1048</v>
      </c>
      <c r="AJ342" s="14">
        <v>0.56773148148148145</v>
      </c>
      <c r="AK342" s="17">
        <v>44211</v>
      </c>
      <c r="AL342" s="18" t="s">
        <v>40</v>
      </c>
      <c r="AM342" s="14" t="s">
        <v>410</v>
      </c>
      <c r="AN342" s="14" t="s">
        <v>36</v>
      </c>
      <c r="AO342" s="14" t="s">
        <v>1049</v>
      </c>
      <c r="AP342" s="14" t="s">
        <v>37</v>
      </c>
      <c r="AQ342" s="14" t="s">
        <v>184</v>
      </c>
      <c r="AR342" s="14" t="s">
        <v>4</v>
      </c>
      <c r="AS342" s="14">
        <v>0</v>
      </c>
      <c r="AT342" s="14">
        <v>0</v>
      </c>
      <c r="AU342" s="14">
        <v>0</v>
      </c>
      <c r="AV342" s="14">
        <v>0</v>
      </c>
      <c r="AW342" s="14"/>
      <c r="AX342" s="14"/>
      <c r="AY342" s="14"/>
      <c r="AZ342" s="14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  <c r="BL342" s="11"/>
      <c r="BM342" s="11"/>
      <c r="BN342" s="11"/>
    </row>
    <row r="343" spans="1:66" s="2" customFormat="1" ht="12.75" x14ac:dyDescent="0.25">
      <c r="A343" s="9">
        <f t="shared" si="5"/>
        <v>1</v>
      </c>
      <c r="B343" s="6"/>
      <c r="C343" s="6"/>
      <c r="D343" s="24"/>
      <c r="E343" s="12" t="s">
        <v>38</v>
      </c>
      <c r="F343" s="25">
        <v>0</v>
      </c>
      <c r="G343" s="12" t="s">
        <v>1050</v>
      </c>
      <c r="H343" s="12">
        <v>0</v>
      </c>
      <c r="I343" s="12">
        <v>0</v>
      </c>
      <c r="J343" s="12">
        <v>0</v>
      </c>
      <c r="K343" s="12">
        <v>0</v>
      </c>
      <c r="L343" s="13">
        <v>0</v>
      </c>
      <c r="M343" s="13">
        <v>0</v>
      </c>
      <c r="N343" s="12">
        <v>0</v>
      </c>
      <c r="O343" s="12">
        <v>0</v>
      </c>
      <c r="P343" s="12">
        <v>0</v>
      </c>
      <c r="Q343" s="14">
        <v>0</v>
      </c>
      <c r="R343" s="15">
        <v>1538192.7800000003</v>
      </c>
      <c r="S343" s="16">
        <v>1538192.7800000003</v>
      </c>
      <c r="T343" s="15">
        <v>1195213.3400000003</v>
      </c>
      <c r="U343" s="16">
        <v>0</v>
      </c>
      <c r="V343" s="15">
        <v>342979.44</v>
      </c>
      <c r="W343" s="16">
        <v>0</v>
      </c>
      <c r="X343" s="15">
        <v>0</v>
      </c>
      <c r="Y343" s="16">
        <v>0</v>
      </c>
      <c r="Z343" s="15">
        <v>0</v>
      </c>
      <c r="AA343" s="16">
        <v>0</v>
      </c>
      <c r="AB343" s="15">
        <v>0</v>
      </c>
      <c r="AC343" s="16">
        <v>0</v>
      </c>
      <c r="AD343" s="15">
        <v>0</v>
      </c>
      <c r="AE343" s="16">
        <v>0</v>
      </c>
      <c r="AF343" s="15">
        <v>0</v>
      </c>
      <c r="AG343" s="16">
        <v>0</v>
      </c>
      <c r="AH343" s="15">
        <v>0</v>
      </c>
      <c r="AI343" s="15" t="s">
        <v>1051</v>
      </c>
      <c r="AJ343" s="14">
        <v>0.56641203703703702</v>
      </c>
      <c r="AK343" s="17">
        <v>44211</v>
      </c>
      <c r="AL343" s="18" t="s">
        <v>40</v>
      </c>
      <c r="AM343" s="14" t="s">
        <v>410</v>
      </c>
      <c r="AN343" s="14" t="s">
        <v>36</v>
      </c>
      <c r="AO343" s="14" t="s">
        <v>1052</v>
      </c>
      <c r="AP343" s="14" t="s">
        <v>37</v>
      </c>
      <c r="AQ343" s="14" t="s">
        <v>184</v>
      </c>
      <c r="AR343" s="14" t="s">
        <v>4</v>
      </c>
      <c r="AS343" s="14">
        <v>0</v>
      </c>
      <c r="AT343" s="14">
        <v>0</v>
      </c>
      <c r="AU343" s="14">
        <v>0</v>
      </c>
      <c r="AV343" s="14">
        <v>0</v>
      </c>
      <c r="AW343" s="14"/>
      <c r="AX343" s="14"/>
      <c r="AY343" s="14"/>
      <c r="AZ343" s="14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  <c r="BL343" s="11"/>
      <c r="BM343" s="11"/>
      <c r="BN343" s="11"/>
    </row>
    <row r="344" spans="1:66" s="2" customFormat="1" ht="12.75" x14ac:dyDescent="0.25">
      <c r="A344" s="9">
        <f t="shared" si="5"/>
        <v>1</v>
      </c>
      <c r="B344" s="6"/>
      <c r="C344" s="6"/>
      <c r="D344" s="24"/>
      <c r="E344" s="12" t="s">
        <v>38</v>
      </c>
      <c r="F344" s="25">
        <v>0</v>
      </c>
      <c r="G344" s="12" t="s">
        <v>1053</v>
      </c>
      <c r="H344" s="12">
        <v>0</v>
      </c>
      <c r="I344" s="12">
        <v>0</v>
      </c>
      <c r="J344" s="12">
        <v>0</v>
      </c>
      <c r="K344" s="12">
        <v>0</v>
      </c>
      <c r="L344" s="13">
        <v>0</v>
      </c>
      <c r="M344" s="13">
        <v>0</v>
      </c>
      <c r="N344" s="12">
        <v>0</v>
      </c>
      <c r="O344" s="12">
        <v>0</v>
      </c>
      <c r="P344" s="12">
        <v>0</v>
      </c>
      <c r="Q344" s="14">
        <v>0</v>
      </c>
      <c r="R344" s="15">
        <v>1477460.6400000001</v>
      </c>
      <c r="S344" s="16">
        <v>1477460.6400000001</v>
      </c>
      <c r="T344" s="15">
        <v>856273.84</v>
      </c>
      <c r="U344" s="16">
        <v>0</v>
      </c>
      <c r="V344" s="15">
        <v>621186.80000000005</v>
      </c>
      <c r="W344" s="16">
        <v>0</v>
      </c>
      <c r="X344" s="15">
        <v>0</v>
      </c>
      <c r="Y344" s="16">
        <v>0</v>
      </c>
      <c r="Z344" s="15">
        <v>0</v>
      </c>
      <c r="AA344" s="16">
        <v>0</v>
      </c>
      <c r="AB344" s="15">
        <v>0</v>
      </c>
      <c r="AC344" s="16">
        <v>0</v>
      </c>
      <c r="AD344" s="15">
        <v>0</v>
      </c>
      <c r="AE344" s="16">
        <v>0</v>
      </c>
      <c r="AF344" s="15">
        <v>0</v>
      </c>
      <c r="AG344" s="16">
        <v>0</v>
      </c>
      <c r="AH344" s="15">
        <v>0</v>
      </c>
      <c r="AI344" s="15" t="s">
        <v>1054</v>
      </c>
      <c r="AJ344" s="14">
        <v>0.603449074074074</v>
      </c>
      <c r="AK344" s="17">
        <v>44215</v>
      </c>
      <c r="AL344" s="18" t="s">
        <v>291</v>
      </c>
      <c r="AM344" s="14" t="s">
        <v>292</v>
      </c>
      <c r="AN344" s="14" t="s">
        <v>36</v>
      </c>
      <c r="AO344" s="14" t="s">
        <v>1055</v>
      </c>
      <c r="AP344" s="14" t="s">
        <v>37</v>
      </c>
      <c r="AQ344" s="14" t="s">
        <v>184</v>
      </c>
      <c r="AR344" s="14" t="s">
        <v>4</v>
      </c>
      <c r="AS344" s="14">
        <v>0</v>
      </c>
      <c r="AT344" s="14">
        <v>0</v>
      </c>
      <c r="AU344" s="14">
        <v>0</v>
      </c>
      <c r="AV344" s="14">
        <v>0</v>
      </c>
      <c r="AW344" s="14"/>
      <c r="AX344" s="14"/>
      <c r="AY344" s="14"/>
      <c r="AZ344" s="14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  <c r="BL344" s="11"/>
      <c r="BM344" s="11"/>
      <c r="BN344" s="11"/>
    </row>
    <row r="345" spans="1:66" s="2" customFormat="1" ht="12.75" x14ac:dyDescent="0.25">
      <c r="A345" s="9">
        <f t="shared" si="5"/>
        <v>1</v>
      </c>
      <c r="B345" s="6"/>
      <c r="C345" s="6"/>
      <c r="D345" s="24"/>
      <c r="E345" s="12" t="s">
        <v>38</v>
      </c>
      <c r="F345" s="25">
        <v>0</v>
      </c>
      <c r="G345" s="12" t="s">
        <v>1056</v>
      </c>
      <c r="H345" s="12">
        <v>0</v>
      </c>
      <c r="I345" s="12">
        <v>0</v>
      </c>
      <c r="J345" s="12">
        <v>0</v>
      </c>
      <c r="K345" s="12">
        <v>0</v>
      </c>
      <c r="L345" s="13">
        <v>0</v>
      </c>
      <c r="M345" s="13">
        <v>0</v>
      </c>
      <c r="N345" s="12">
        <v>0</v>
      </c>
      <c r="O345" s="12">
        <v>0</v>
      </c>
      <c r="P345" s="12">
        <v>0</v>
      </c>
      <c r="Q345" s="14">
        <v>0</v>
      </c>
      <c r="R345" s="15">
        <v>1905659.6</v>
      </c>
      <c r="S345" s="16">
        <v>1905659.6</v>
      </c>
      <c r="T345" s="15">
        <v>1180045.56</v>
      </c>
      <c r="U345" s="16">
        <v>0</v>
      </c>
      <c r="V345" s="15">
        <v>725614.04</v>
      </c>
      <c r="W345" s="16">
        <v>0</v>
      </c>
      <c r="X345" s="15">
        <v>0</v>
      </c>
      <c r="Y345" s="16">
        <v>0</v>
      </c>
      <c r="Z345" s="15">
        <v>0</v>
      </c>
      <c r="AA345" s="16">
        <v>0</v>
      </c>
      <c r="AB345" s="15">
        <v>0</v>
      </c>
      <c r="AC345" s="16">
        <v>0</v>
      </c>
      <c r="AD345" s="15">
        <v>0</v>
      </c>
      <c r="AE345" s="16">
        <v>0</v>
      </c>
      <c r="AF345" s="15">
        <v>0</v>
      </c>
      <c r="AG345" s="16">
        <v>0</v>
      </c>
      <c r="AH345" s="15">
        <v>0</v>
      </c>
      <c r="AI345" s="15" t="s">
        <v>1057</v>
      </c>
      <c r="AJ345" s="14">
        <v>0.46621527777777777</v>
      </c>
      <c r="AK345" s="17">
        <v>44376</v>
      </c>
      <c r="AL345" s="18" t="s">
        <v>291</v>
      </c>
      <c r="AM345" s="14" t="s">
        <v>292</v>
      </c>
      <c r="AN345" s="14" t="s">
        <v>36</v>
      </c>
      <c r="AO345" s="14" t="s">
        <v>1058</v>
      </c>
      <c r="AP345" s="14" t="s">
        <v>37</v>
      </c>
      <c r="AQ345" s="14" t="s">
        <v>184</v>
      </c>
      <c r="AR345" s="14" t="s">
        <v>4</v>
      </c>
      <c r="AS345" s="14">
        <v>0</v>
      </c>
      <c r="AT345" s="14">
        <v>0</v>
      </c>
      <c r="AU345" s="14">
        <v>0</v>
      </c>
      <c r="AV345" s="14">
        <v>0</v>
      </c>
      <c r="AW345" s="14"/>
      <c r="AX345" s="14"/>
      <c r="AY345" s="14"/>
      <c r="AZ345" s="14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  <c r="BL345" s="11"/>
      <c r="BM345" s="11"/>
      <c r="BN345" s="11"/>
    </row>
    <row r="346" spans="1:66" s="2" customFormat="1" ht="12.75" x14ac:dyDescent="0.25">
      <c r="A346" s="9">
        <f t="shared" si="5"/>
        <v>1</v>
      </c>
      <c r="B346" s="6"/>
      <c r="C346" s="6"/>
      <c r="D346" s="24"/>
      <c r="E346" s="12" t="s">
        <v>38</v>
      </c>
      <c r="F346" s="25">
        <v>0</v>
      </c>
      <c r="G346" s="12" t="s">
        <v>1059</v>
      </c>
      <c r="H346" s="12">
        <v>0</v>
      </c>
      <c r="I346" s="12">
        <v>0</v>
      </c>
      <c r="J346" s="12">
        <v>0</v>
      </c>
      <c r="K346" s="12">
        <v>0</v>
      </c>
      <c r="L346" s="13">
        <v>0</v>
      </c>
      <c r="M346" s="13">
        <v>0</v>
      </c>
      <c r="N346" s="12">
        <v>0</v>
      </c>
      <c r="O346" s="12">
        <v>0</v>
      </c>
      <c r="P346" s="12">
        <v>0</v>
      </c>
      <c r="Q346" s="14">
        <v>0</v>
      </c>
      <c r="R346" s="15">
        <v>1890903.63</v>
      </c>
      <c r="S346" s="16">
        <v>1890903.63</v>
      </c>
      <c r="T346" s="15">
        <v>1068246.2299999997</v>
      </c>
      <c r="U346" s="16">
        <v>0</v>
      </c>
      <c r="V346" s="15">
        <v>822657.4</v>
      </c>
      <c r="W346" s="16">
        <v>0</v>
      </c>
      <c r="X346" s="15">
        <v>0</v>
      </c>
      <c r="Y346" s="16">
        <v>0</v>
      </c>
      <c r="Z346" s="15">
        <v>0</v>
      </c>
      <c r="AA346" s="16">
        <v>0</v>
      </c>
      <c r="AB346" s="15">
        <v>0</v>
      </c>
      <c r="AC346" s="16">
        <v>0</v>
      </c>
      <c r="AD346" s="15">
        <v>0</v>
      </c>
      <c r="AE346" s="16">
        <v>0</v>
      </c>
      <c r="AF346" s="15">
        <v>0</v>
      </c>
      <c r="AG346" s="16">
        <v>0</v>
      </c>
      <c r="AH346" s="15">
        <v>0</v>
      </c>
      <c r="AI346" s="15" t="s">
        <v>1060</v>
      </c>
      <c r="AJ346" s="14">
        <v>0.42577546296296293</v>
      </c>
      <c r="AK346" s="17">
        <v>44214</v>
      </c>
      <c r="AL346" s="18" t="s">
        <v>291</v>
      </c>
      <c r="AM346" s="14" t="s">
        <v>292</v>
      </c>
      <c r="AN346" s="14" t="s">
        <v>36</v>
      </c>
      <c r="AO346" s="14" t="s">
        <v>1061</v>
      </c>
      <c r="AP346" s="14" t="s">
        <v>37</v>
      </c>
      <c r="AQ346" s="14" t="s">
        <v>184</v>
      </c>
      <c r="AR346" s="14" t="s">
        <v>4</v>
      </c>
      <c r="AS346" s="14">
        <v>0</v>
      </c>
      <c r="AT346" s="14">
        <v>0</v>
      </c>
      <c r="AU346" s="14">
        <v>0</v>
      </c>
      <c r="AV346" s="14">
        <v>0</v>
      </c>
      <c r="AW346" s="14"/>
      <c r="AX346" s="14"/>
      <c r="AY346" s="14"/>
      <c r="AZ346" s="14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  <c r="BL346" s="11"/>
      <c r="BM346" s="11"/>
      <c r="BN346" s="11"/>
    </row>
    <row r="347" spans="1:66" s="2" customFormat="1" ht="12.75" x14ac:dyDescent="0.25">
      <c r="A347" s="9">
        <f t="shared" si="5"/>
        <v>1</v>
      </c>
      <c r="B347" s="6"/>
      <c r="C347" s="6"/>
      <c r="D347" s="24"/>
      <c r="E347" s="12" t="s">
        <v>38</v>
      </c>
      <c r="F347" s="25">
        <v>0</v>
      </c>
      <c r="G347" s="12" t="s">
        <v>1062</v>
      </c>
      <c r="H347" s="12">
        <v>0</v>
      </c>
      <c r="I347" s="12">
        <v>0</v>
      </c>
      <c r="J347" s="12">
        <v>0</v>
      </c>
      <c r="K347" s="12">
        <v>0</v>
      </c>
      <c r="L347" s="13">
        <v>0</v>
      </c>
      <c r="M347" s="13">
        <v>0</v>
      </c>
      <c r="N347" s="12">
        <v>0</v>
      </c>
      <c r="O347" s="12">
        <v>0</v>
      </c>
      <c r="P347" s="12">
        <v>0</v>
      </c>
      <c r="Q347" s="14">
        <v>0</v>
      </c>
      <c r="R347" s="15">
        <v>15207.03</v>
      </c>
      <c r="S347" s="16">
        <v>15207.03</v>
      </c>
      <c r="T347" s="15">
        <v>8157.0300000000007</v>
      </c>
      <c r="U347" s="16">
        <v>0</v>
      </c>
      <c r="V347" s="15">
        <v>7050</v>
      </c>
      <c r="W347" s="16">
        <v>0</v>
      </c>
      <c r="X347" s="15">
        <v>0</v>
      </c>
      <c r="Y347" s="16">
        <v>0</v>
      </c>
      <c r="Z347" s="15">
        <v>0</v>
      </c>
      <c r="AA347" s="16">
        <v>0</v>
      </c>
      <c r="AB347" s="15">
        <v>0</v>
      </c>
      <c r="AC347" s="16">
        <v>0</v>
      </c>
      <c r="AD347" s="15">
        <v>0</v>
      </c>
      <c r="AE347" s="16">
        <v>0</v>
      </c>
      <c r="AF347" s="15">
        <v>0</v>
      </c>
      <c r="AG347" s="16">
        <v>0</v>
      </c>
      <c r="AH347" s="15">
        <v>0</v>
      </c>
      <c r="AI347" s="15" t="s">
        <v>1063</v>
      </c>
      <c r="AJ347" s="14">
        <v>0.38505787037037037</v>
      </c>
      <c r="AK347" s="17">
        <v>44221</v>
      </c>
      <c r="AL347" s="18" t="s">
        <v>291</v>
      </c>
      <c r="AM347" s="14" t="s">
        <v>292</v>
      </c>
      <c r="AN347" s="14" t="s">
        <v>36</v>
      </c>
      <c r="AO347" s="14" t="s">
        <v>1064</v>
      </c>
      <c r="AP347" s="14" t="s">
        <v>37</v>
      </c>
      <c r="AQ347" s="14" t="s">
        <v>184</v>
      </c>
      <c r="AR347" s="14" t="s">
        <v>4</v>
      </c>
      <c r="AS347" s="14">
        <v>0</v>
      </c>
      <c r="AT347" s="14">
        <v>0</v>
      </c>
      <c r="AU347" s="14">
        <v>0</v>
      </c>
      <c r="AV347" s="14">
        <v>0</v>
      </c>
      <c r="AW347" s="14"/>
      <c r="AX347" s="14"/>
      <c r="AY347" s="14"/>
      <c r="AZ347" s="14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  <c r="BL347" s="11"/>
      <c r="BM347" s="11"/>
      <c r="BN347" s="11"/>
    </row>
    <row r="348" spans="1:66" s="2" customFormat="1" ht="12.75" x14ac:dyDescent="0.25">
      <c r="A348" s="9">
        <f t="shared" si="5"/>
        <v>1</v>
      </c>
      <c r="B348" s="6"/>
      <c r="C348" s="6"/>
      <c r="D348" s="24"/>
      <c r="E348" s="12" t="s">
        <v>38</v>
      </c>
      <c r="F348" s="25">
        <v>0</v>
      </c>
      <c r="G348" s="12" t="s">
        <v>1065</v>
      </c>
      <c r="H348" s="12">
        <v>0</v>
      </c>
      <c r="I348" s="12">
        <v>0</v>
      </c>
      <c r="J348" s="12">
        <v>0</v>
      </c>
      <c r="K348" s="12">
        <v>0</v>
      </c>
      <c r="L348" s="13">
        <v>0</v>
      </c>
      <c r="M348" s="13">
        <v>0</v>
      </c>
      <c r="N348" s="12">
        <v>0</v>
      </c>
      <c r="O348" s="12">
        <v>0</v>
      </c>
      <c r="P348" s="12">
        <v>0</v>
      </c>
      <c r="Q348" s="14">
        <v>0</v>
      </c>
      <c r="R348" s="15">
        <v>939768.29</v>
      </c>
      <c r="S348" s="16">
        <v>939768.29</v>
      </c>
      <c r="T348" s="15">
        <v>611279.21</v>
      </c>
      <c r="U348" s="16">
        <v>0</v>
      </c>
      <c r="V348" s="15">
        <v>328489.08</v>
      </c>
      <c r="W348" s="16">
        <v>0</v>
      </c>
      <c r="X348" s="15">
        <v>0</v>
      </c>
      <c r="Y348" s="16">
        <v>0</v>
      </c>
      <c r="Z348" s="15">
        <v>0</v>
      </c>
      <c r="AA348" s="16">
        <v>0</v>
      </c>
      <c r="AB348" s="15">
        <v>0</v>
      </c>
      <c r="AC348" s="16">
        <v>0</v>
      </c>
      <c r="AD348" s="15">
        <v>0</v>
      </c>
      <c r="AE348" s="16">
        <v>0</v>
      </c>
      <c r="AF348" s="15">
        <v>0</v>
      </c>
      <c r="AG348" s="16">
        <v>0</v>
      </c>
      <c r="AH348" s="15">
        <v>0</v>
      </c>
      <c r="AI348" s="15" t="s">
        <v>1066</v>
      </c>
      <c r="AJ348" s="14">
        <v>0.43843750000000004</v>
      </c>
      <c r="AK348" s="17">
        <v>44221</v>
      </c>
      <c r="AL348" s="18" t="s">
        <v>40</v>
      </c>
      <c r="AM348" s="14" t="s">
        <v>410</v>
      </c>
      <c r="AN348" s="14" t="s">
        <v>36</v>
      </c>
      <c r="AO348" s="14" t="s">
        <v>1067</v>
      </c>
      <c r="AP348" s="14" t="s">
        <v>37</v>
      </c>
      <c r="AQ348" s="14" t="s">
        <v>184</v>
      </c>
      <c r="AR348" s="14" t="s">
        <v>4</v>
      </c>
      <c r="AS348" s="14">
        <v>0</v>
      </c>
      <c r="AT348" s="14">
        <v>0</v>
      </c>
      <c r="AU348" s="14">
        <v>0</v>
      </c>
      <c r="AV348" s="14">
        <v>0</v>
      </c>
      <c r="AW348" s="14"/>
      <c r="AX348" s="14"/>
      <c r="AY348" s="14"/>
      <c r="AZ348" s="14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  <c r="BL348" s="11"/>
      <c r="BM348" s="11"/>
      <c r="BN348" s="11"/>
    </row>
    <row r="349" spans="1:66" s="2" customFormat="1" ht="12.75" x14ac:dyDescent="0.25">
      <c r="A349" s="9">
        <f t="shared" si="5"/>
        <v>1</v>
      </c>
      <c r="B349" s="6"/>
      <c r="C349" s="6"/>
      <c r="D349" s="24"/>
      <c r="E349" s="12" t="s">
        <v>38</v>
      </c>
      <c r="F349" s="25">
        <v>0</v>
      </c>
      <c r="G349" s="12" t="s">
        <v>1068</v>
      </c>
      <c r="H349" s="12">
        <v>0</v>
      </c>
      <c r="I349" s="12">
        <v>0</v>
      </c>
      <c r="J349" s="12">
        <v>0</v>
      </c>
      <c r="K349" s="12">
        <v>0</v>
      </c>
      <c r="L349" s="13">
        <v>0</v>
      </c>
      <c r="M349" s="13">
        <v>0</v>
      </c>
      <c r="N349" s="12">
        <v>0</v>
      </c>
      <c r="O349" s="12">
        <v>0</v>
      </c>
      <c r="P349" s="12">
        <v>0</v>
      </c>
      <c r="Q349" s="14">
        <v>0</v>
      </c>
      <c r="R349" s="15">
        <v>726413.85999999987</v>
      </c>
      <c r="S349" s="16">
        <v>726413.85999999987</v>
      </c>
      <c r="T349" s="15">
        <v>479262.17999999993</v>
      </c>
      <c r="U349" s="16">
        <v>0</v>
      </c>
      <c r="V349" s="15">
        <v>247151.68</v>
      </c>
      <c r="W349" s="16">
        <v>0</v>
      </c>
      <c r="X349" s="15">
        <v>0</v>
      </c>
      <c r="Y349" s="16">
        <v>0</v>
      </c>
      <c r="Z349" s="15">
        <v>0</v>
      </c>
      <c r="AA349" s="16">
        <v>0</v>
      </c>
      <c r="AB349" s="15">
        <v>0</v>
      </c>
      <c r="AC349" s="16">
        <v>0</v>
      </c>
      <c r="AD349" s="15">
        <v>0</v>
      </c>
      <c r="AE349" s="16">
        <v>0</v>
      </c>
      <c r="AF349" s="15">
        <v>0</v>
      </c>
      <c r="AG349" s="16">
        <v>0</v>
      </c>
      <c r="AH349" s="15">
        <v>0</v>
      </c>
      <c r="AI349" s="15" t="s">
        <v>1069</v>
      </c>
      <c r="AJ349" s="14">
        <v>0.43804398148148144</v>
      </c>
      <c r="AK349" s="17">
        <v>44221</v>
      </c>
      <c r="AL349" s="18" t="s">
        <v>40</v>
      </c>
      <c r="AM349" s="14" t="s">
        <v>410</v>
      </c>
      <c r="AN349" s="14" t="s">
        <v>36</v>
      </c>
      <c r="AO349" s="14" t="s">
        <v>1070</v>
      </c>
      <c r="AP349" s="14" t="s">
        <v>37</v>
      </c>
      <c r="AQ349" s="14" t="s">
        <v>184</v>
      </c>
      <c r="AR349" s="14" t="s">
        <v>4</v>
      </c>
      <c r="AS349" s="14">
        <v>0</v>
      </c>
      <c r="AT349" s="14">
        <v>0</v>
      </c>
      <c r="AU349" s="14">
        <v>0</v>
      </c>
      <c r="AV349" s="14">
        <v>0</v>
      </c>
      <c r="AW349" s="14"/>
      <c r="AX349" s="14"/>
      <c r="AY349" s="14"/>
      <c r="AZ349" s="14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  <c r="BL349" s="11"/>
      <c r="BM349" s="11"/>
      <c r="BN349" s="11"/>
    </row>
    <row r="350" spans="1:66" s="2" customFormat="1" ht="12.75" x14ac:dyDescent="0.25">
      <c r="A350" s="9">
        <f t="shared" si="5"/>
        <v>1</v>
      </c>
      <c r="B350" s="6"/>
      <c r="C350" s="6"/>
      <c r="D350" s="24"/>
      <c r="E350" s="12" t="s">
        <v>38</v>
      </c>
      <c r="F350" s="25">
        <v>0</v>
      </c>
      <c r="G350" s="12" t="s">
        <v>1071</v>
      </c>
      <c r="H350" s="12">
        <v>0</v>
      </c>
      <c r="I350" s="12">
        <v>0</v>
      </c>
      <c r="J350" s="12">
        <v>0</v>
      </c>
      <c r="K350" s="12">
        <v>0</v>
      </c>
      <c r="L350" s="13">
        <v>0</v>
      </c>
      <c r="M350" s="13">
        <v>0</v>
      </c>
      <c r="N350" s="12">
        <v>0</v>
      </c>
      <c r="O350" s="12">
        <v>0</v>
      </c>
      <c r="P350" s="12">
        <v>0</v>
      </c>
      <c r="Q350" s="14">
        <v>0</v>
      </c>
      <c r="R350" s="15">
        <v>738184.7</v>
      </c>
      <c r="S350" s="16">
        <v>738184.7</v>
      </c>
      <c r="T350" s="15">
        <v>485528.94</v>
      </c>
      <c r="U350" s="16">
        <v>0</v>
      </c>
      <c r="V350" s="15">
        <v>252655.76</v>
      </c>
      <c r="W350" s="16">
        <v>0</v>
      </c>
      <c r="X350" s="15">
        <v>0</v>
      </c>
      <c r="Y350" s="16">
        <v>0</v>
      </c>
      <c r="Z350" s="15">
        <v>0</v>
      </c>
      <c r="AA350" s="16">
        <v>0</v>
      </c>
      <c r="AB350" s="15">
        <v>0</v>
      </c>
      <c r="AC350" s="16">
        <v>0</v>
      </c>
      <c r="AD350" s="15">
        <v>0</v>
      </c>
      <c r="AE350" s="16">
        <v>0</v>
      </c>
      <c r="AF350" s="15">
        <v>0</v>
      </c>
      <c r="AG350" s="16">
        <v>0</v>
      </c>
      <c r="AH350" s="15">
        <v>0</v>
      </c>
      <c r="AI350" s="15" t="s">
        <v>1072</v>
      </c>
      <c r="AJ350" s="14">
        <v>0.44211805555555556</v>
      </c>
      <c r="AK350" s="17">
        <v>44221</v>
      </c>
      <c r="AL350" s="18" t="s">
        <v>40</v>
      </c>
      <c r="AM350" s="14" t="s">
        <v>410</v>
      </c>
      <c r="AN350" s="14" t="s">
        <v>36</v>
      </c>
      <c r="AO350" s="14" t="s">
        <v>1073</v>
      </c>
      <c r="AP350" s="14" t="s">
        <v>37</v>
      </c>
      <c r="AQ350" s="14" t="s">
        <v>184</v>
      </c>
      <c r="AR350" s="14" t="s">
        <v>4</v>
      </c>
      <c r="AS350" s="14">
        <v>0</v>
      </c>
      <c r="AT350" s="14">
        <v>0</v>
      </c>
      <c r="AU350" s="14">
        <v>0</v>
      </c>
      <c r="AV350" s="14">
        <v>0</v>
      </c>
      <c r="AW350" s="14"/>
      <c r="AX350" s="14"/>
      <c r="AY350" s="14"/>
      <c r="AZ350" s="14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  <c r="BL350" s="11"/>
      <c r="BM350" s="11"/>
      <c r="BN350" s="11"/>
    </row>
    <row r="351" spans="1:66" s="2" customFormat="1" ht="12.75" x14ac:dyDescent="0.25">
      <c r="A351" s="9">
        <f t="shared" si="5"/>
        <v>1</v>
      </c>
      <c r="B351" s="6"/>
      <c r="C351" s="6"/>
      <c r="D351" s="24"/>
      <c r="E351" s="12" t="s">
        <v>38</v>
      </c>
      <c r="F351" s="25">
        <v>0</v>
      </c>
      <c r="G351" s="12" t="s">
        <v>1074</v>
      </c>
      <c r="H351" s="12">
        <v>0</v>
      </c>
      <c r="I351" s="12">
        <v>0</v>
      </c>
      <c r="J351" s="12">
        <v>0</v>
      </c>
      <c r="K351" s="12">
        <v>0</v>
      </c>
      <c r="L351" s="13">
        <v>0</v>
      </c>
      <c r="M351" s="13">
        <v>0</v>
      </c>
      <c r="N351" s="12">
        <v>0</v>
      </c>
      <c r="O351" s="12">
        <v>0</v>
      </c>
      <c r="P351" s="12">
        <v>0</v>
      </c>
      <c r="Q351" s="14">
        <v>0</v>
      </c>
      <c r="R351" s="15">
        <v>947713.48</v>
      </c>
      <c r="S351" s="16">
        <v>947713.48</v>
      </c>
      <c r="T351" s="15">
        <v>611764.4</v>
      </c>
      <c r="U351" s="16">
        <v>0</v>
      </c>
      <c r="V351" s="15">
        <v>335949.08</v>
      </c>
      <c r="W351" s="16">
        <v>0</v>
      </c>
      <c r="X351" s="15">
        <v>0</v>
      </c>
      <c r="Y351" s="16">
        <v>0</v>
      </c>
      <c r="Z351" s="15">
        <v>0</v>
      </c>
      <c r="AA351" s="16">
        <v>0</v>
      </c>
      <c r="AB351" s="15">
        <v>0</v>
      </c>
      <c r="AC351" s="16">
        <v>0</v>
      </c>
      <c r="AD351" s="15">
        <v>0</v>
      </c>
      <c r="AE351" s="16">
        <v>0</v>
      </c>
      <c r="AF351" s="15">
        <v>0</v>
      </c>
      <c r="AG351" s="16">
        <v>0</v>
      </c>
      <c r="AH351" s="15">
        <v>0</v>
      </c>
      <c r="AI351" s="15" t="s">
        <v>1075</v>
      </c>
      <c r="AJ351" s="14">
        <v>0.67541666666666667</v>
      </c>
      <c r="AK351" s="17">
        <v>44237</v>
      </c>
      <c r="AL351" s="18" t="s">
        <v>40</v>
      </c>
      <c r="AM351" s="14" t="s">
        <v>410</v>
      </c>
      <c r="AN351" s="14" t="s">
        <v>36</v>
      </c>
      <c r="AO351" s="14" t="s">
        <v>1076</v>
      </c>
      <c r="AP351" s="14" t="s">
        <v>37</v>
      </c>
      <c r="AQ351" s="14" t="s">
        <v>184</v>
      </c>
      <c r="AR351" s="14" t="s">
        <v>4</v>
      </c>
      <c r="AS351" s="14">
        <v>0</v>
      </c>
      <c r="AT351" s="14">
        <v>0</v>
      </c>
      <c r="AU351" s="14">
        <v>0</v>
      </c>
      <c r="AV351" s="14">
        <v>0</v>
      </c>
      <c r="AW351" s="14"/>
      <c r="AX351" s="14"/>
      <c r="AY351" s="14"/>
      <c r="AZ351" s="14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  <c r="BL351" s="11"/>
      <c r="BM351" s="11"/>
      <c r="BN351" s="11"/>
    </row>
    <row r="352" spans="1:66" s="2" customFormat="1" ht="12.75" x14ac:dyDescent="0.25">
      <c r="A352" s="9">
        <f t="shared" si="5"/>
        <v>1</v>
      </c>
      <c r="B352" s="6"/>
      <c r="C352" s="6"/>
      <c r="D352" s="24"/>
      <c r="E352" s="12" t="s">
        <v>38</v>
      </c>
      <c r="F352" s="25">
        <v>0</v>
      </c>
      <c r="G352" s="12" t="s">
        <v>1077</v>
      </c>
      <c r="H352" s="12">
        <v>0</v>
      </c>
      <c r="I352" s="12">
        <v>0</v>
      </c>
      <c r="J352" s="12">
        <v>0</v>
      </c>
      <c r="K352" s="12">
        <v>0</v>
      </c>
      <c r="L352" s="13">
        <v>0</v>
      </c>
      <c r="M352" s="13">
        <v>0</v>
      </c>
      <c r="N352" s="12">
        <v>0</v>
      </c>
      <c r="O352" s="12">
        <v>0</v>
      </c>
      <c r="P352" s="12">
        <v>0</v>
      </c>
      <c r="Q352" s="14">
        <v>0</v>
      </c>
      <c r="R352" s="15">
        <v>6084294.8799999999</v>
      </c>
      <c r="S352" s="16">
        <v>6084294.8799999999</v>
      </c>
      <c r="T352" s="15">
        <v>3909294.88</v>
      </c>
      <c r="U352" s="16">
        <v>0</v>
      </c>
      <c r="V352" s="15">
        <v>2175000</v>
      </c>
      <c r="W352" s="16">
        <v>0</v>
      </c>
      <c r="X352" s="15">
        <v>0</v>
      </c>
      <c r="Y352" s="16">
        <v>0</v>
      </c>
      <c r="Z352" s="15">
        <v>0</v>
      </c>
      <c r="AA352" s="16">
        <v>0</v>
      </c>
      <c r="AB352" s="15">
        <v>0</v>
      </c>
      <c r="AC352" s="16">
        <v>0</v>
      </c>
      <c r="AD352" s="15">
        <v>0</v>
      </c>
      <c r="AE352" s="16">
        <v>0</v>
      </c>
      <c r="AF352" s="15">
        <v>0</v>
      </c>
      <c r="AG352" s="16">
        <v>0</v>
      </c>
      <c r="AH352" s="15">
        <v>0</v>
      </c>
      <c r="AI352" s="15" t="s">
        <v>1078</v>
      </c>
      <c r="AJ352" s="14">
        <v>0.38578703703703704</v>
      </c>
      <c r="AK352" s="17">
        <v>44224</v>
      </c>
      <c r="AL352" s="18" t="s">
        <v>291</v>
      </c>
      <c r="AM352" s="14" t="s">
        <v>292</v>
      </c>
      <c r="AN352" s="14" t="s">
        <v>36</v>
      </c>
      <c r="AO352" s="14" t="s">
        <v>1079</v>
      </c>
      <c r="AP352" s="14" t="s">
        <v>37</v>
      </c>
      <c r="AQ352" s="14" t="s">
        <v>184</v>
      </c>
      <c r="AR352" s="14" t="s">
        <v>4</v>
      </c>
      <c r="AS352" s="14">
        <v>0</v>
      </c>
      <c r="AT352" s="14">
        <v>0</v>
      </c>
      <c r="AU352" s="14">
        <v>0</v>
      </c>
      <c r="AV352" s="14">
        <v>0</v>
      </c>
      <c r="AW352" s="14"/>
      <c r="AX352" s="14"/>
      <c r="AY352" s="14"/>
      <c r="AZ352" s="14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  <c r="BL352" s="11"/>
      <c r="BM352" s="11"/>
      <c r="BN352" s="11"/>
    </row>
    <row r="353" spans="1:66" s="2" customFormat="1" ht="12.75" x14ac:dyDescent="0.25">
      <c r="A353" s="9">
        <f t="shared" si="5"/>
        <v>1</v>
      </c>
      <c r="B353" s="6"/>
      <c r="C353" s="6"/>
      <c r="D353" s="24"/>
      <c r="E353" s="12" t="s">
        <v>38</v>
      </c>
      <c r="F353" s="25">
        <v>0</v>
      </c>
      <c r="G353" s="12" t="s">
        <v>1080</v>
      </c>
      <c r="H353" s="12">
        <v>0</v>
      </c>
      <c r="I353" s="12">
        <v>0</v>
      </c>
      <c r="J353" s="12">
        <v>0</v>
      </c>
      <c r="K353" s="12">
        <v>0</v>
      </c>
      <c r="L353" s="13">
        <v>0</v>
      </c>
      <c r="M353" s="13">
        <v>0</v>
      </c>
      <c r="N353" s="12">
        <v>0</v>
      </c>
      <c r="O353" s="12">
        <v>0</v>
      </c>
      <c r="P353" s="12">
        <v>0</v>
      </c>
      <c r="Q353" s="14">
        <v>0</v>
      </c>
      <c r="R353" s="15">
        <v>14526.369999999999</v>
      </c>
      <c r="S353" s="16">
        <v>14526.369999999999</v>
      </c>
      <c r="T353" s="15">
        <v>7406.37</v>
      </c>
      <c r="U353" s="16">
        <v>0</v>
      </c>
      <c r="V353" s="15">
        <v>7120</v>
      </c>
      <c r="W353" s="16">
        <v>0</v>
      </c>
      <c r="X353" s="15">
        <v>0</v>
      </c>
      <c r="Y353" s="16">
        <v>0</v>
      </c>
      <c r="Z353" s="15">
        <v>0</v>
      </c>
      <c r="AA353" s="16">
        <v>0</v>
      </c>
      <c r="AB353" s="15">
        <v>0</v>
      </c>
      <c r="AC353" s="16">
        <v>0</v>
      </c>
      <c r="AD353" s="15">
        <v>0</v>
      </c>
      <c r="AE353" s="16">
        <v>0</v>
      </c>
      <c r="AF353" s="15">
        <v>0</v>
      </c>
      <c r="AG353" s="16">
        <v>0</v>
      </c>
      <c r="AH353" s="15">
        <v>0</v>
      </c>
      <c r="AI353" s="15" t="s">
        <v>1081</v>
      </c>
      <c r="AJ353" s="14">
        <v>0.70479166666666659</v>
      </c>
      <c r="AK353" s="17">
        <v>44223</v>
      </c>
      <c r="AL353" s="18" t="s">
        <v>291</v>
      </c>
      <c r="AM353" s="14" t="s">
        <v>292</v>
      </c>
      <c r="AN353" s="14" t="s">
        <v>36</v>
      </c>
      <c r="AO353" s="14" t="s">
        <v>1082</v>
      </c>
      <c r="AP353" s="14" t="s">
        <v>37</v>
      </c>
      <c r="AQ353" s="14" t="s">
        <v>184</v>
      </c>
      <c r="AR353" s="14" t="s">
        <v>4</v>
      </c>
      <c r="AS353" s="14">
        <v>0</v>
      </c>
      <c r="AT353" s="14">
        <v>0</v>
      </c>
      <c r="AU353" s="14">
        <v>0</v>
      </c>
      <c r="AV353" s="14">
        <v>0</v>
      </c>
      <c r="AW353" s="14"/>
      <c r="AX353" s="14"/>
      <c r="AY353" s="14"/>
      <c r="AZ353" s="14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  <c r="BL353" s="11"/>
      <c r="BM353" s="11"/>
      <c r="BN353" s="11"/>
    </row>
    <row r="354" spans="1:66" s="2" customFormat="1" ht="12.75" x14ac:dyDescent="0.25">
      <c r="A354" s="9">
        <f t="shared" si="5"/>
        <v>1</v>
      </c>
      <c r="B354" s="6"/>
      <c r="C354" s="6"/>
      <c r="D354" s="24"/>
      <c r="E354" s="12" t="s">
        <v>38</v>
      </c>
      <c r="F354" s="25">
        <v>0</v>
      </c>
      <c r="G354" s="12" t="s">
        <v>1083</v>
      </c>
      <c r="H354" s="12">
        <v>0</v>
      </c>
      <c r="I354" s="12">
        <v>0</v>
      </c>
      <c r="J354" s="12">
        <v>0</v>
      </c>
      <c r="K354" s="12">
        <v>0</v>
      </c>
      <c r="L354" s="13">
        <v>0</v>
      </c>
      <c r="M354" s="13">
        <v>0</v>
      </c>
      <c r="N354" s="12">
        <v>0</v>
      </c>
      <c r="O354" s="12">
        <v>0</v>
      </c>
      <c r="P354" s="12">
        <v>0</v>
      </c>
      <c r="Q354" s="14">
        <v>0</v>
      </c>
      <c r="R354" s="15">
        <v>750084.72</v>
      </c>
      <c r="S354" s="16">
        <v>750084.72</v>
      </c>
      <c r="T354" s="15">
        <v>427600.32</v>
      </c>
      <c r="U354" s="16">
        <v>0</v>
      </c>
      <c r="V354" s="15">
        <v>322484.40000000002</v>
      </c>
      <c r="W354" s="16">
        <v>0</v>
      </c>
      <c r="X354" s="15">
        <v>0</v>
      </c>
      <c r="Y354" s="16">
        <v>0</v>
      </c>
      <c r="Z354" s="15">
        <v>0</v>
      </c>
      <c r="AA354" s="16">
        <v>0</v>
      </c>
      <c r="AB354" s="15">
        <v>0</v>
      </c>
      <c r="AC354" s="16">
        <v>0</v>
      </c>
      <c r="AD354" s="15">
        <v>0</v>
      </c>
      <c r="AE354" s="16">
        <v>0</v>
      </c>
      <c r="AF354" s="15">
        <v>0</v>
      </c>
      <c r="AG354" s="16">
        <v>0</v>
      </c>
      <c r="AH354" s="15">
        <v>0</v>
      </c>
      <c r="AI354" s="15" t="s">
        <v>1084</v>
      </c>
      <c r="AJ354" s="14">
        <v>0.42596064814814816</v>
      </c>
      <c r="AK354" s="17">
        <v>44229</v>
      </c>
      <c r="AL354" s="18" t="s">
        <v>40</v>
      </c>
      <c r="AM354" s="14" t="s">
        <v>410</v>
      </c>
      <c r="AN354" s="14" t="s">
        <v>36</v>
      </c>
      <c r="AO354" s="14" t="s">
        <v>1085</v>
      </c>
      <c r="AP354" s="14" t="s">
        <v>37</v>
      </c>
      <c r="AQ354" s="14" t="s">
        <v>184</v>
      </c>
      <c r="AR354" s="14" t="s">
        <v>4</v>
      </c>
      <c r="AS354" s="14">
        <v>0</v>
      </c>
      <c r="AT354" s="14">
        <v>0</v>
      </c>
      <c r="AU354" s="14">
        <v>0</v>
      </c>
      <c r="AV354" s="14">
        <v>0</v>
      </c>
      <c r="AW354" s="14"/>
      <c r="AX354" s="14"/>
      <c r="AY354" s="14"/>
      <c r="AZ354" s="14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  <c r="BL354" s="11"/>
      <c r="BM354" s="11"/>
      <c r="BN354" s="11"/>
    </row>
    <row r="355" spans="1:66" s="2" customFormat="1" ht="12.75" x14ac:dyDescent="0.25">
      <c r="A355" s="9">
        <f t="shared" si="5"/>
        <v>1</v>
      </c>
      <c r="B355" s="6"/>
      <c r="C355" s="6"/>
      <c r="D355" s="24"/>
      <c r="E355" s="12" t="s">
        <v>38</v>
      </c>
      <c r="F355" s="25">
        <v>0</v>
      </c>
      <c r="G355" s="12" t="s">
        <v>1086</v>
      </c>
      <c r="H355" s="12">
        <v>0</v>
      </c>
      <c r="I355" s="12">
        <v>0</v>
      </c>
      <c r="J355" s="12">
        <v>0</v>
      </c>
      <c r="K355" s="12">
        <v>0</v>
      </c>
      <c r="L355" s="13">
        <v>0</v>
      </c>
      <c r="M355" s="13">
        <v>0</v>
      </c>
      <c r="N355" s="12">
        <v>0</v>
      </c>
      <c r="O355" s="12">
        <v>0</v>
      </c>
      <c r="P355" s="12">
        <v>0</v>
      </c>
      <c r="Q355" s="14">
        <v>0</v>
      </c>
      <c r="R355" s="15">
        <v>0</v>
      </c>
      <c r="S355" s="16">
        <v>0</v>
      </c>
      <c r="T355" s="15">
        <v>0</v>
      </c>
      <c r="U355" s="16">
        <v>0</v>
      </c>
      <c r="V355" s="15">
        <v>0</v>
      </c>
      <c r="W355" s="16">
        <v>0</v>
      </c>
      <c r="X355" s="15">
        <v>0</v>
      </c>
      <c r="Y355" s="16">
        <v>0</v>
      </c>
      <c r="Z355" s="15">
        <v>0</v>
      </c>
      <c r="AA355" s="16">
        <v>0</v>
      </c>
      <c r="AB355" s="15">
        <v>0</v>
      </c>
      <c r="AC355" s="16">
        <v>0</v>
      </c>
      <c r="AD355" s="15">
        <v>0</v>
      </c>
      <c r="AE355" s="16">
        <v>0</v>
      </c>
      <c r="AF355" s="15">
        <v>0</v>
      </c>
      <c r="AG355" s="16">
        <v>0</v>
      </c>
      <c r="AH355" s="15">
        <v>0</v>
      </c>
      <c r="AI355" s="15" t="s">
        <v>1087</v>
      </c>
      <c r="AJ355" s="14">
        <v>0.45145833333333335</v>
      </c>
      <c r="AK355" s="17">
        <v>44228</v>
      </c>
      <c r="AL355" s="18" t="s">
        <v>291</v>
      </c>
      <c r="AM355" s="14" t="s">
        <v>292</v>
      </c>
      <c r="AN355" s="14" t="s">
        <v>36</v>
      </c>
      <c r="AO355" s="14" t="s">
        <v>1088</v>
      </c>
      <c r="AP355" s="14" t="s">
        <v>37</v>
      </c>
      <c r="AQ355" s="14" t="s">
        <v>184</v>
      </c>
      <c r="AR355" s="14" t="s">
        <v>4</v>
      </c>
      <c r="AS355" s="14">
        <v>0</v>
      </c>
      <c r="AT355" s="14">
        <v>0</v>
      </c>
      <c r="AU355" s="14">
        <v>0</v>
      </c>
      <c r="AV355" s="14">
        <v>0</v>
      </c>
      <c r="AW355" s="14"/>
      <c r="AX355" s="14"/>
      <c r="AY355" s="14"/>
      <c r="AZ355" s="14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  <c r="BL355" s="11"/>
      <c r="BM355" s="11"/>
      <c r="BN355" s="11"/>
    </row>
    <row r="356" spans="1:66" s="2" customFormat="1" ht="12.75" x14ac:dyDescent="0.25">
      <c r="A356" s="9">
        <f t="shared" si="5"/>
        <v>1</v>
      </c>
      <c r="B356" s="6"/>
      <c r="C356" s="6"/>
      <c r="D356" s="24"/>
      <c r="E356" s="12" t="s">
        <v>38</v>
      </c>
      <c r="F356" s="25">
        <v>0</v>
      </c>
      <c r="G356" s="12" t="s">
        <v>1089</v>
      </c>
      <c r="H356" s="12">
        <v>0</v>
      </c>
      <c r="I356" s="12">
        <v>0</v>
      </c>
      <c r="J356" s="12">
        <v>0</v>
      </c>
      <c r="K356" s="12">
        <v>0</v>
      </c>
      <c r="L356" s="13">
        <v>0</v>
      </c>
      <c r="M356" s="13">
        <v>0</v>
      </c>
      <c r="N356" s="12">
        <v>0</v>
      </c>
      <c r="O356" s="12">
        <v>0</v>
      </c>
      <c r="P356" s="12">
        <v>0</v>
      </c>
      <c r="Q356" s="14">
        <v>0</v>
      </c>
      <c r="R356" s="15">
        <v>3972479.25</v>
      </c>
      <c r="S356" s="16">
        <v>3972479.25</v>
      </c>
      <c r="T356" s="15">
        <v>3972479.25</v>
      </c>
      <c r="U356" s="16">
        <v>0</v>
      </c>
      <c r="V356" s="15">
        <v>0</v>
      </c>
      <c r="W356" s="16">
        <v>0</v>
      </c>
      <c r="X356" s="15">
        <v>0</v>
      </c>
      <c r="Y356" s="16">
        <v>0</v>
      </c>
      <c r="Z356" s="15">
        <v>0</v>
      </c>
      <c r="AA356" s="16">
        <v>0</v>
      </c>
      <c r="AB356" s="15">
        <v>0</v>
      </c>
      <c r="AC356" s="16">
        <v>0</v>
      </c>
      <c r="AD356" s="15">
        <v>0</v>
      </c>
      <c r="AE356" s="16">
        <v>0</v>
      </c>
      <c r="AF356" s="15">
        <v>0</v>
      </c>
      <c r="AG356" s="16">
        <v>0</v>
      </c>
      <c r="AH356" s="15">
        <v>0</v>
      </c>
      <c r="AI356" s="15" t="s">
        <v>1090</v>
      </c>
      <c r="AJ356" s="14">
        <v>0.68572916666666661</v>
      </c>
      <c r="AK356" s="17">
        <v>44228</v>
      </c>
      <c r="AL356" s="18" t="s">
        <v>291</v>
      </c>
      <c r="AM356" s="14" t="s">
        <v>292</v>
      </c>
      <c r="AN356" s="14" t="s">
        <v>36</v>
      </c>
      <c r="AO356" s="14" t="s">
        <v>1091</v>
      </c>
      <c r="AP356" s="14" t="s">
        <v>37</v>
      </c>
      <c r="AQ356" s="14" t="s">
        <v>184</v>
      </c>
      <c r="AR356" s="14" t="s">
        <v>4</v>
      </c>
      <c r="AS356" s="14">
        <v>0</v>
      </c>
      <c r="AT356" s="14">
        <v>0</v>
      </c>
      <c r="AU356" s="14">
        <v>0</v>
      </c>
      <c r="AV356" s="14">
        <v>0</v>
      </c>
      <c r="AW356" s="14"/>
      <c r="AX356" s="14"/>
      <c r="AY356" s="14"/>
      <c r="AZ356" s="14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  <c r="BL356" s="11"/>
      <c r="BM356" s="11"/>
      <c r="BN356" s="11"/>
    </row>
    <row r="357" spans="1:66" s="2" customFormat="1" ht="12.75" x14ac:dyDescent="0.25">
      <c r="A357" s="9">
        <f t="shared" si="5"/>
        <v>1</v>
      </c>
      <c r="B357" s="6"/>
      <c r="C357" s="6"/>
      <c r="D357" s="24"/>
      <c r="E357" s="12" t="s">
        <v>38</v>
      </c>
      <c r="F357" s="25">
        <v>0</v>
      </c>
      <c r="G357" s="12" t="s">
        <v>1092</v>
      </c>
      <c r="H357" s="12">
        <v>0</v>
      </c>
      <c r="I357" s="12">
        <v>0</v>
      </c>
      <c r="J357" s="12">
        <v>0</v>
      </c>
      <c r="K357" s="12">
        <v>0</v>
      </c>
      <c r="L357" s="13">
        <v>0</v>
      </c>
      <c r="M357" s="13">
        <v>0</v>
      </c>
      <c r="N357" s="12">
        <v>0</v>
      </c>
      <c r="O357" s="12">
        <v>0</v>
      </c>
      <c r="P357" s="12">
        <v>0</v>
      </c>
      <c r="Q357" s="14">
        <v>0</v>
      </c>
      <c r="R357" s="15">
        <v>3804548.21</v>
      </c>
      <c r="S357" s="16">
        <v>3804548.21</v>
      </c>
      <c r="T357" s="15">
        <v>3804548.21</v>
      </c>
      <c r="U357" s="16">
        <v>0</v>
      </c>
      <c r="V357" s="15">
        <v>0</v>
      </c>
      <c r="W357" s="16">
        <v>0</v>
      </c>
      <c r="X357" s="15">
        <v>0</v>
      </c>
      <c r="Y357" s="16">
        <v>0</v>
      </c>
      <c r="Z357" s="15">
        <v>0</v>
      </c>
      <c r="AA357" s="16">
        <v>0</v>
      </c>
      <c r="AB357" s="15">
        <v>0</v>
      </c>
      <c r="AC357" s="16">
        <v>0</v>
      </c>
      <c r="AD357" s="15">
        <v>0</v>
      </c>
      <c r="AE357" s="16">
        <v>0</v>
      </c>
      <c r="AF357" s="15">
        <v>0</v>
      </c>
      <c r="AG357" s="16">
        <v>0</v>
      </c>
      <c r="AH357" s="15">
        <v>0</v>
      </c>
      <c r="AI357" s="15" t="s">
        <v>1093</v>
      </c>
      <c r="AJ357" s="14">
        <v>0.48771990740740739</v>
      </c>
      <c r="AK357" s="17">
        <v>44231</v>
      </c>
      <c r="AL357" s="18" t="s">
        <v>291</v>
      </c>
      <c r="AM357" s="14" t="s">
        <v>292</v>
      </c>
      <c r="AN357" s="14" t="s">
        <v>36</v>
      </c>
      <c r="AO357" s="14" t="s">
        <v>1094</v>
      </c>
      <c r="AP357" s="14" t="s">
        <v>37</v>
      </c>
      <c r="AQ357" s="14" t="s">
        <v>184</v>
      </c>
      <c r="AR357" s="14" t="s">
        <v>4</v>
      </c>
      <c r="AS357" s="14">
        <v>0</v>
      </c>
      <c r="AT357" s="14">
        <v>0</v>
      </c>
      <c r="AU357" s="14">
        <v>0</v>
      </c>
      <c r="AV357" s="14">
        <v>0</v>
      </c>
      <c r="AW357" s="14"/>
      <c r="AX357" s="14"/>
      <c r="AY357" s="14"/>
      <c r="AZ357" s="14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  <c r="BL357" s="11"/>
      <c r="BM357" s="11"/>
      <c r="BN357" s="11"/>
    </row>
    <row r="358" spans="1:66" s="2" customFormat="1" ht="12.75" x14ac:dyDescent="0.25">
      <c r="A358" s="9">
        <f t="shared" si="5"/>
        <v>1</v>
      </c>
      <c r="B358" s="6"/>
      <c r="C358" s="6"/>
      <c r="D358" s="24"/>
      <c r="E358" s="12" t="s">
        <v>38</v>
      </c>
      <c r="F358" s="25">
        <v>0</v>
      </c>
      <c r="G358" s="12" t="s">
        <v>1095</v>
      </c>
      <c r="H358" s="12">
        <v>0</v>
      </c>
      <c r="I358" s="12">
        <v>0</v>
      </c>
      <c r="J358" s="12">
        <v>0</v>
      </c>
      <c r="K358" s="12">
        <v>0</v>
      </c>
      <c r="L358" s="13">
        <v>0</v>
      </c>
      <c r="M358" s="13">
        <v>0</v>
      </c>
      <c r="N358" s="12">
        <v>0</v>
      </c>
      <c r="O358" s="12">
        <v>0</v>
      </c>
      <c r="P358" s="12">
        <v>0</v>
      </c>
      <c r="Q358" s="14">
        <v>0</v>
      </c>
      <c r="R358" s="15">
        <v>1685749.4399999995</v>
      </c>
      <c r="S358" s="16">
        <v>1685749.4399999995</v>
      </c>
      <c r="T358" s="15">
        <v>1346237.8399999996</v>
      </c>
      <c r="U358" s="16">
        <v>0</v>
      </c>
      <c r="V358" s="15">
        <v>339511.6</v>
      </c>
      <c r="W358" s="16">
        <v>0</v>
      </c>
      <c r="X358" s="15">
        <v>0</v>
      </c>
      <c r="Y358" s="16">
        <v>0</v>
      </c>
      <c r="Z358" s="15">
        <v>0</v>
      </c>
      <c r="AA358" s="16">
        <v>0</v>
      </c>
      <c r="AB358" s="15">
        <v>0</v>
      </c>
      <c r="AC358" s="16">
        <v>0</v>
      </c>
      <c r="AD358" s="15">
        <v>0</v>
      </c>
      <c r="AE358" s="16">
        <v>0</v>
      </c>
      <c r="AF358" s="15">
        <v>0</v>
      </c>
      <c r="AG358" s="16">
        <v>0</v>
      </c>
      <c r="AH358" s="15">
        <v>0</v>
      </c>
      <c r="AI358" s="15" t="s">
        <v>1096</v>
      </c>
      <c r="AJ358" s="14">
        <v>0.6802893518518518</v>
      </c>
      <c r="AK358" s="17">
        <v>44236</v>
      </c>
      <c r="AL358" s="18" t="s">
        <v>291</v>
      </c>
      <c r="AM358" s="14" t="s">
        <v>292</v>
      </c>
      <c r="AN358" s="14" t="s">
        <v>36</v>
      </c>
      <c r="AO358" s="14" t="s">
        <v>1097</v>
      </c>
      <c r="AP358" s="14" t="s">
        <v>37</v>
      </c>
      <c r="AQ358" s="14" t="s">
        <v>184</v>
      </c>
      <c r="AR358" s="14" t="s">
        <v>4</v>
      </c>
      <c r="AS358" s="14">
        <v>0</v>
      </c>
      <c r="AT358" s="14">
        <v>0</v>
      </c>
      <c r="AU358" s="14">
        <v>0</v>
      </c>
      <c r="AV358" s="14">
        <v>0</v>
      </c>
      <c r="AW358" s="14"/>
      <c r="AX358" s="14"/>
      <c r="AY358" s="14"/>
      <c r="AZ358" s="14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  <c r="BL358" s="11"/>
      <c r="BM358" s="11"/>
      <c r="BN358" s="11"/>
    </row>
    <row r="359" spans="1:66" s="2" customFormat="1" ht="12.75" x14ac:dyDescent="0.25">
      <c r="A359" s="9">
        <f t="shared" si="5"/>
        <v>1</v>
      </c>
      <c r="B359" s="6"/>
      <c r="C359" s="6"/>
      <c r="D359" s="24"/>
      <c r="E359" s="12" t="s">
        <v>38</v>
      </c>
      <c r="F359" s="25">
        <v>0</v>
      </c>
      <c r="G359" s="12" t="s">
        <v>1098</v>
      </c>
      <c r="H359" s="12">
        <v>0</v>
      </c>
      <c r="I359" s="12">
        <v>0</v>
      </c>
      <c r="J359" s="12">
        <v>0</v>
      </c>
      <c r="K359" s="12">
        <v>0</v>
      </c>
      <c r="L359" s="13">
        <v>0</v>
      </c>
      <c r="M359" s="13">
        <v>0</v>
      </c>
      <c r="N359" s="12">
        <v>0</v>
      </c>
      <c r="O359" s="12">
        <v>0</v>
      </c>
      <c r="P359" s="12">
        <v>0</v>
      </c>
      <c r="Q359" s="14">
        <v>0</v>
      </c>
      <c r="R359" s="15">
        <v>1581791.2800000003</v>
      </c>
      <c r="S359" s="16">
        <v>1581791.2800000003</v>
      </c>
      <c r="T359" s="15">
        <v>1172831.8400000003</v>
      </c>
      <c r="U359" s="16">
        <v>0</v>
      </c>
      <c r="V359" s="15">
        <v>408959.44</v>
      </c>
      <c r="W359" s="16">
        <v>0</v>
      </c>
      <c r="X359" s="15">
        <v>0</v>
      </c>
      <c r="Y359" s="16">
        <v>0</v>
      </c>
      <c r="Z359" s="15">
        <v>0</v>
      </c>
      <c r="AA359" s="16">
        <v>0</v>
      </c>
      <c r="AB359" s="15">
        <v>0</v>
      </c>
      <c r="AC359" s="16">
        <v>0</v>
      </c>
      <c r="AD359" s="15">
        <v>0</v>
      </c>
      <c r="AE359" s="16">
        <v>0</v>
      </c>
      <c r="AF359" s="15">
        <v>0</v>
      </c>
      <c r="AG359" s="16">
        <v>0</v>
      </c>
      <c r="AH359" s="15">
        <v>0</v>
      </c>
      <c r="AI359" s="15" t="s">
        <v>1099</v>
      </c>
      <c r="AJ359" s="14">
        <v>0.56310185185185191</v>
      </c>
      <c r="AK359" s="17">
        <v>44237</v>
      </c>
      <c r="AL359" s="18" t="s">
        <v>291</v>
      </c>
      <c r="AM359" s="14" t="s">
        <v>292</v>
      </c>
      <c r="AN359" s="14" t="s">
        <v>36</v>
      </c>
      <c r="AO359" s="14" t="s">
        <v>1100</v>
      </c>
      <c r="AP359" s="14" t="s">
        <v>37</v>
      </c>
      <c r="AQ359" s="14" t="s">
        <v>184</v>
      </c>
      <c r="AR359" s="14" t="s">
        <v>4</v>
      </c>
      <c r="AS359" s="14">
        <v>0</v>
      </c>
      <c r="AT359" s="14">
        <v>0</v>
      </c>
      <c r="AU359" s="14">
        <v>0</v>
      </c>
      <c r="AV359" s="14">
        <v>0</v>
      </c>
      <c r="AW359" s="14"/>
      <c r="AX359" s="14"/>
      <c r="AY359" s="14"/>
      <c r="AZ359" s="14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  <c r="BL359" s="11"/>
      <c r="BM359" s="11"/>
      <c r="BN359" s="11"/>
    </row>
    <row r="360" spans="1:66" s="2" customFormat="1" ht="12.75" x14ac:dyDescent="0.25">
      <c r="A360" s="9">
        <f t="shared" si="5"/>
        <v>1</v>
      </c>
      <c r="B360" s="6"/>
      <c r="C360" s="6"/>
      <c r="D360" s="24"/>
      <c r="E360" s="12" t="s">
        <v>38</v>
      </c>
      <c r="F360" s="25">
        <v>0</v>
      </c>
      <c r="G360" s="12" t="s">
        <v>1101</v>
      </c>
      <c r="H360" s="12">
        <v>0</v>
      </c>
      <c r="I360" s="12">
        <v>0</v>
      </c>
      <c r="J360" s="12">
        <v>0</v>
      </c>
      <c r="K360" s="12">
        <v>0</v>
      </c>
      <c r="L360" s="13">
        <v>0</v>
      </c>
      <c r="M360" s="13">
        <v>0</v>
      </c>
      <c r="N360" s="12">
        <v>0</v>
      </c>
      <c r="O360" s="12">
        <v>0</v>
      </c>
      <c r="P360" s="12">
        <v>0</v>
      </c>
      <c r="Q360" s="14">
        <v>0</v>
      </c>
      <c r="R360" s="15">
        <v>1013789.98</v>
      </c>
      <c r="S360" s="16">
        <v>1013789.98</v>
      </c>
      <c r="T360" s="15">
        <v>855622.38</v>
      </c>
      <c r="U360" s="16">
        <v>0</v>
      </c>
      <c r="V360" s="15">
        <v>158167.6</v>
      </c>
      <c r="W360" s="16">
        <v>0</v>
      </c>
      <c r="X360" s="15">
        <v>0</v>
      </c>
      <c r="Y360" s="16">
        <v>0</v>
      </c>
      <c r="Z360" s="15">
        <v>0</v>
      </c>
      <c r="AA360" s="16">
        <v>0</v>
      </c>
      <c r="AB360" s="15">
        <v>0</v>
      </c>
      <c r="AC360" s="16">
        <v>0</v>
      </c>
      <c r="AD360" s="15">
        <v>0</v>
      </c>
      <c r="AE360" s="16">
        <v>0</v>
      </c>
      <c r="AF360" s="15">
        <v>0</v>
      </c>
      <c r="AG360" s="16">
        <v>0</v>
      </c>
      <c r="AH360" s="15">
        <v>0</v>
      </c>
      <c r="AI360" s="15" t="s">
        <v>1102</v>
      </c>
      <c r="AJ360" s="14">
        <v>0.42950231481481477</v>
      </c>
      <c r="AK360" s="17">
        <v>44273</v>
      </c>
      <c r="AL360" s="18" t="s">
        <v>291</v>
      </c>
      <c r="AM360" s="14" t="s">
        <v>292</v>
      </c>
      <c r="AN360" s="14" t="s">
        <v>36</v>
      </c>
      <c r="AO360" s="14" t="s">
        <v>1103</v>
      </c>
      <c r="AP360" s="14" t="s">
        <v>37</v>
      </c>
      <c r="AQ360" s="14" t="s">
        <v>184</v>
      </c>
      <c r="AR360" s="14" t="s">
        <v>4</v>
      </c>
      <c r="AS360" s="14">
        <v>0</v>
      </c>
      <c r="AT360" s="14">
        <v>0</v>
      </c>
      <c r="AU360" s="14">
        <v>0</v>
      </c>
      <c r="AV360" s="14">
        <v>0</v>
      </c>
      <c r="AW360" s="14"/>
      <c r="AX360" s="14"/>
      <c r="AY360" s="14"/>
      <c r="AZ360" s="14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  <c r="BL360" s="11"/>
      <c r="BM360" s="11"/>
      <c r="BN360" s="11"/>
    </row>
    <row r="361" spans="1:66" s="2" customFormat="1" ht="12.75" x14ac:dyDescent="0.25">
      <c r="A361" s="9">
        <f t="shared" si="5"/>
        <v>1</v>
      </c>
      <c r="B361" s="6"/>
      <c r="C361" s="6"/>
      <c r="D361" s="24"/>
      <c r="E361" s="12" t="s">
        <v>38</v>
      </c>
      <c r="F361" s="25">
        <v>0</v>
      </c>
      <c r="G361" s="12" t="s">
        <v>1104</v>
      </c>
      <c r="H361" s="12">
        <v>0</v>
      </c>
      <c r="I361" s="12">
        <v>0</v>
      </c>
      <c r="J361" s="12">
        <v>0</v>
      </c>
      <c r="K361" s="12">
        <v>0</v>
      </c>
      <c r="L361" s="13">
        <v>0</v>
      </c>
      <c r="M361" s="13">
        <v>0</v>
      </c>
      <c r="N361" s="12">
        <v>0</v>
      </c>
      <c r="O361" s="12">
        <v>0</v>
      </c>
      <c r="P361" s="12">
        <v>0</v>
      </c>
      <c r="Q361" s="14">
        <v>0</v>
      </c>
      <c r="R361" s="15">
        <v>1061027.0300000003</v>
      </c>
      <c r="S361" s="16">
        <v>1061027.0300000003</v>
      </c>
      <c r="T361" s="15">
        <v>737309.07000000018</v>
      </c>
      <c r="U361" s="16">
        <v>0</v>
      </c>
      <c r="V361" s="15">
        <v>323717.95999999996</v>
      </c>
      <c r="W361" s="16">
        <v>0</v>
      </c>
      <c r="X361" s="15">
        <v>0</v>
      </c>
      <c r="Y361" s="16">
        <v>0</v>
      </c>
      <c r="Z361" s="15">
        <v>0</v>
      </c>
      <c r="AA361" s="16">
        <v>0</v>
      </c>
      <c r="AB361" s="15">
        <v>0</v>
      </c>
      <c r="AC361" s="16">
        <v>0</v>
      </c>
      <c r="AD361" s="15">
        <v>0</v>
      </c>
      <c r="AE361" s="16">
        <v>0</v>
      </c>
      <c r="AF361" s="15">
        <v>0</v>
      </c>
      <c r="AG361" s="16">
        <v>0</v>
      </c>
      <c r="AH361" s="15">
        <v>0</v>
      </c>
      <c r="AI361" s="15" t="s">
        <v>1105</v>
      </c>
      <c r="AJ361" s="14">
        <v>0.40568287037037037</v>
      </c>
      <c r="AK361" s="17">
        <v>44256</v>
      </c>
      <c r="AL361" s="18" t="s">
        <v>291</v>
      </c>
      <c r="AM361" s="14" t="s">
        <v>292</v>
      </c>
      <c r="AN361" s="14" t="s">
        <v>36</v>
      </c>
      <c r="AO361" s="14" t="s">
        <v>1106</v>
      </c>
      <c r="AP361" s="14" t="s">
        <v>37</v>
      </c>
      <c r="AQ361" s="14" t="s">
        <v>184</v>
      </c>
      <c r="AR361" s="14" t="s">
        <v>4</v>
      </c>
      <c r="AS361" s="14">
        <v>0</v>
      </c>
      <c r="AT361" s="14">
        <v>0</v>
      </c>
      <c r="AU361" s="14">
        <v>0</v>
      </c>
      <c r="AV361" s="14">
        <v>0</v>
      </c>
      <c r="AW361" s="14"/>
      <c r="AX361" s="14"/>
      <c r="AY361" s="14"/>
      <c r="AZ361" s="14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  <c r="BL361" s="11"/>
      <c r="BM361" s="11"/>
      <c r="BN361" s="11"/>
    </row>
    <row r="362" spans="1:66" s="2" customFormat="1" ht="12.75" x14ac:dyDescent="0.25">
      <c r="A362" s="9">
        <f t="shared" si="5"/>
        <v>1</v>
      </c>
      <c r="B362" s="6"/>
      <c r="C362" s="6"/>
      <c r="D362" s="24"/>
      <c r="E362" s="12" t="s">
        <v>38</v>
      </c>
      <c r="F362" s="25">
        <v>0</v>
      </c>
      <c r="G362" s="12" t="s">
        <v>1107</v>
      </c>
      <c r="H362" s="12">
        <v>0</v>
      </c>
      <c r="I362" s="12">
        <v>0</v>
      </c>
      <c r="J362" s="12">
        <v>0</v>
      </c>
      <c r="K362" s="12">
        <v>0</v>
      </c>
      <c r="L362" s="13">
        <v>0</v>
      </c>
      <c r="M362" s="13">
        <v>0</v>
      </c>
      <c r="N362" s="12">
        <v>0</v>
      </c>
      <c r="O362" s="12">
        <v>0</v>
      </c>
      <c r="P362" s="12">
        <v>0</v>
      </c>
      <c r="Q362" s="14">
        <v>0</v>
      </c>
      <c r="R362" s="15">
        <v>1075150.52</v>
      </c>
      <c r="S362" s="16">
        <v>1075150.52</v>
      </c>
      <c r="T362" s="15">
        <v>736349.16000000015</v>
      </c>
      <c r="U362" s="16">
        <v>0</v>
      </c>
      <c r="V362" s="15">
        <v>338801.36</v>
      </c>
      <c r="W362" s="16">
        <v>0</v>
      </c>
      <c r="X362" s="15">
        <v>0</v>
      </c>
      <c r="Y362" s="16">
        <v>0</v>
      </c>
      <c r="Z362" s="15">
        <v>0</v>
      </c>
      <c r="AA362" s="16">
        <v>0</v>
      </c>
      <c r="AB362" s="15">
        <v>0</v>
      </c>
      <c r="AC362" s="16">
        <v>0</v>
      </c>
      <c r="AD362" s="15">
        <v>0</v>
      </c>
      <c r="AE362" s="16">
        <v>0</v>
      </c>
      <c r="AF362" s="15">
        <v>0</v>
      </c>
      <c r="AG362" s="16">
        <v>0</v>
      </c>
      <c r="AH362" s="15">
        <v>0</v>
      </c>
      <c r="AI362" s="15" t="s">
        <v>1108</v>
      </c>
      <c r="AJ362" s="14">
        <v>0.39641203703703703</v>
      </c>
      <c r="AK362" s="17">
        <v>44256</v>
      </c>
      <c r="AL362" s="18" t="s">
        <v>291</v>
      </c>
      <c r="AM362" s="14" t="s">
        <v>292</v>
      </c>
      <c r="AN362" s="14" t="s">
        <v>36</v>
      </c>
      <c r="AO362" s="14" t="s">
        <v>1109</v>
      </c>
      <c r="AP362" s="14" t="s">
        <v>37</v>
      </c>
      <c r="AQ362" s="14" t="s">
        <v>184</v>
      </c>
      <c r="AR362" s="14" t="s">
        <v>4</v>
      </c>
      <c r="AS362" s="14">
        <v>0</v>
      </c>
      <c r="AT362" s="14">
        <v>0</v>
      </c>
      <c r="AU362" s="14">
        <v>0</v>
      </c>
      <c r="AV362" s="14">
        <v>0</v>
      </c>
      <c r="AW362" s="14"/>
      <c r="AX362" s="14"/>
      <c r="AY362" s="14"/>
      <c r="AZ362" s="14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  <c r="BL362" s="11"/>
      <c r="BM362" s="11"/>
      <c r="BN362" s="11"/>
    </row>
    <row r="363" spans="1:66" s="2" customFormat="1" ht="12.75" x14ac:dyDescent="0.25">
      <c r="A363" s="9">
        <f t="shared" si="5"/>
        <v>1</v>
      </c>
      <c r="B363" s="6"/>
      <c r="C363" s="6"/>
      <c r="D363" s="24"/>
      <c r="E363" s="12" t="s">
        <v>38</v>
      </c>
      <c r="F363" s="25">
        <v>0</v>
      </c>
      <c r="G363" s="12" t="s">
        <v>1110</v>
      </c>
      <c r="H363" s="12">
        <v>0</v>
      </c>
      <c r="I363" s="12">
        <v>0</v>
      </c>
      <c r="J363" s="12">
        <v>0</v>
      </c>
      <c r="K363" s="12">
        <v>0</v>
      </c>
      <c r="L363" s="13">
        <v>0</v>
      </c>
      <c r="M363" s="13">
        <v>0</v>
      </c>
      <c r="N363" s="12">
        <v>0</v>
      </c>
      <c r="O363" s="12">
        <v>0</v>
      </c>
      <c r="P363" s="12">
        <v>0</v>
      </c>
      <c r="Q363" s="14">
        <v>0</v>
      </c>
      <c r="R363" s="15">
        <v>887310.64</v>
      </c>
      <c r="S363" s="16">
        <v>887310.64</v>
      </c>
      <c r="T363" s="15">
        <v>615903.48</v>
      </c>
      <c r="U363" s="16">
        <v>0</v>
      </c>
      <c r="V363" s="15">
        <v>271407.16000000003</v>
      </c>
      <c r="W363" s="16">
        <v>0</v>
      </c>
      <c r="X363" s="15">
        <v>0</v>
      </c>
      <c r="Y363" s="16">
        <v>0</v>
      </c>
      <c r="Z363" s="15">
        <v>0</v>
      </c>
      <c r="AA363" s="16">
        <v>0</v>
      </c>
      <c r="AB363" s="15">
        <v>0</v>
      </c>
      <c r="AC363" s="16">
        <v>0</v>
      </c>
      <c r="AD363" s="15">
        <v>0</v>
      </c>
      <c r="AE363" s="16">
        <v>0</v>
      </c>
      <c r="AF363" s="15">
        <v>0</v>
      </c>
      <c r="AG363" s="16">
        <v>0</v>
      </c>
      <c r="AH363" s="15">
        <v>0</v>
      </c>
      <c r="AI363" s="15" t="s">
        <v>1111</v>
      </c>
      <c r="AJ363" s="14">
        <v>0.39961805555555557</v>
      </c>
      <c r="AK363" s="17">
        <v>44256</v>
      </c>
      <c r="AL363" s="18" t="s">
        <v>291</v>
      </c>
      <c r="AM363" s="14" t="s">
        <v>292</v>
      </c>
      <c r="AN363" s="14" t="s">
        <v>36</v>
      </c>
      <c r="AO363" s="14" t="s">
        <v>1112</v>
      </c>
      <c r="AP363" s="14" t="s">
        <v>37</v>
      </c>
      <c r="AQ363" s="14" t="s">
        <v>184</v>
      </c>
      <c r="AR363" s="14" t="s">
        <v>4</v>
      </c>
      <c r="AS363" s="14">
        <v>0</v>
      </c>
      <c r="AT363" s="14">
        <v>0</v>
      </c>
      <c r="AU363" s="14">
        <v>0</v>
      </c>
      <c r="AV363" s="14">
        <v>0</v>
      </c>
      <c r="AW363" s="14"/>
      <c r="AX363" s="14"/>
      <c r="AY363" s="14"/>
      <c r="AZ363" s="14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  <c r="BL363" s="11"/>
      <c r="BM363" s="11"/>
      <c r="BN363" s="11"/>
    </row>
    <row r="364" spans="1:66" s="2" customFormat="1" ht="12.75" x14ac:dyDescent="0.25">
      <c r="A364" s="9">
        <f t="shared" si="5"/>
        <v>1</v>
      </c>
      <c r="B364" s="6"/>
      <c r="C364" s="6"/>
      <c r="D364" s="24"/>
      <c r="E364" s="12" t="s">
        <v>38</v>
      </c>
      <c r="F364" s="25">
        <v>0</v>
      </c>
      <c r="G364" s="12" t="s">
        <v>1113</v>
      </c>
      <c r="H364" s="12">
        <v>0</v>
      </c>
      <c r="I364" s="12">
        <v>0</v>
      </c>
      <c r="J364" s="12">
        <v>0</v>
      </c>
      <c r="K364" s="12">
        <v>0</v>
      </c>
      <c r="L364" s="13">
        <v>0</v>
      </c>
      <c r="M364" s="13">
        <v>0</v>
      </c>
      <c r="N364" s="12">
        <v>0</v>
      </c>
      <c r="O364" s="12">
        <v>0</v>
      </c>
      <c r="P364" s="12">
        <v>0</v>
      </c>
      <c r="Q364" s="14">
        <v>0</v>
      </c>
      <c r="R364" s="15">
        <v>1037287.1300000001</v>
      </c>
      <c r="S364" s="16">
        <v>1037287.1300000001</v>
      </c>
      <c r="T364" s="15">
        <v>717322.77000000014</v>
      </c>
      <c r="U364" s="16">
        <v>0</v>
      </c>
      <c r="V364" s="15">
        <v>319964.36</v>
      </c>
      <c r="W364" s="16">
        <v>0</v>
      </c>
      <c r="X364" s="15">
        <v>0</v>
      </c>
      <c r="Y364" s="16">
        <v>0</v>
      </c>
      <c r="Z364" s="15">
        <v>0</v>
      </c>
      <c r="AA364" s="16">
        <v>0</v>
      </c>
      <c r="AB364" s="15">
        <v>0</v>
      </c>
      <c r="AC364" s="16">
        <v>0</v>
      </c>
      <c r="AD364" s="15">
        <v>0</v>
      </c>
      <c r="AE364" s="16">
        <v>0</v>
      </c>
      <c r="AF364" s="15">
        <v>0</v>
      </c>
      <c r="AG364" s="16">
        <v>0</v>
      </c>
      <c r="AH364" s="15">
        <v>0</v>
      </c>
      <c r="AI364" s="15" t="s">
        <v>1114</v>
      </c>
      <c r="AJ364" s="14">
        <v>0.40332175925925928</v>
      </c>
      <c r="AK364" s="17">
        <v>44256</v>
      </c>
      <c r="AL364" s="18" t="s">
        <v>291</v>
      </c>
      <c r="AM364" s="14" t="s">
        <v>292</v>
      </c>
      <c r="AN364" s="14" t="s">
        <v>36</v>
      </c>
      <c r="AO364" s="14" t="s">
        <v>1115</v>
      </c>
      <c r="AP364" s="14" t="s">
        <v>37</v>
      </c>
      <c r="AQ364" s="14" t="s">
        <v>184</v>
      </c>
      <c r="AR364" s="14" t="s">
        <v>4</v>
      </c>
      <c r="AS364" s="14">
        <v>0</v>
      </c>
      <c r="AT364" s="14">
        <v>0</v>
      </c>
      <c r="AU364" s="14">
        <v>0</v>
      </c>
      <c r="AV364" s="14">
        <v>0</v>
      </c>
      <c r="AW364" s="14"/>
      <c r="AX364" s="14"/>
      <c r="AY364" s="14"/>
      <c r="AZ364" s="14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  <c r="BL364" s="11"/>
      <c r="BM364" s="11"/>
      <c r="BN364" s="11"/>
    </row>
    <row r="365" spans="1:66" s="2" customFormat="1" ht="12.75" x14ac:dyDescent="0.25">
      <c r="A365" s="9">
        <f t="shared" si="5"/>
        <v>1</v>
      </c>
      <c r="B365" s="6"/>
      <c r="C365" s="6"/>
      <c r="D365" s="24"/>
      <c r="E365" s="12" t="s">
        <v>38</v>
      </c>
      <c r="F365" s="25">
        <v>0</v>
      </c>
      <c r="G365" s="12" t="s">
        <v>1116</v>
      </c>
      <c r="H365" s="12">
        <v>0</v>
      </c>
      <c r="I365" s="12">
        <v>0</v>
      </c>
      <c r="J365" s="12">
        <v>0</v>
      </c>
      <c r="K365" s="12">
        <v>0</v>
      </c>
      <c r="L365" s="13">
        <v>0</v>
      </c>
      <c r="M365" s="13">
        <v>0</v>
      </c>
      <c r="N365" s="12">
        <v>0</v>
      </c>
      <c r="O365" s="12">
        <v>0</v>
      </c>
      <c r="P365" s="12">
        <v>0</v>
      </c>
      <c r="Q365" s="14">
        <v>0</v>
      </c>
      <c r="R365" s="15">
        <v>1050964.3700000001</v>
      </c>
      <c r="S365" s="16">
        <v>1050964.3700000001</v>
      </c>
      <c r="T365" s="15">
        <v>722365.81</v>
      </c>
      <c r="U365" s="16">
        <v>0</v>
      </c>
      <c r="V365" s="15">
        <v>328598.55999999994</v>
      </c>
      <c r="W365" s="16">
        <v>0</v>
      </c>
      <c r="X365" s="15">
        <v>0</v>
      </c>
      <c r="Y365" s="16">
        <v>0</v>
      </c>
      <c r="Z365" s="15">
        <v>0</v>
      </c>
      <c r="AA365" s="16">
        <v>0</v>
      </c>
      <c r="AB365" s="15">
        <v>0</v>
      </c>
      <c r="AC365" s="16">
        <v>0</v>
      </c>
      <c r="AD365" s="15">
        <v>0</v>
      </c>
      <c r="AE365" s="16">
        <v>0</v>
      </c>
      <c r="AF365" s="15">
        <v>0</v>
      </c>
      <c r="AG365" s="16">
        <v>0</v>
      </c>
      <c r="AH365" s="15">
        <v>0</v>
      </c>
      <c r="AI365" s="15" t="s">
        <v>1117</v>
      </c>
      <c r="AJ365" s="14">
        <v>0.4054976851851852</v>
      </c>
      <c r="AK365" s="17">
        <v>44256</v>
      </c>
      <c r="AL365" s="18" t="s">
        <v>291</v>
      </c>
      <c r="AM365" s="14" t="s">
        <v>292</v>
      </c>
      <c r="AN365" s="14" t="s">
        <v>36</v>
      </c>
      <c r="AO365" s="14" t="s">
        <v>1118</v>
      </c>
      <c r="AP365" s="14" t="s">
        <v>37</v>
      </c>
      <c r="AQ365" s="14" t="s">
        <v>184</v>
      </c>
      <c r="AR365" s="14" t="s">
        <v>4</v>
      </c>
      <c r="AS365" s="14">
        <v>0</v>
      </c>
      <c r="AT365" s="14">
        <v>0</v>
      </c>
      <c r="AU365" s="14">
        <v>0</v>
      </c>
      <c r="AV365" s="14">
        <v>0</v>
      </c>
      <c r="AW365" s="14"/>
      <c r="AX365" s="14"/>
      <c r="AY365" s="14"/>
      <c r="AZ365" s="14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  <c r="BL365" s="11"/>
      <c r="BM365" s="11"/>
      <c r="BN365" s="11"/>
    </row>
    <row r="366" spans="1:66" s="2" customFormat="1" ht="12.75" x14ac:dyDescent="0.25">
      <c r="A366" s="9">
        <f t="shared" si="5"/>
        <v>1</v>
      </c>
      <c r="B366" s="6"/>
      <c r="C366" s="6"/>
      <c r="D366" s="24"/>
      <c r="E366" s="12" t="s">
        <v>38</v>
      </c>
      <c r="F366" s="25">
        <v>0</v>
      </c>
      <c r="G366" s="12" t="s">
        <v>1119</v>
      </c>
      <c r="H366" s="12">
        <v>0</v>
      </c>
      <c r="I366" s="12">
        <v>0</v>
      </c>
      <c r="J366" s="12">
        <v>0</v>
      </c>
      <c r="K366" s="12">
        <v>0</v>
      </c>
      <c r="L366" s="13">
        <v>0</v>
      </c>
      <c r="M366" s="13">
        <v>0</v>
      </c>
      <c r="N366" s="12">
        <v>0</v>
      </c>
      <c r="O366" s="12">
        <v>0</v>
      </c>
      <c r="P366" s="12">
        <v>0</v>
      </c>
      <c r="Q366" s="14">
        <v>0</v>
      </c>
      <c r="R366" s="15">
        <v>12700</v>
      </c>
      <c r="S366" s="16">
        <v>12700</v>
      </c>
      <c r="T366" s="15">
        <v>0</v>
      </c>
      <c r="U366" s="16">
        <v>0</v>
      </c>
      <c r="V366" s="15">
        <v>12700</v>
      </c>
      <c r="W366" s="16">
        <v>0</v>
      </c>
      <c r="X366" s="15">
        <v>0</v>
      </c>
      <c r="Y366" s="16">
        <v>0</v>
      </c>
      <c r="Z366" s="15">
        <v>0</v>
      </c>
      <c r="AA366" s="16">
        <v>0</v>
      </c>
      <c r="AB366" s="15">
        <v>0</v>
      </c>
      <c r="AC366" s="16">
        <v>0</v>
      </c>
      <c r="AD366" s="15">
        <v>0</v>
      </c>
      <c r="AE366" s="16">
        <v>0</v>
      </c>
      <c r="AF366" s="15">
        <v>0</v>
      </c>
      <c r="AG366" s="16">
        <v>0</v>
      </c>
      <c r="AH366" s="15">
        <v>0</v>
      </c>
      <c r="AI366" s="15" t="s">
        <v>1120</v>
      </c>
      <c r="AJ366" s="14">
        <v>0.52783564814814821</v>
      </c>
      <c r="AK366" s="17">
        <v>44264</v>
      </c>
      <c r="AL366" s="18" t="s">
        <v>291</v>
      </c>
      <c r="AM366" s="14" t="s">
        <v>292</v>
      </c>
      <c r="AN366" s="14" t="s">
        <v>36</v>
      </c>
      <c r="AO366" s="14" t="s">
        <v>1121</v>
      </c>
      <c r="AP366" s="14" t="s">
        <v>37</v>
      </c>
      <c r="AQ366" s="14" t="s">
        <v>184</v>
      </c>
      <c r="AR366" s="14" t="s">
        <v>4</v>
      </c>
      <c r="AS366" s="14">
        <v>0</v>
      </c>
      <c r="AT366" s="14">
        <v>0</v>
      </c>
      <c r="AU366" s="14">
        <v>0</v>
      </c>
      <c r="AV366" s="14">
        <v>0</v>
      </c>
      <c r="AW366" s="14"/>
      <c r="AX366" s="14"/>
      <c r="AY366" s="14"/>
      <c r="AZ366" s="14"/>
      <c r="BA366" s="11"/>
      <c r="BB366" s="11"/>
      <c r="BC366" s="11"/>
      <c r="BD366" s="11"/>
      <c r="BE366" s="11"/>
      <c r="BF366" s="11"/>
      <c r="BG366" s="11"/>
      <c r="BH366" s="11"/>
      <c r="BI366" s="11"/>
      <c r="BJ366" s="11"/>
      <c r="BK366" s="11"/>
      <c r="BL366" s="11"/>
      <c r="BM366" s="11"/>
      <c r="BN366" s="11"/>
    </row>
    <row r="367" spans="1:66" s="2" customFormat="1" ht="12.75" x14ac:dyDescent="0.25">
      <c r="A367" s="9">
        <f t="shared" si="5"/>
        <v>1</v>
      </c>
      <c r="B367" s="6"/>
      <c r="C367" s="6"/>
      <c r="D367" s="24"/>
      <c r="E367" s="12" t="s">
        <v>38</v>
      </c>
      <c r="F367" s="25">
        <v>0</v>
      </c>
      <c r="G367" s="12" t="s">
        <v>1122</v>
      </c>
      <c r="H367" s="12">
        <v>0</v>
      </c>
      <c r="I367" s="12">
        <v>0</v>
      </c>
      <c r="J367" s="12">
        <v>0</v>
      </c>
      <c r="K367" s="12">
        <v>0</v>
      </c>
      <c r="L367" s="13">
        <v>0</v>
      </c>
      <c r="M367" s="13">
        <v>0</v>
      </c>
      <c r="N367" s="12">
        <v>0</v>
      </c>
      <c r="O367" s="12">
        <v>0</v>
      </c>
      <c r="P367" s="12">
        <v>0</v>
      </c>
      <c r="Q367" s="14">
        <v>0</v>
      </c>
      <c r="R367" s="15">
        <v>1231681.2700000003</v>
      </c>
      <c r="S367" s="16">
        <v>1231681.2700000003</v>
      </c>
      <c r="T367" s="15">
        <v>842111.03000000014</v>
      </c>
      <c r="U367" s="16">
        <v>0</v>
      </c>
      <c r="V367" s="15">
        <v>389570.24000000005</v>
      </c>
      <c r="W367" s="16">
        <v>0</v>
      </c>
      <c r="X367" s="15">
        <v>0</v>
      </c>
      <c r="Y367" s="16">
        <v>0</v>
      </c>
      <c r="Z367" s="15">
        <v>0</v>
      </c>
      <c r="AA367" s="16">
        <v>0</v>
      </c>
      <c r="AB367" s="15">
        <v>0</v>
      </c>
      <c r="AC367" s="16">
        <v>0</v>
      </c>
      <c r="AD367" s="15">
        <v>0</v>
      </c>
      <c r="AE367" s="16">
        <v>0</v>
      </c>
      <c r="AF367" s="15">
        <v>0</v>
      </c>
      <c r="AG367" s="16">
        <v>0</v>
      </c>
      <c r="AH367" s="15">
        <v>0</v>
      </c>
      <c r="AI367" s="15" t="s">
        <v>1123</v>
      </c>
      <c r="AJ367" s="14">
        <v>0.6449421296296296</v>
      </c>
      <c r="AK367" s="17">
        <v>44278</v>
      </c>
      <c r="AL367" s="18" t="s">
        <v>291</v>
      </c>
      <c r="AM367" s="14" t="s">
        <v>292</v>
      </c>
      <c r="AN367" s="14" t="s">
        <v>36</v>
      </c>
      <c r="AO367" s="14" t="s">
        <v>1124</v>
      </c>
      <c r="AP367" s="14" t="s">
        <v>37</v>
      </c>
      <c r="AQ367" s="14" t="s">
        <v>184</v>
      </c>
      <c r="AR367" s="14" t="s">
        <v>4</v>
      </c>
      <c r="AS367" s="14">
        <v>0</v>
      </c>
      <c r="AT367" s="14">
        <v>0</v>
      </c>
      <c r="AU367" s="14">
        <v>0</v>
      </c>
      <c r="AV367" s="14">
        <v>0</v>
      </c>
      <c r="AW367" s="14"/>
      <c r="AX367" s="14"/>
      <c r="AY367" s="14"/>
      <c r="AZ367" s="14"/>
      <c r="BA367" s="11"/>
      <c r="BB367" s="11"/>
      <c r="BC367" s="11"/>
      <c r="BD367" s="11"/>
      <c r="BE367" s="11"/>
      <c r="BF367" s="11"/>
      <c r="BG367" s="11"/>
      <c r="BH367" s="11"/>
      <c r="BI367" s="11"/>
      <c r="BJ367" s="11"/>
      <c r="BK367" s="11"/>
      <c r="BL367" s="11"/>
      <c r="BM367" s="11"/>
      <c r="BN367" s="11"/>
    </row>
    <row r="368" spans="1:66" s="2" customFormat="1" ht="12.75" x14ac:dyDescent="0.25">
      <c r="A368" s="9">
        <f t="shared" si="5"/>
        <v>1</v>
      </c>
      <c r="B368" s="6"/>
      <c r="C368" s="6"/>
      <c r="D368" s="24"/>
      <c r="E368" s="12" t="s">
        <v>38</v>
      </c>
      <c r="F368" s="25">
        <v>0</v>
      </c>
      <c r="G368" s="12" t="s">
        <v>1125</v>
      </c>
      <c r="H368" s="12">
        <v>0</v>
      </c>
      <c r="I368" s="12">
        <v>0</v>
      </c>
      <c r="J368" s="12">
        <v>0</v>
      </c>
      <c r="K368" s="12">
        <v>0</v>
      </c>
      <c r="L368" s="13">
        <v>0</v>
      </c>
      <c r="M368" s="13">
        <v>0</v>
      </c>
      <c r="N368" s="12">
        <v>0</v>
      </c>
      <c r="O368" s="12">
        <v>0</v>
      </c>
      <c r="P368" s="12">
        <v>0</v>
      </c>
      <c r="Q368" s="14">
        <v>0</v>
      </c>
      <c r="R368" s="15">
        <v>1267527.23</v>
      </c>
      <c r="S368" s="16">
        <v>1267527.23</v>
      </c>
      <c r="T368" s="15">
        <v>863324.99</v>
      </c>
      <c r="U368" s="16">
        <v>0</v>
      </c>
      <c r="V368" s="15">
        <v>404202.24000000005</v>
      </c>
      <c r="W368" s="16">
        <v>0</v>
      </c>
      <c r="X368" s="15">
        <v>0</v>
      </c>
      <c r="Y368" s="16">
        <v>0</v>
      </c>
      <c r="Z368" s="15">
        <v>0</v>
      </c>
      <c r="AA368" s="16">
        <v>0</v>
      </c>
      <c r="AB368" s="15">
        <v>0</v>
      </c>
      <c r="AC368" s="16">
        <v>0</v>
      </c>
      <c r="AD368" s="15">
        <v>0</v>
      </c>
      <c r="AE368" s="16">
        <v>0</v>
      </c>
      <c r="AF368" s="15">
        <v>0</v>
      </c>
      <c r="AG368" s="16">
        <v>0</v>
      </c>
      <c r="AH368" s="15">
        <v>0</v>
      </c>
      <c r="AI368" s="15" t="s">
        <v>1126</v>
      </c>
      <c r="AJ368" s="14">
        <v>0.36340277777777774</v>
      </c>
      <c r="AK368" s="17">
        <v>44280</v>
      </c>
      <c r="AL368" s="18" t="s">
        <v>291</v>
      </c>
      <c r="AM368" s="14" t="s">
        <v>292</v>
      </c>
      <c r="AN368" s="14" t="s">
        <v>36</v>
      </c>
      <c r="AO368" s="14" t="s">
        <v>1127</v>
      </c>
      <c r="AP368" s="14" t="s">
        <v>37</v>
      </c>
      <c r="AQ368" s="14" t="s">
        <v>184</v>
      </c>
      <c r="AR368" s="14" t="s">
        <v>4</v>
      </c>
      <c r="AS368" s="14">
        <v>0</v>
      </c>
      <c r="AT368" s="14">
        <v>0</v>
      </c>
      <c r="AU368" s="14">
        <v>0</v>
      </c>
      <c r="AV368" s="14">
        <v>0</v>
      </c>
      <c r="AW368" s="14"/>
      <c r="AX368" s="14"/>
      <c r="AY368" s="14"/>
      <c r="AZ368" s="14"/>
      <c r="BA368" s="11"/>
      <c r="BB368" s="11"/>
      <c r="BC368" s="11"/>
      <c r="BD368" s="11"/>
      <c r="BE368" s="11"/>
      <c r="BF368" s="11"/>
      <c r="BG368" s="11"/>
      <c r="BH368" s="11"/>
      <c r="BI368" s="11"/>
      <c r="BJ368" s="11"/>
      <c r="BK368" s="11"/>
      <c r="BL368" s="11"/>
      <c r="BM368" s="11"/>
      <c r="BN368" s="11"/>
    </row>
    <row r="369" spans="1:66" s="2" customFormat="1" ht="12.75" x14ac:dyDescent="0.25">
      <c r="A369" s="9">
        <f t="shared" si="5"/>
        <v>1</v>
      </c>
      <c r="B369" s="6"/>
      <c r="C369" s="6"/>
      <c r="D369" s="24"/>
      <c r="E369" s="12" t="s">
        <v>38</v>
      </c>
      <c r="F369" s="25">
        <v>0</v>
      </c>
      <c r="G369" s="12" t="s">
        <v>1128</v>
      </c>
      <c r="H369" s="12">
        <v>0</v>
      </c>
      <c r="I369" s="12">
        <v>0</v>
      </c>
      <c r="J369" s="12">
        <v>0</v>
      </c>
      <c r="K369" s="12">
        <v>0</v>
      </c>
      <c r="L369" s="13">
        <v>0</v>
      </c>
      <c r="M369" s="13">
        <v>0</v>
      </c>
      <c r="N369" s="12">
        <v>0</v>
      </c>
      <c r="O369" s="12">
        <v>0</v>
      </c>
      <c r="P369" s="12">
        <v>0</v>
      </c>
      <c r="Q369" s="14">
        <v>0</v>
      </c>
      <c r="R369" s="15">
        <v>1033848.5599999998</v>
      </c>
      <c r="S369" s="16">
        <v>1033848.5599999998</v>
      </c>
      <c r="T369" s="15">
        <v>705324.47999999986</v>
      </c>
      <c r="U369" s="16">
        <v>0</v>
      </c>
      <c r="V369" s="15">
        <v>328524.08</v>
      </c>
      <c r="W369" s="16">
        <v>0</v>
      </c>
      <c r="X369" s="15">
        <v>0</v>
      </c>
      <c r="Y369" s="16">
        <v>0</v>
      </c>
      <c r="Z369" s="15">
        <v>0</v>
      </c>
      <c r="AA369" s="16">
        <v>0</v>
      </c>
      <c r="AB369" s="15">
        <v>0</v>
      </c>
      <c r="AC369" s="16">
        <v>0</v>
      </c>
      <c r="AD369" s="15">
        <v>0</v>
      </c>
      <c r="AE369" s="16">
        <v>0</v>
      </c>
      <c r="AF369" s="15">
        <v>0</v>
      </c>
      <c r="AG369" s="16">
        <v>0</v>
      </c>
      <c r="AH369" s="15">
        <v>0</v>
      </c>
      <c r="AI369" s="15" t="s">
        <v>1129</v>
      </c>
      <c r="AJ369" s="14">
        <v>0.37730324074074079</v>
      </c>
      <c r="AK369" s="17">
        <v>44280</v>
      </c>
      <c r="AL369" s="18" t="s">
        <v>291</v>
      </c>
      <c r="AM369" s="14" t="s">
        <v>292</v>
      </c>
      <c r="AN369" s="14" t="s">
        <v>36</v>
      </c>
      <c r="AO369" s="14" t="s">
        <v>1130</v>
      </c>
      <c r="AP369" s="14" t="s">
        <v>37</v>
      </c>
      <c r="AQ369" s="14" t="s">
        <v>184</v>
      </c>
      <c r="AR369" s="14" t="s">
        <v>4</v>
      </c>
      <c r="AS369" s="14">
        <v>0</v>
      </c>
      <c r="AT369" s="14">
        <v>0</v>
      </c>
      <c r="AU369" s="14">
        <v>0</v>
      </c>
      <c r="AV369" s="14">
        <v>0</v>
      </c>
      <c r="AW369" s="14"/>
      <c r="AX369" s="14"/>
      <c r="AY369" s="14"/>
      <c r="AZ369" s="14"/>
      <c r="BA369" s="11"/>
      <c r="BB369" s="11"/>
      <c r="BC369" s="11"/>
      <c r="BD369" s="11"/>
      <c r="BE369" s="11"/>
      <c r="BF369" s="11"/>
      <c r="BG369" s="11"/>
      <c r="BH369" s="11"/>
      <c r="BI369" s="11"/>
      <c r="BJ369" s="11"/>
      <c r="BK369" s="11"/>
      <c r="BL369" s="11"/>
      <c r="BM369" s="11"/>
      <c r="BN369" s="11"/>
    </row>
    <row r="370" spans="1:66" s="2" customFormat="1" ht="12.75" x14ac:dyDescent="0.25">
      <c r="A370" s="9">
        <f t="shared" si="5"/>
        <v>1</v>
      </c>
      <c r="B370" s="6"/>
      <c r="C370" s="6"/>
      <c r="D370" s="24"/>
      <c r="E370" s="12" t="s">
        <v>38</v>
      </c>
      <c r="F370" s="25">
        <v>0</v>
      </c>
      <c r="G370" s="12" t="s">
        <v>1131</v>
      </c>
      <c r="H370" s="12">
        <v>0</v>
      </c>
      <c r="I370" s="12">
        <v>0</v>
      </c>
      <c r="J370" s="12">
        <v>0</v>
      </c>
      <c r="K370" s="12">
        <v>0</v>
      </c>
      <c r="L370" s="13">
        <v>0</v>
      </c>
      <c r="M370" s="13">
        <v>0</v>
      </c>
      <c r="N370" s="12">
        <v>0</v>
      </c>
      <c r="O370" s="12">
        <v>0</v>
      </c>
      <c r="P370" s="12">
        <v>0</v>
      </c>
      <c r="Q370" s="14">
        <v>0</v>
      </c>
      <c r="R370" s="15">
        <v>815219.41000000015</v>
      </c>
      <c r="S370" s="16">
        <v>815219.41000000015</v>
      </c>
      <c r="T370" s="15">
        <v>560303.65000000014</v>
      </c>
      <c r="U370" s="16">
        <v>0</v>
      </c>
      <c r="V370" s="15">
        <v>254915.76</v>
      </c>
      <c r="W370" s="16">
        <v>0</v>
      </c>
      <c r="X370" s="15">
        <v>0</v>
      </c>
      <c r="Y370" s="16">
        <v>0</v>
      </c>
      <c r="Z370" s="15">
        <v>0</v>
      </c>
      <c r="AA370" s="16">
        <v>0</v>
      </c>
      <c r="AB370" s="15">
        <v>0</v>
      </c>
      <c r="AC370" s="16">
        <v>0</v>
      </c>
      <c r="AD370" s="15">
        <v>0</v>
      </c>
      <c r="AE370" s="16">
        <v>0</v>
      </c>
      <c r="AF370" s="15">
        <v>0</v>
      </c>
      <c r="AG370" s="16">
        <v>0</v>
      </c>
      <c r="AH370" s="15">
        <v>0</v>
      </c>
      <c r="AI370" s="15" t="s">
        <v>1132</v>
      </c>
      <c r="AJ370" s="14">
        <v>0.38695601851851852</v>
      </c>
      <c r="AK370" s="17">
        <v>44280</v>
      </c>
      <c r="AL370" s="18" t="s">
        <v>291</v>
      </c>
      <c r="AM370" s="14" t="s">
        <v>292</v>
      </c>
      <c r="AN370" s="14" t="s">
        <v>36</v>
      </c>
      <c r="AO370" s="14" t="s">
        <v>1133</v>
      </c>
      <c r="AP370" s="14" t="s">
        <v>37</v>
      </c>
      <c r="AQ370" s="14" t="s">
        <v>184</v>
      </c>
      <c r="AR370" s="14" t="s">
        <v>4</v>
      </c>
      <c r="AS370" s="14">
        <v>0</v>
      </c>
      <c r="AT370" s="14">
        <v>0</v>
      </c>
      <c r="AU370" s="14">
        <v>0</v>
      </c>
      <c r="AV370" s="14">
        <v>0</v>
      </c>
      <c r="AW370" s="14"/>
      <c r="AX370" s="14"/>
      <c r="AY370" s="14"/>
      <c r="AZ370" s="14"/>
      <c r="BA370" s="11"/>
      <c r="BB370" s="11"/>
      <c r="BC370" s="11"/>
      <c r="BD370" s="11"/>
      <c r="BE370" s="11"/>
      <c r="BF370" s="11"/>
      <c r="BG370" s="11"/>
      <c r="BH370" s="11"/>
      <c r="BI370" s="11"/>
      <c r="BJ370" s="11"/>
      <c r="BK370" s="11"/>
      <c r="BL370" s="11"/>
      <c r="BM370" s="11"/>
      <c r="BN370" s="11"/>
    </row>
    <row r="371" spans="1:66" s="2" customFormat="1" ht="12.75" x14ac:dyDescent="0.25">
      <c r="A371" s="9">
        <f t="shared" si="5"/>
        <v>1</v>
      </c>
      <c r="B371" s="6"/>
      <c r="C371" s="6"/>
      <c r="D371" s="24"/>
      <c r="E371" s="12" t="s">
        <v>38</v>
      </c>
      <c r="F371" s="25">
        <v>0</v>
      </c>
      <c r="G371" s="12" t="s">
        <v>1134</v>
      </c>
      <c r="H371" s="12">
        <v>0</v>
      </c>
      <c r="I371" s="12">
        <v>0</v>
      </c>
      <c r="J371" s="12">
        <v>0</v>
      </c>
      <c r="K371" s="12">
        <v>0</v>
      </c>
      <c r="L371" s="13">
        <v>0</v>
      </c>
      <c r="M371" s="13">
        <v>0</v>
      </c>
      <c r="N371" s="12">
        <v>0</v>
      </c>
      <c r="O371" s="12">
        <v>0</v>
      </c>
      <c r="P371" s="12">
        <v>0</v>
      </c>
      <c r="Q371" s="14">
        <v>0</v>
      </c>
      <c r="R371" s="15">
        <v>1224266.21</v>
      </c>
      <c r="S371" s="16">
        <v>1224266.21</v>
      </c>
      <c r="T371" s="15">
        <v>838312.13</v>
      </c>
      <c r="U371" s="16">
        <v>0</v>
      </c>
      <c r="V371" s="15">
        <v>385954.08</v>
      </c>
      <c r="W371" s="16">
        <v>0</v>
      </c>
      <c r="X371" s="15">
        <v>0</v>
      </c>
      <c r="Y371" s="16">
        <v>0</v>
      </c>
      <c r="Z371" s="15">
        <v>0</v>
      </c>
      <c r="AA371" s="16">
        <v>0</v>
      </c>
      <c r="AB371" s="15">
        <v>0</v>
      </c>
      <c r="AC371" s="16">
        <v>0</v>
      </c>
      <c r="AD371" s="15">
        <v>0</v>
      </c>
      <c r="AE371" s="16">
        <v>0</v>
      </c>
      <c r="AF371" s="15">
        <v>0</v>
      </c>
      <c r="AG371" s="16">
        <v>0</v>
      </c>
      <c r="AH371" s="15">
        <v>0</v>
      </c>
      <c r="AI371" s="15" t="s">
        <v>1135</v>
      </c>
      <c r="AJ371" s="14">
        <v>0.39538194444444441</v>
      </c>
      <c r="AK371" s="17">
        <v>44280</v>
      </c>
      <c r="AL371" s="18" t="s">
        <v>291</v>
      </c>
      <c r="AM371" s="14" t="s">
        <v>292</v>
      </c>
      <c r="AN371" s="14" t="s">
        <v>36</v>
      </c>
      <c r="AO371" s="14" t="s">
        <v>1136</v>
      </c>
      <c r="AP371" s="14" t="s">
        <v>37</v>
      </c>
      <c r="AQ371" s="14" t="s">
        <v>184</v>
      </c>
      <c r="AR371" s="14" t="s">
        <v>4</v>
      </c>
      <c r="AS371" s="14">
        <v>0</v>
      </c>
      <c r="AT371" s="14">
        <v>0</v>
      </c>
      <c r="AU371" s="14">
        <v>0</v>
      </c>
      <c r="AV371" s="14">
        <v>0</v>
      </c>
      <c r="AW371" s="14"/>
      <c r="AX371" s="14"/>
      <c r="AY371" s="14"/>
      <c r="AZ371" s="14"/>
      <c r="BA371" s="11"/>
      <c r="BB371" s="11"/>
      <c r="BC371" s="11"/>
      <c r="BD371" s="11"/>
      <c r="BE371" s="11"/>
      <c r="BF371" s="11"/>
      <c r="BG371" s="11"/>
      <c r="BH371" s="11"/>
      <c r="BI371" s="11"/>
      <c r="BJ371" s="11"/>
      <c r="BK371" s="11"/>
      <c r="BL371" s="11"/>
      <c r="BM371" s="11"/>
      <c r="BN371" s="11"/>
    </row>
    <row r="372" spans="1:66" s="2" customFormat="1" ht="12.75" x14ac:dyDescent="0.25">
      <c r="A372" s="9">
        <f t="shared" si="5"/>
        <v>1</v>
      </c>
      <c r="B372" s="6"/>
      <c r="C372" s="6"/>
      <c r="D372" s="24"/>
      <c r="E372" s="12" t="s">
        <v>38</v>
      </c>
      <c r="F372" s="25">
        <v>0</v>
      </c>
      <c r="G372" s="12" t="s">
        <v>1137</v>
      </c>
      <c r="H372" s="12">
        <v>0</v>
      </c>
      <c r="I372" s="12">
        <v>0</v>
      </c>
      <c r="J372" s="12">
        <v>0</v>
      </c>
      <c r="K372" s="12">
        <v>0</v>
      </c>
      <c r="L372" s="13">
        <v>0</v>
      </c>
      <c r="M372" s="13">
        <v>0</v>
      </c>
      <c r="N372" s="12">
        <v>0</v>
      </c>
      <c r="O372" s="12">
        <v>0</v>
      </c>
      <c r="P372" s="12">
        <v>0</v>
      </c>
      <c r="Q372" s="14">
        <v>0</v>
      </c>
      <c r="R372" s="15">
        <v>1707342.03</v>
      </c>
      <c r="S372" s="16">
        <v>1707342.03</v>
      </c>
      <c r="T372" s="15">
        <v>975315.51</v>
      </c>
      <c r="U372" s="16">
        <v>0</v>
      </c>
      <c r="V372" s="15">
        <v>732026.52</v>
      </c>
      <c r="W372" s="16">
        <v>0</v>
      </c>
      <c r="X372" s="15">
        <v>0</v>
      </c>
      <c r="Y372" s="16">
        <v>0</v>
      </c>
      <c r="Z372" s="15">
        <v>0</v>
      </c>
      <c r="AA372" s="16">
        <v>0</v>
      </c>
      <c r="AB372" s="15">
        <v>0</v>
      </c>
      <c r="AC372" s="16">
        <v>0</v>
      </c>
      <c r="AD372" s="15">
        <v>0</v>
      </c>
      <c r="AE372" s="16">
        <v>0</v>
      </c>
      <c r="AF372" s="15">
        <v>0</v>
      </c>
      <c r="AG372" s="16">
        <v>0</v>
      </c>
      <c r="AH372" s="15">
        <v>0</v>
      </c>
      <c r="AI372" s="15" t="s">
        <v>1138</v>
      </c>
      <c r="AJ372" s="14">
        <v>0.37656249999999997</v>
      </c>
      <c r="AK372" s="17">
        <v>44284</v>
      </c>
      <c r="AL372" s="18" t="s">
        <v>291</v>
      </c>
      <c r="AM372" s="14" t="s">
        <v>292</v>
      </c>
      <c r="AN372" s="14" t="s">
        <v>36</v>
      </c>
      <c r="AO372" s="14" t="s">
        <v>1139</v>
      </c>
      <c r="AP372" s="14" t="s">
        <v>37</v>
      </c>
      <c r="AQ372" s="14" t="s">
        <v>184</v>
      </c>
      <c r="AR372" s="14" t="s">
        <v>4</v>
      </c>
      <c r="AS372" s="14">
        <v>0</v>
      </c>
      <c r="AT372" s="14">
        <v>0</v>
      </c>
      <c r="AU372" s="14">
        <v>0</v>
      </c>
      <c r="AV372" s="14">
        <v>0</v>
      </c>
      <c r="AW372" s="14"/>
      <c r="AX372" s="14"/>
      <c r="AY372" s="14"/>
      <c r="AZ372" s="14"/>
      <c r="BA372" s="11"/>
      <c r="BB372" s="11"/>
      <c r="BC372" s="11"/>
      <c r="BD372" s="11"/>
      <c r="BE372" s="11"/>
      <c r="BF372" s="11"/>
      <c r="BG372" s="11"/>
      <c r="BH372" s="11"/>
      <c r="BI372" s="11"/>
      <c r="BJ372" s="11"/>
      <c r="BK372" s="11"/>
      <c r="BL372" s="11"/>
      <c r="BM372" s="11"/>
      <c r="BN372" s="11"/>
    </row>
    <row r="373" spans="1:66" s="2" customFormat="1" ht="12.75" x14ac:dyDescent="0.25">
      <c r="A373" s="9">
        <f t="shared" si="5"/>
        <v>1</v>
      </c>
      <c r="B373" s="6"/>
      <c r="C373" s="6"/>
      <c r="D373" s="24"/>
      <c r="E373" s="12" t="s">
        <v>38</v>
      </c>
      <c r="F373" s="25">
        <v>0</v>
      </c>
      <c r="G373" s="12" t="s">
        <v>1140</v>
      </c>
      <c r="H373" s="12">
        <v>0</v>
      </c>
      <c r="I373" s="12">
        <v>0</v>
      </c>
      <c r="J373" s="12">
        <v>0</v>
      </c>
      <c r="K373" s="12">
        <v>0</v>
      </c>
      <c r="L373" s="13">
        <v>0</v>
      </c>
      <c r="M373" s="13">
        <v>0</v>
      </c>
      <c r="N373" s="12">
        <v>0</v>
      </c>
      <c r="O373" s="12">
        <v>0</v>
      </c>
      <c r="P373" s="12">
        <v>0</v>
      </c>
      <c r="Q373" s="14">
        <v>0</v>
      </c>
      <c r="R373" s="15">
        <v>1705331.3900000001</v>
      </c>
      <c r="S373" s="16">
        <v>1705331.3900000001</v>
      </c>
      <c r="T373" s="15">
        <v>974055.59</v>
      </c>
      <c r="U373" s="16">
        <v>0</v>
      </c>
      <c r="V373" s="15">
        <v>731275.8</v>
      </c>
      <c r="W373" s="16">
        <v>0</v>
      </c>
      <c r="X373" s="15">
        <v>0</v>
      </c>
      <c r="Y373" s="16">
        <v>0</v>
      </c>
      <c r="Z373" s="15">
        <v>0</v>
      </c>
      <c r="AA373" s="16">
        <v>0</v>
      </c>
      <c r="AB373" s="15">
        <v>0</v>
      </c>
      <c r="AC373" s="16">
        <v>0</v>
      </c>
      <c r="AD373" s="15">
        <v>0</v>
      </c>
      <c r="AE373" s="16">
        <v>0</v>
      </c>
      <c r="AF373" s="15">
        <v>0</v>
      </c>
      <c r="AG373" s="16">
        <v>0</v>
      </c>
      <c r="AH373" s="15">
        <v>0</v>
      </c>
      <c r="AI373" s="15" t="s">
        <v>1141</v>
      </c>
      <c r="AJ373" s="14">
        <v>0.43153935185185183</v>
      </c>
      <c r="AK373" s="17">
        <v>44284</v>
      </c>
      <c r="AL373" s="18" t="s">
        <v>40</v>
      </c>
      <c r="AM373" s="14" t="s">
        <v>410</v>
      </c>
      <c r="AN373" s="14" t="s">
        <v>36</v>
      </c>
      <c r="AO373" s="14" t="s">
        <v>1142</v>
      </c>
      <c r="AP373" s="14" t="s">
        <v>37</v>
      </c>
      <c r="AQ373" s="14" t="s">
        <v>184</v>
      </c>
      <c r="AR373" s="14" t="s">
        <v>4</v>
      </c>
      <c r="AS373" s="14">
        <v>0</v>
      </c>
      <c r="AT373" s="14">
        <v>0</v>
      </c>
      <c r="AU373" s="14">
        <v>0</v>
      </c>
      <c r="AV373" s="14">
        <v>0</v>
      </c>
      <c r="AW373" s="14"/>
      <c r="AX373" s="14"/>
      <c r="AY373" s="14"/>
      <c r="AZ373" s="14"/>
      <c r="BA373" s="11"/>
      <c r="BB373" s="11"/>
      <c r="BC373" s="11"/>
      <c r="BD373" s="11"/>
      <c r="BE373" s="11"/>
      <c r="BF373" s="11"/>
      <c r="BG373" s="11"/>
      <c r="BH373" s="11"/>
      <c r="BI373" s="11"/>
      <c r="BJ373" s="11"/>
      <c r="BK373" s="11"/>
      <c r="BL373" s="11"/>
      <c r="BM373" s="11"/>
      <c r="BN373" s="11"/>
    </row>
    <row r="374" spans="1:66" s="2" customFormat="1" ht="12.75" x14ac:dyDescent="0.25">
      <c r="A374" s="9">
        <f t="shared" si="5"/>
        <v>1</v>
      </c>
      <c r="B374" s="6"/>
      <c r="C374" s="6"/>
      <c r="D374" s="24"/>
      <c r="E374" s="12" t="s">
        <v>38</v>
      </c>
      <c r="F374" s="25">
        <v>0</v>
      </c>
      <c r="G374" s="12" t="s">
        <v>1143</v>
      </c>
      <c r="H374" s="12">
        <v>0</v>
      </c>
      <c r="I374" s="12">
        <v>0</v>
      </c>
      <c r="J374" s="12">
        <v>0</v>
      </c>
      <c r="K374" s="12">
        <v>0</v>
      </c>
      <c r="L374" s="13">
        <v>0</v>
      </c>
      <c r="M374" s="13">
        <v>0</v>
      </c>
      <c r="N374" s="12">
        <v>0</v>
      </c>
      <c r="O374" s="12">
        <v>0</v>
      </c>
      <c r="P374" s="12">
        <v>0</v>
      </c>
      <c r="Q374" s="14">
        <v>0</v>
      </c>
      <c r="R374" s="15">
        <v>1985607.59</v>
      </c>
      <c r="S374" s="16">
        <v>1985607.59</v>
      </c>
      <c r="T374" s="15">
        <v>1208080.79</v>
      </c>
      <c r="U374" s="16">
        <v>0</v>
      </c>
      <c r="V374" s="15">
        <v>777526.8</v>
      </c>
      <c r="W374" s="16">
        <v>0</v>
      </c>
      <c r="X374" s="15">
        <v>0</v>
      </c>
      <c r="Y374" s="16">
        <v>0</v>
      </c>
      <c r="Z374" s="15">
        <v>0</v>
      </c>
      <c r="AA374" s="16">
        <v>0</v>
      </c>
      <c r="AB374" s="15">
        <v>0</v>
      </c>
      <c r="AC374" s="16">
        <v>0</v>
      </c>
      <c r="AD374" s="15">
        <v>0</v>
      </c>
      <c r="AE374" s="16">
        <v>0</v>
      </c>
      <c r="AF374" s="15">
        <v>0</v>
      </c>
      <c r="AG374" s="16">
        <v>0</v>
      </c>
      <c r="AH374" s="15">
        <v>0</v>
      </c>
      <c r="AI374" s="15" t="s">
        <v>1144</v>
      </c>
      <c r="AJ374" s="14">
        <v>0.38781249999999995</v>
      </c>
      <c r="AK374" s="17">
        <v>44293</v>
      </c>
      <c r="AL374" s="18" t="s">
        <v>40</v>
      </c>
      <c r="AM374" s="14" t="s">
        <v>410</v>
      </c>
      <c r="AN374" s="14" t="s">
        <v>36</v>
      </c>
      <c r="AO374" s="14" t="s">
        <v>1145</v>
      </c>
      <c r="AP374" s="14" t="s">
        <v>37</v>
      </c>
      <c r="AQ374" s="14" t="s">
        <v>184</v>
      </c>
      <c r="AR374" s="14" t="s">
        <v>4</v>
      </c>
      <c r="AS374" s="14">
        <v>0</v>
      </c>
      <c r="AT374" s="14">
        <v>0</v>
      </c>
      <c r="AU374" s="14">
        <v>0</v>
      </c>
      <c r="AV374" s="14">
        <v>0</v>
      </c>
      <c r="AW374" s="14"/>
      <c r="AX374" s="14"/>
      <c r="AY374" s="14"/>
      <c r="AZ374" s="14"/>
      <c r="BA374" s="11"/>
      <c r="BB374" s="11"/>
      <c r="BC374" s="11"/>
      <c r="BD374" s="11"/>
      <c r="BE374" s="11"/>
      <c r="BF374" s="11"/>
      <c r="BG374" s="11"/>
      <c r="BH374" s="11"/>
      <c r="BI374" s="11"/>
      <c r="BJ374" s="11"/>
      <c r="BK374" s="11"/>
      <c r="BL374" s="11"/>
      <c r="BM374" s="11"/>
      <c r="BN374" s="11"/>
    </row>
    <row r="375" spans="1:66" s="2" customFormat="1" ht="12.75" x14ac:dyDescent="0.25">
      <c r="A375" s="9">
        <f t="shared" si="5"/>
        <v>1</v>
      </c>
      <c r="B375" s="6"/>
      <c r="C375" s="6"/>
      <c r="D375" s="24"/>
      <c r="E375" s="12" t="s">
        <v>38</v>
      </c>
      <c r="F375" s="25">
        <v>0</v>
      </c>
      <c r="G375" s="12" t="s">
        <v>1146</v>
      </c>
      <c r="H375" s="12">
        <v>0</v>
      </c>
      <c r="I375" s="12">
        <v>0</v>
      </c>
      <c r="J375" s="12">
        <v>0</v>
      </c>
      <c r="K375" s="12">
        <v>0</v>
      </c>
      <c r="L375" s="13">
        <v>0</v>
      </c>
      <c r="M375" s="13">
        <v>0</v>
      </c>
      <c r="N375" s="12">
        <v>0</v>
      </c>
      <c r="O375" s="12">
        <v>0</v>
      </c>
      <c r="P375" s="12">
        <v>0</v>
      </c>
      <c r="Q375" s="14">
        <v>0</v>
      </c>
      <c r="R375" s="15">
        <v>2035297.13</v>
      </c>
      <c r="S375" s="16">
        <v>2035297.13</v>
      </c>
      <c r="T375" s="15">
        <v>1268458.93</v>
      </c>
      <c r="U375" s="16">
        <v>0</v>
      </c>
      <c r="V375" s="15">
        <v>766838.20000000007</v>
      </c>
      <c r="W375" s="16">
        <v>0</v>
      </c>
      <c r="X375" s="15">
        <v>0</v>
      </c>
      <c r="Y375" s="16">
        <v>0</v>
      </c>
      <c r="Z375" s="15">
        <v>0</v>
      </c>
      <c r="AA375" s="16">
        <v>0</v>
      </c>
      <c r="AB375" s="15">
        <v>0</v>
      </c>
      <c r="AC375" s="16">
        <v>0</v>
      </c>
      <c r="AD375" s="15">
        <v>0</v>
      </c>
      <c r="AE375" s="16">
        <v>0</v>
      </c>
      <c r="AF375" s="15">
        <v>0</v>
      </c>
      <c r="AG375" s="16">
        <v>0</v>
      </c>
      <c r="AH375" s="15">
        <v>0</v>
      </c>
      <c r="AI375" s="15" t="s">
        <v>1147</v>
      </c>
      <c r="AJ375" s="14">
        <v>0.40002314814814816</v>
      </c>
      <c r="AK375" s="17">
        <v>44356</v>
      </c>
      <c r="AL375" s="18" t="s">
        <v>291</v>
      </c>
      <c r="AM375" s="14" t="s">
        <v>292</v>
      </c>
      <c r="AN375" s="14" t="s">
        <v>36</v>
      </c>
      <c r="AO375" s="14" t="s">
        <v>1148</v>
      </c>
      <c r="AP375" s="14" t="s">
        <v>37</v>
      </c>
      <c r="AQ375" s="14" t="s">
        <v>184</v>
      </c>
      <c r="AR375" s="14" t="s">
        <v>4</v>
      </c>
      <c r="AS375" s="14">
        <v>0</v>
      </c>
      <c r="AT375" s="14">
        <v>0</v>
      </c>
      <c r="AU375" s="14">
        <v>0</v>
      </c>
      <c r="AV375" s="14">
        <v>0</v>
      </c>
      <c r="AW375" s="14"/>
      <c r="AX375" s="14"/>
      <c r="AY375" s="14"/>
      <c r="AZ375" s="14"/>
      <c r="BA375" s="11"/>
      <c r="BB375" s="11"/>
      <c r="BC375" s="11"/>
      <c r="BD375" s="11"/>
      <c r="BE375" s="11"/>
      <c r="BF375" s="11"/>
      <c r="BG375" s="11"/>
      <c r="BH375" s="11"/>
      <c r="BI375" s="11"/>
      <c r="BJ375" s="11"/>
      <c r="BK375" s="11"/>
      <c r="BL375" s="11"/>
      <c r="BM375" s="11"/>
      <c r="BN375" s="11"/>
    </row>
    <row r="376" spans="1:66" s="2" customFormat="1" ht="12.75" x14ac:dyDescent="0.25">
      <c r="A376" s="9">
        <f t="shared" si="5"/>
        <v>1</v>
      </c>
      <c r="B376" s="6"/>
      <c r="C376" s="6"/>
      <c r="D376" s="24"/>
      <c r="E376" s="12" t="s">
        <v>38</v>
      </c>
      <c r="F376" s="25">
        <v>0</v>
      </c>
      <c r="G376" s="12" t="s">
        <v>1149</v>
      </c>
      <c r="H376" s="12">
        <v>0</v>
      </c>
      <c r="I376" s="12">
        <v>0</v>
      </c>
      <c r="J376" s="12">
        <v>0</v>
      </c>
      <c r="K376" s="12">
        <v>0</v>
      </c>
      <c r="L376" s="13">
        <v>0</v>
      </c>
      <c r="M376" s="13">
        <v>0</v>
      </c>
      <c r="N376" s="12">
        <v>0</v>
      </c>
      <c r="O376" s="12">
        <v>0</v>
      </c>
      <c r="P376" s="12">
        <v>0</v>
      </c>
      <c r="Q376" s="14">
        <v>0</v>
      </c>
      <c r="R376" s="15">
        <v>9910.9599999999991</v>
      </c>
      <c r="S376" s="16">
        <v>9910.9599999999991</v>
      </c>
      <c r="T376" s="15">
        <v>3310.96</v>
      </c>
      <c r="U376" s="16">
        <v>0</v>
      </c>
      <c r="V376" s="15">
        <v>6600</v>
      </c>
      <c r="W376" s="16">
        <v>0</v>
      </c>
      <c r="X376" s="15">
        <v>0</v>
      </c>
      <c r="Y376" s="16">
        <v>0</v>
      </c>
      <c r="Z376" s="15">
        <v>0</v>
      </c>
      <c r="AA376" s="16">
        <v>0</v>
      </c>
      <c r="AB376" s="15">
        <v>0</v>
      </c>
      <c r="AC376" s="16">
        <v>0</v>
      </c>
      <c r="AD376" s="15">
        <v>0</v>
      </c>
      <c r="AE376" s="16">
        <v>0</v>
      </c>
      <c r="AF376" s="15">
        <v>0</v>
      </c>
      <c r="AG376" s="16">
        <v>0</v>
      </c>
      <c r="AH376" s="15">
        <v>0</v>
      </c>
      <c r="AI376" s="15" t="s">
        <v>1150</v>
      </c>
      <c r="AJ376" s="14">
        <v>0.55596064814814816</v>
      </c>
      <c r="AK376" s="17">
        <v>44292</v>
      </c>
      <c r="AL376" s="18" t="s">
        <v>40</v>
      </c>
      <c r="AM376" s="14" t="s">
        <v>410</v>
      </c>
      <c r="AN376" s="14" t="s">
        <v>36</v>
      </c>
      <c r="AO376" s="14" t="s">
        <v>1151</v>
      </c>
      <c r="AP376" s="14" t="s">
        <v>37</v>
      </c>
      <c r="AQ376" s="14" t="s">
        <v>184</v>
      </c>
      <c r="AR376" s="14" t="s">
        <v>4</v>
      </c>
      <c r="AS376" s="14">
        <v>0</v>
      </c>
      <c r="AT376" s="14">
        <v>0</v>
      </c>
      <c r="AU376" s="14">
        <v>0</v>
      </c>
      <c r="AV376" s="14">
        <v>0</v>
      </c>
      <c r="AW376" s="14"/>
      <c r="AX376" s="14"/>
      <c r="AY376" s="14"/>
      <c r="AZ376" s="14"/>
      <c r="BA376" s="11"/>
      <c r="BB376" s="11"/>
      <c r="BC376" s="11"/>
      <c r="BD376" s="11"/>
      <c r="BE376" s="11"/>
      <c r="BF376" s="11"/>
      <c r="BG376" s="11"/>
      <c r="BH376" s="11"/>
      <c r="BI376" s="11"/>
      <c r="BJ376" s="11"/>
      <c r="BK376" s="11"/>
      <c r="BL376" s="11"/>
      <c r="BM376" s="11"/>
      <c r="BN376" s="11"/>
    </row>
    <row r="377" spans="1:66" s="2" customFormat="1" ht="12.75" x14ac:dyDescent="0.25">
      <c r="A377" s="9">
        <f t="shared" si="5"/>
        <v>1</v>
      </c>
      <c r="B377" s="6"/>
      <c r="C377" s="6"/>
      <c r="D377" s="24"/>
      <c r="E377" s="12" t="s">
        <v>38</v>
      </c>
      <c r="F377" s="25">
        <v>0</v>
      </c>
      <c r="G377" s="12" t="s">
        <v>1152</v>
      </c>
      <c r="H377" s="12">
        <v>0</v>
      </c>
      <c r="I377" s="12">
        <v>0</v>
      </c>
      <c r="J377" s="12">
        <v>0</v>
      </c>
      <c r="K377" s="12">
        <v>0</v>
      </c>
      <c r="L377" s="13">
        <v>0</v>
      </c>
      <c r="M377" s="13">
        <v>0</v>
      </c>
      <c r="N377" s="12">
        <v>0</v>
      </c>
      <c r="O377" s="12">
        <v>0</v>
      </c>
      <c r="P377" s="12">
        <v>0</v>
      </c>
      <c r="Q377" s="14">
        <v>0</v>
      </c>
      <c r="R377" s="15">
        <v>9910.9599999999991</v>
      </c>
      <c r="S377" s="16">
        <v>9910.9599999999991</v>
      </c>
      <c r="T377" s="15">
        <v>3310.96</v>
      </c>
      <c r="U377" s="16">
        <v>0</v>
      </c>
      <c r="V377" s="15">
        <v>6600</v>
      </c>
      <c r="W377" s="16">
        <v>0</v>
      </c>
      <c r="X377" s="15">
        <v>0</v>
      </c>
      <c r="Y377" s="16">
        <v>0</v>
      </c>
      <c r="Z377" s="15">
        <v>0</v>
      </c>
      <c r="AA377" s="16">
        <v>0</v>
      </c>
      <c r="AB377" s="15">
        <v>0</v>
      </c>
      <c r="AC377" s="16">
        <v>0</v>
      </c>
      <c r="AD377" s="15">
        <v>0</v>
      </c>
      <c r="AE377" s="16">
        <v>0</v>
      </c>
      <c r="AF377" s="15">
        <v>0</v>
      </c>
      <c r="AG377" s="16">
        <v>0</v>
      </c>
      <c r="AH377" s="15">
        <v>0</v>
      </c>
      <c r="AI377" s="15" t="s">
        <v>1153</v>
      </c>
      <c r="AJ377" s="14">
        <v>0.55612268518518515</v>
      </c>
      <c r="AK377" s="17">
        <v>44292</v>
      </c>
      <c r="AL377" s="18" t="s">
        <v>40</v>
      </c>
      <c r="AM377" s="14" t="s">
        <v>410</v>
      </c>
      <c r="AN377" s="14" t="s">
        <v>36</v>
      </c>
      <c r="AO377" s="14" t="s">
        <v>1154</v>
      </c>
      <c r="AP377" s="14" t="s">
        <v>37</v>
      </c>
      <c r="AQ377" s="14" t="s">
        <v>184</v>
      </c>
      <c r="AR377" s="14" t="s">
        <v>4</v>
      </c>
      <c r="AS377" s="14">
        <v>0</v>
      </c>
      <c r="AT377" s="14">
        <v>0</v>
      </c>
      <c r="AU377" s="14">
        <v>0</v>
      </c>
      <c r="AV377" s="14">
        <v>0</v>
      </c>
      <c r="AW377" s="14"/>
      <c r="AX377" s="14"/>
      <c r="AY377" s="14"/>
      <c r="AZ377" s="14"/>
      <c r="BA377" s="11"/>
      <c r="BB377" s="11"/>
      <c r="BC377" s="11"/>
      <c r="BD377" s="11"/>
      <c r="BE377" s="11"/>
      <c r="BF377" s="11"/>
      <c r="BG377" s="11"/>
      <c r="BH377" s="11"/>
      <c r="BI377" s="11"/>
      <c r="BJ377" s="11"/>
      <c r="BK377" s="11"/>
      <c r="BL377" s="11"/>
      <c r="BM377" s="11"/>
      <c r="BN377" s="11"/>
    </row>
    <row r="378" spans="1:66" s="2" customFormat="1" ht="12.75" x14ac:dyDescent="0.25">
      <c r="A378" s="9">
        <f t="shared" si="5"/>
        <v>1</v>
      </c>
      <c r="B378" s="6"/>
      <c r="C378" s="6"/>
      <c r="D378" s="24"/>
      <c r="E378" s="12" t="s">
        <v>38</v>
      </c>
      <c r="F378" s="25">
        <v>0</v>
      </c>
      <c r="G378" s="12" t="s">
        <v>1155</v>
      </c>
      <c r="H378" s="12">
        <v>0</v>
      </c>
      <c r="I378" s="12">
        <v>0</v>
      </c>
      <c r="J378" s="12">
        <v>0</v>
      </c>
      <c r="K378" s="12">
        <v>0</v>
      </c>
      <c r="L378" s="13">
        <v>0</v>
      </c>
      <c r="M378" s="13">
        <v>0</v>
      </c>
      <c r="N378" s="12">
        <v>0</v>
      </c>
      <c r="O378" s="12">
        <v>0</v>
      </c>
      <c r="P378" s="12">
        <v>0</v>
      </c>
      <c r="Q378" s="14">
        <v>0</v>
      </c>
      <c r="R378" s="15">
        <v>399998.37000000005</v>
      </c>
      <c r="S378" s="16">
        <v>399998.37000000005</v>
      </c>
      <c r="T378" s="15">
        <v>399998.37000000005</v>
      </c>
      <c r="U378" s="16">
        <v>0</v>
      </c>
      <c r="V378" s="15">
        <v>0</v>
      </c>
      <c r="W378" s="16">
        <v>0</v>
      </c>
      <c r="X378" s="15">
        <v>0</v>
      </c>
      <c r="Y378" s="16">
        <v>0</v>
      </c>
      <c r="Z378" s="15">
        <v>0</v>
      </c>
      <c r="AA378" s="16">
        <v>0</v>
      </c>
      <c r="AB378" s="15">
        <v>0</v>
      </c>
      <c r="AC378" s="16">
        <v>0</v>
      </c>
      <c r="AD378" s="15">
        <v>0</v>
      </c>
      <c r="AE378" s="16">
        <v>0</v>
      </c>
      <c r="AF378" s="15">
        <v>0</v>
      </c>
      <c r="AG378" s="16">
        <v>0</v>
      </c>
      <c r="AH378" s="15">
        <v>0</v>
      </c>
      <c r="AI378" s="15" t="s">
        <v>1156</v>
      </c>
      <c r="AJ378" s="14">
        <v>0.53706018518518517</v>
      </c>
      <c r="AK378" s="17">
        <v>44293</v>
      </c>
      <c r="AL378" s="18" t="s">
        <v>291</v>
      </c>
      <c r="AM378" s="14" t="s">
        <v>292</v>
      </c>
      <c r="AN378" s="14" t="s">
        <v>36</v>
      </c>
      <c r="AO378" s="14" t="s">
        <v>1157</v>
      </c>
      <c r="AP378" s="14" t="s">
        <v>37</v>
      </c>
      <c r="AQ378" s="14" t="s">
        <v>184</v>
      </c>
      <c r="AR378" s="14" t="s">
        <v>4</v>
      </c>
      <c r="AS378" s="14">
        <v>0</v>
      </c>
      <c r="AT378" s="14">
        <v>0</v>
      </c>
      <c r="AU378" s="14">
        <v>0</v>
      </c>
      <c r="AV378" s="14">
        <v>0</v>
      </c>
      <c r="AW378" s="14"/>
      <c r="AX378" s="14"/>
      <c r="AY378" s="14"/>
      <c r="AZ378" s="14"/>
      <c r="BA378" s="11"/>
      <c r="BB378" s="11"/>
      <c r="BC378" s="11"/>
      <c r="BD378" s="11"/>
      <c r="BE378" s="11"/>
      <c r="BF378" s="11"/>
      <c r="BG378" s="11"/>
      <c r="BH378" s="11"/>
      <c r="BI378" s="11"/>
      <c r="BJ378" s="11"/>
      <c r="BK378" s="11"/>
      <c r="BL378" s="11"/>
      <c r="BM378" s="11"/>
      <c r="BN378" s="11"/>
    </row>
    <row r="379" spans="1:66" s="2" customFormat="1" ht="12.75" x14ac:dyDescent="0.25">
      <c r="A379" s="9">
        <f t="shared" si="5"/>
        <v>1</v>
      </c>
      <c r="B379" s="6"/>
      <c r="C379" s="6"/>
      <c r="D379" s="24"/>
      <c r="E379" s="12" t="s">
        <v>38</v>
      </c>
      <c r="F379" s="25">
        <v>0</v>
      </c>
      <c r="G379" s="12" t="s">
        <v>1158</v>
      </c>
      <c r="H379" s="12">
        <v>0</v>
      </c>
      <c r="I379" s="12">
        <v>0</v>
      </c>
      <c r="J379" s="12">
        <v>0</v>
      </c>
      <c r="K379" s="12">
        <v>0</v>
      </c>
      <c r="L379" s="13">
        <v>0</v>
      </c>
      <c r="M379" s="13">
        <v>0</v>
      </c>
      <c r="N379" s="12">
        <v>0</v>
      </c>
      <c r="O379" s="12">
        <v>0</v>
      </c>
      <c r="P379" s="12">
        <v>0</v>
      </c>
      <c r="Q379" s="14">
        <v>0</v>
      </c>
      <c r="R379" s="15">
        <v>1719685.3199999998</v>
      </c>
      <c r="S379" s="16">
        <v>1719685.3199999998</v>
      </c>
      <c r="T379" s="15">
        <v>1364847.7199999997</v>
      </c>
      <c r="U379" s="16">
        <v>0</v>
      </c>
      <c r="V379" s="15">
        <v>354837.6</v>
      </c>
      <c r="W379" s="16">
        <v>0</v>
      </c>
      <c r="X379" s="15">
        <v>0</v>
      </c>
      <c r="Y379" s="16">
        <v>0</v>
      </c>
      <c r="Z379" s="15">
        <v>0</v>
      </c>
      <c r="AA379" s="16">
        <v>0</v>
      </c>
      <c r="AB379" s="15">
        <v>0</v>
      </c>
      <c r="AC379" s="16">
        <v>0</v>
      </c>
      <c r="AD379" s="15">
        <v>0</v>
      </c>
      <c r="AE379" s="16">
        <v>0</v>
      </c>
      <c r="AF379" s="15">
        <v>0</v>
      </c>
      <c r="AG379" s="16">
        <v>0</v>
      </c>
      <c r="AH379" s="15">
        <v>0</v>
      </c>
      <c r="AI379" s="15" t="s">
        <v>1159</v>
      </c>
      <c r="AJ379" s="14">
        <v>0.55174768518518513</v>
      </c>
      <c r="AK379" s="17">
        <v>44301</v>
      </c>
      <c r="AL379" s="18" t="s">
        <v>291</v>
      </c>
      <c r="AM379" s="14" t="s">
        <v>292</v>
      </c>
      <c r="AN379" s="14" t="s">
        <v>36</v>
      </c>
      <c r="AO379" s="14" t="s">
        <v>1160</v>
      </c>
      <c r="AP379" s="14" t="s">
        <v>37</v>
      </c>
      <c r="AQ379" s="14" t="s">
        <v>184</v>
      </c>
      <c r="AR379" s="14" t="s">
        <v>4</v>
      </c>
      <c r="AS379" s="14">
        <v>0</v>
      </c>
      <c r="AT379" s="14">
        <v>0</v>
      </c>
      <c r="AU379" s="14">
        <v>0</v>
      </c>
      <c r="AV379" s="14">
        <v>0</v>
      </c>
      <c r="AW379" s="14"/>
      <c r="AX379" s="14"/>
      <c r="AY379" s="14"/>
      <c r="AZ379" s="14"/>
      <c r="BA379" s="11"/>
      <c r="BB379" s="11"/>
      <c r="BC379" s="11"/>
      <c r="BD379" s="11"/>
      <c r="BE379" s="11"/>
      <c r="BF379" s="11"/>
      <c r="BG379" s="11"/>
      <c r="BH379" s="11"/>
      <c r="BI379" s="11"/>
      <c r="BJ379" s="11"/>
      <c r="BK379" s="11"/>
      <c r="BL379" s="11"/>
      <c r="BM379" s="11"/>
      <c r="BN379" s="11"/>
    </row>
    <row r="380" spans="1:66" s="2" customFormat="1" ht="12.75" x14ac:dyDescent="0.25">
      <c r="A380" s="9">
        <f t="shared" si="5"/>
        <v>1</v>
      </c>
      <c r="B380" s="6"/>
      <c r="C380" s="6"/>
      <c r="D380" s="24"/>
      <c r="E380" s="12" t="s">
        <v>38</v>
      </c>
      <c r="F380" s="25">
        <v>0</v>
      </c>
      <c r="G380" s="12" t="s">
        <v>1161</v>
      </c>
      <c r="H380" s="12">
        <v>0</v>
      </c>
      <c r="I380" s="12">
        <v>0</v>
      </c>
      <c r="J380" s="12">
        <v>0</v>
      </c>
      <c r="K380" s="12">
        <v>0</v>
      </c>
      <c r="L380" s="13">
        <v>0</v>
      </c>
      <c r="M380" s="13">
        <v>0</v>
      </c>
      <c r="N380" s="12">
        <v>0</v>
      </c>
      <c r="O380" s="12">
        <v>0</v>
      </c>
      <c r="P380" s="12">
        <v>0</v>
      </c>
      <c r="Q380" s="14">
        <v>0</v>
      </c>
      <c r="R380" s="15">
        <v>8940220.0599999968</v>
      </c>
      <c r="S380" s="16">
        <v>8940220.0599999968</v>
      </c>
      <c r="T380" s="15">
        <v>8940220.0599999968</v>
      </c>
      <c r="U380" s="16">
        <v>0</v>
      </c>
      <c r="V380" s="15">
        <v>0</v>
      </c>
      <c r="W380" s="16">
        <v>0</v>
      </c>
      <c r="X380" s="15">
        <v>0</v>
      </c>
      <c r="Y380" s="16">
        <v>0</v>
      </c>
      <c r="Z380" s="15">
        <v>0</v>
      </c>
      <c r="AA380" s="16">
        <v>0</v>
      </c>
      <c r="AB380" s="15">
        <v>0</v>
      </c>
      <c r="AC380" s="16">
        <v>0</v>
      </c>
      <c r="AD380" s="15">
        <v>0</v>
      </c>
      <c r="AE380" s="16">
        <v>0</v>
      </c>
      <c r="AF380" s="15">
        <v>0</v>
      </c>
      <c r="AG380" s="16">
        <v>0</v>
      </c>
      <c r="AH380" s="15">
        <v>0</v>
      </c>
      <c r="AI380" s="15" t="s">
        <v>1162</v>
      </c>
      <c r="AJ380" s="14">
        <v>0.58612268518518518</v>
      </c>
      <c r="AK380" s="17">
        <v>44314</v>
      </c>
      <c r="AL380" s="18" t="s">
        <v>291</v>
      </c>
      <c r="AM380" s="14" t="s">
        <v>292</v>
      </c>
      <c r="AN380" s="14" t="s">
        <v>36</v>
      </c>
      <c r="AO380" s="14" t="s">
        <v>1163</v>
      </c>
      <c r="AP380" s="14" t="s">
        <v>37</v>
      </c>
      <c r="AQ380" s="14" t="s">
        <v>184</v>
      </c>
      <c r="AR380" s="14" t="s">
        <v>4</v>
      </c>
      <c r="AS380" s="14">
        <v>0</v>
      </c>
      <c r="AT380" s="14">
        <v>0</v>
      </c>
      <c r="AU380" s="14">
        <v>0</v>
      </c>
      <c r="AV380" s="14">
        <v>0</v>
      </c>
      <c r="AW380" s="14"/>
      <c r="AX380" s="14"/>
      <c r="AY380" s="14"/>
      <c r="AZ380" s="14"/>
      <c r="BA380" s="11"/>
      <c r="BB380" s="11"/>
      <c r="BC380" s="11"/>
      <c r="BD380" s="11"/>
      <c r="BE380" s="11"/>
      <c r="BF380" s="11"/>
      <c r="BG380" s="11"/>
      <c r="BH380" s="11"/>
      <c r="BI380" s="11"/>
      <c r="BJ380" s="11"/>
      <c r="BK380" s="11"/>
      <c r="BL380" s="11"/>
      <c r="BM380" s="11"/>
      <c r="BN380" s="11"/>
    </row>
    <row r="381" spans="1:66" s="2" customFormat="1" ht="12.75" x14ac:dyDescent="0.25">
      <c r="A381" s="9">
        <f t="shared" si="5"/>
        <v>1</v>
      </c>
      <c r="B381" s="6"/>
      <c r="C381" s="6"/>
      <c r="D381" s="24"/>
      <c r="E381" s="12" t="s">
        <v>38</v>
      </c>
      <c r="F381" s="25">
        <v>0</v>
      </c>
      <c r="G381" s="12" t="s">
        <v>1164</v>
      </c>
      <c r="H381" s="12">
        <v>0</v>
      </c>
      <c r="I381" s="12">
        <v>0</v>
      </c>
      <c r="J381" s="12">
        <v>0</v>
      </c>
      <c r="K381" s="12">
        <v>0</v>
      </c>
      <c r="L381" s="13">
        <v>0</v>
      </c>
      <c r="M381" s="13">
        <v>0</v>
      </c>
      <c r="N381" s="12">
        <v>0</v>
      </c>
      <c r="O381" s="12">
        <v>0</v>
      </c>
      <c r="P381" s="12">
        <v>0</v>
      </c>
      <c r="Q381" s="14">
        <v>0</v>
      </c>
      <c r="R381" s="15">
        <v>37495.969999999994</v>
      </c>
      <c r="S381" s="16">
        <v>37495.969999999994</v>
      </c>
      <c r="T381" s="15">
        <v>37495.969999999994</v>
      </c>
      <c r="U381" s="16">
        <v>0</v>
      </c>
      <c r="V381" s="15">
        <v>0</v>
      </c>
      <c r="W381" s="16">
        <v>0</v>
      </c>
      <c r="X381" s="15">
        <v>0</v>
      </c>
      <c r="Y381" s="16">
        <v>0</v>
      </c>
      <c r="Z381" s="15">
        <v>0</v>
      </c>
      <c r="AA381" s="16">
        <v>0</v>
      </c>
      <c r="AB381" s="15">
        <v>0</v>
      </c>
      <c r="AC381" s="16">
        <v>0</v>
      </c>
      <c r="AD381" s="15">
        <v>0</v>
      </c>
      <c r="AE381" s="16">
        <v>0</v>
      </c>
      <c r="AF381" s="15">
        <v>0</v>
      </c>
      <c r="AG381" s="16">
        <v>0</v>
      </c>
      <c r="AH381" s="15">
        <v>0</v>
      </c>
      <c r="AI381" s="15" t="s">
        <v>1165</v>
      </c>
      <c r="AJ381" s="14">
        <v>0.64385416666666673</v>
      </c>
      <c r="AK381" s="17">
        <v>44309</v>
      </c>
      <c r="AL381" s="18" t="s">
        <v>291</v>
      </c>
      <c r="AM381" s="14" t="s">
        <v>292</v>
      </c>
      <c r="AN381" s="14" t="s">
        <v>36</v>
      </c>
      <c r="AO381" s="14" t="s">
        <v>1166</v>
      </c>
      <c r="AP381" s="14" t="s">
        <v>37</v>
      </c>
      <c r="AQ381" s="14" t="s">
        <v>184</v>
      </c>
      <c r="AR381" s="14" t="s">
        <v>4</v>
      </c>
      <c r="AS381" s="14">
        <v>0</v>
      </c>
      <c r="AT381" s="14">
        <v>0</v>
      </c>
      <c r="AU381" s="14">
        <v>0</v>
      </c>
      <c r="AV381" s="14">
        <v>0</v>
      </c>
      <c r="AW381" s="14"/>
      <c r="AX381" s="14"/>
      <c r="AY381" s="14"/>
      <c r="AZ381" s="14"/>
      <c r="BA381" s="11"/>
      <c r="BB381" s="11"/>
      <c r="BC381" s="11"/>
      <c r="BD381" s="11"/>
      <c r="BE381" s="11"/>
      <c r="BF381" s="11"/>
      <c r="BG381" s="11"/>
      <c r="BH381" s="11"/>
      <c r="BI381" s="11"/>
      <c r="BJ381" s="11"/>
      <c r="BK381" s="11"/>
      <c r="BL381" s="11"/>
      <c r="BM381" s="11"/>
      <c r="BN381" s="11"/>
    </row>
    <row r="382" spans="1:66" s="2" customFormat="1" ht="12.75" x14ac:dyDescent="0.25">
      <c r="A382" s="9">
        <f t="shared" si="5"/>
        <v>1</v>
      </c>
      <c r="B382" s="6"/>
      <c r="C382" s="6"/>
      <c r="D382" s="24"/>
      <c r="E382" s="12" t="s">
        <v>38</v>
      </c>
      <c r="F382" s="25">
        <v>0</v>
      </c>
      <c r="G382" s="12" t="s">
        <v>1167</v>
      </c>
      <c r="H382" s="12">
        <v>0</v>
      </c>
      <c r="I382" s="12">
        <v>0</v>
      </c>
      <c r="J382" s="12">
        <v>0</v>
      </c>
      <c r="K382" s="12">
        <v>0</v>
      </c>
      <c r="L382" s="13">
        <v>0</v>
      </c>
      <c r="M382" s="13">
        <v>0</v>
      </c>
      <c r="N382" s="12">
        <v>0</v>
      </c>
      <c r="O382" s="12">
        <v>0</v>
      </c>
      <c r="P382" s="12">
        <v>0</v>
      </c>
      <c r="Q382" s="14">
        <v>0</v>
      </c>
      <c r="R382" s="15">
        <v>4956346.96</v>
      </c>
      <c r="S382" s="16">
        <v>4956346.96</v>
      </c>
      <c r="T382" s="15">
        <v>4956346.96</v>
      </c>
      <c r="U382" s="16">
        <v>0</v>
      </c>
      <c r="V382" s="15">
        <v>0</v>
      </c>
      <c r="W382" s="16">
        <v>0</v>
      </c>
      <c r="X382" s="15">
        <v>0</v>
      </c>
      <c r="Y382" s="16">
        <v>0</v>
      </c>
      <c r="Z382" s="15">
        <v>0</v>
      </c>
      <c r="AA382" s="16">
        <v>0</v>
      </c>
      <c r="AB382" s="15">
        <v>0</v>
      </c>
      <c r="AC382" s="16">
        <v>0</v>
      </c>
      <c r="AD382" s="15">
        <v>0</v>
      </c>
      <c r="AE382" s="16">
        <v>0</v>
      </c>
      <c r="AF382" s="15">
        <v>0</v>
      </c>
      <c r="AG382" s="16">
        <v>0</v>
      </c>
      <c r="AH382" s="15">
        <v>0</v>
      </c>
      <c r="AI382" s="15" t="s">
        <v>1168</v>
      </c>
      <c r="AJ382" s="14">
        <v>0.54097222222222219</v>
      </c>
      <c r="AK382" s="17">
        <v>44315</v>
      </c>
      <c r="AL382" s="18" t="s">
        <v>291</v>
      </c>
      <c r="AM382" s="14" t="s">
        <v>292</v>
      </c>
      <c r="AN382" s="14" t="s">
        <v>36</v>
      </c>
      <c r="AO382" s="14" t="s">
        <v>1169</v>
      </c>
      <c r="AP382" s="14" t="s">
        <v>37</v>
      </c>
      <c r="AQ382" s="14" t="s">
        <v>184</v>
      </c>
      <c r="AR382" s="14" t="s">
        <v>4</v>
      </c>
      <c r="AS382" s="14">
        <v>0</v>
      </c>
      <c r="AT382" s="14">
        <v>0</v>
      </c>
      <c r="AU382" s="14">
        <v>0</v>
      </c>
      <c r="AV382" s="14">
        <v>0</v>
      </c>
      <c r="AW382" s="14"/>
      <c r="AX382" s="14"/>
      <c r="AY382" s="14"/>
      <c r="AZ382" s="14"/>
      <c r="BA382" s="11"/>
      <c r="BB382" s="11"/>
      <c r="BC382" s="11"/>
      <c r="BD382" s="11"/>
      <c r="BE382" s="11"/>
      <c r="BF382" s="11"/>
      <c r="BG382" s="11"/>
      <c r="BH382" s="11"/>
      <c r="BI382" s="11"/>
      <c r="BJ382" s="11"/>
      <c r="BK382" s="11"/>
      <c r="BL382" s="11"/>
      <c r="BM382" s="11"/>
      <c r="BN382" s="11"/>
    </row>
    <row r="383" spans="1:66" s="2" customFormat="1" ht="12.75" x14ac:dyDescent="0.25">
      <c r="A383" s="9">
        <f t="shared" si="5"/>
        <v>1</v>
      </c>
      <c r="B383" s="6"/>
      <c r="C383" s="6"/>
      <c r="D383" s="24"/>
      <c r="E383" s="12" t="s">
        <v>38</v>
      </c>
      <c r="F383" s="25">
        <v>0</v>
      </c>
      <c r="G383" s="12" t="s">
        <v>1170</v>
      </c>
      <c r="H383" s="12">
        <v>0</v>
      </c>
      <c r="I383" s="12">
        <v>0</v>
      </c>
      <c r="J383" s="12">
        <v>0</v>
      </c>
      <c r="K383" s="12">
        <v>0</v>
      </c>
      <c r="L383" s="13">
        <v>0</v>
      </c>
      <c r="M383" s="13">
        <v>0</v>
      </c>
      <c r="N383" s="12">
        <v>0</v>
      </c>
      <c r="O383" s="12">
        <v>0</v>
      </c>
      <c r="P383" s="12">
        <v>0</v>
      </c>
      <c r="Q383" s="14">
        <v>0</v>
      </c>
      <c r="R383" s="15">
        <v>721164.99</v>
      </c>
      <c r="S383" s="16">
        <v>721164.99</v>
      </c>
      <c r="T383" s="15">
        <v>492564.99</v>
      </c>
      <c r="U383" s="16">
        <v>0</v>
      </c>
      <c r="V383" s="15">
        <v>228600</v>
      </c>
      <c r="W383" s="16">
        <v>0</v>
      </c>
      <c r="X383" s="15">
        <v>0</v>
      </c>
      <c r="Y383" s="16">
        <v>0</v>
      </c>
      <c r="Z383" s="15">
        <v>0</v>
      </c>
      <c r="AA383" s="16">
        <v>0</v>
      </c>
      <c r="AB383" s="15">
        <v>0</v>
      </c>
      <c r="AC383" s="16">
        <v>0</v>
      </c>
      <c r="AD383" s="15">
        <v>0</v>
      </c>
      <c r="AE383" s="16">
        <v>0</v>
      </c>
      <c r="AF383" s="15">
        <v>0</v>
      </c>
      <c r="AG383" s="16">
        <v>0</v>
      </c>
      <c r="AH383" s="15">
        <v>0</v>
      </c>
      <c r="AI383" s="15" t="s">
        <v>1171</v>
      </c>
      <c r="AJ383" s="14">
        <v>0.57915509259259257</v>
      </c>
      <c r="AK383" s="17">
        <v>44313</v>
      </c>
      <c r="AL383" s="18" t="s">
        <v>291</v>
      </c>
      <c r="AM383" s="14" t="s">
        <v>292</v>
      </c>
      <c r="AN383" s="14" t="s">
        <v>36</v>
      </c>
      <c r="AO383" s="14" t="s">
        <v>1172</v>
      </c>
      <c r="AP383" s="14" t="s">
        <v>37</v>
      </c>
      <c r="AQ383" s="14" t="s">
        <v>184</v>
      </c>
      <c r="AR383" s="14" t="s">
        <v>4</v>
      </c>
      <c r="AS383" s="14">
        <v>0</v>
      </c>
      <c r="AT383" s="14">
        <v>0</v>
      </c>
      <c r="AU383" s="14">
        <v>0</v>
      </c>
      <c r="AV383" s="14">
        <v>0</v>
      </c>
      <c r="AW383" s="14"/>
      <c r="AX383" s="14"/>
      <c r="AY383" s="14"/>
      <c r="AZ383" s="14"/>
      <c r="BA383" s="11"/>
      <c r="BB383" s="11"/>
      <c r="BC383" s="11"/>
      <c r="BD383" s="11"/>
      <c r="BE383" s="11"/>
      <c r="BF383" s="11"/>
      <c r="BG383" s="11"/>
      <c r="BH383" s="11"/>
      <c r="BI383" s="11"/>
      <c r="BJ383" s="11"/>
      <c r="BK383" s="11"/>
      <c r="BL383" s="11"/>
      <c r="BM383" s="11"/>
      <c r="BN383" s="11"/>
    </row>
    <row r="384" spans="1:66" s="2" customFormat="1" ht="12.75" x14ac:dyDescent="0.25">
      <c r="A384" s="9">
        <f t="shared" si="5"/>
        <v>1</v>
      </c>
      <c r="B384" s="6"/>
      <c r="C384" s="6"/>
      <c r="D384" s="24"/>
      <c r="E384" s="12" t="s">
        <v>38</v>
      </c>
      <c r="F384" s="25">
        <v>0</v>
      </c>
      <c r="G384" s="12" t="s">
        <v>1173</v>
      </c>
      <c r="H384" s="12">
        <v>0</v>
      </c>
      <c r="I384" s="12">
        <v>0</v>
      </c>
      <c r="J384" s="12">
        <v>0</v>
      </c>
      <c r="K384" s="12">
        <v>0</v>
      </c>
      <c r="L384" s="13">
        <v>0</v>
      </c>
      <c r="M384" s="13">
        <v>0</v>
      </c>
      <c r="N384" s="12">
        <v>0</v>
      </c>
      <c r="O384" s="12">
        <v>0</v>
      </c>
      <c r="P384" s="12">
        <v>0</v>
      </c>
      <c r="Q384" s="14">
        <v>0</v>
      </c>
      <c r="R384" s="15">
        <v>328951.59999999998</v>
      </c>
      <c r="S384" s="16">
        <v>328951.59999999998</v>
      </c>
      <c r="T384" s="15">
        <v>203951.6</v>
      </c>
      <c r="U384" s="16">
        <v>0</v>
      </c>
      <c r="V384" s="15">
        <v>125000</v>
      </c>
      <c r="W384" s="16">
        <v>0</v>
      </c>
      <c r="X384" s="15">
        <v>0</v>
      </c>
      <c r="Y384" s="16">
        <v>0</v>
      </c>
      <c r="Z384" s="15">
        <v>0</v>
      </c>
      <c r="AA384" s="16">
        <v>0</v>
      </c>
      <c r="AB384" s="15">
        <v>0</v>
      </c>
      <c r="AC384" s="16">
        <v>0</v>
      </c>
      <c r="AD384" s="15">
        <v>0</v>
      </c>
      <c r="AE384" s="16">
        <v>0</v>
      </c>
      <c r="AF384" s="15">
        <v>0</v>
      </c>
      <c r="AG384" s="16">
        <v>0</v>
      </c>
      <c r="AH384" s="15">
        <v>0</v>
      </c>
      <c r="AI384" s="15" t="s">
        <v>1174</v>
      </c>
      <c r="AJ384" s="14">
        <v>0.59721064814814817</v>
      </c>
      <c r="AK384" s="17">
        <v>44313</v>
      </c>
      <c r="AL384" s="18" t="s">
        <v>291</v>
      </c>
      <c r="AM384" s="14" t="s">
        <v>292</v>
      </c>
      <c r="AN384" s="14" t="s">
        <v>36</v>
      </c>
      <c r="AO384" s="14" t="s">
        <v>1175</v>
      </c>
      <c r="AP384" s="14" t="s">
        <v>37</v>
      </c>
      <c r="AQ384" s="14" t="s">
        <v>184</v>
      </c>
      <c r="AR384" s="14" t="s">
        <v>4</v>
      </c>
      <c r="AS384" s="14">
        <v>0</v>
      </c>
      <c r="AT384" s="14">
        <v>0</v>
      </c>
      <c r="AU384" s="14">
        <v>0</v>
      </c>
      <c r="AV384" s="14">
        <v>0</v>
      </c>
      <c r="AW384" s="14"/>
      <c r="AX384" s="14"/>
      <c r="AY384" s="14"/>
      <c r="AZ384" s="14"/>
      <c r="BA384" s="11"/>
      <c r="BB384" s="11"/>
      <c r="BC384" s="11"/>
      <c r="BD384" s="11"/>
      <c r="BE384" s="11"/>
      <c r="BF384" s="11"/>
      <c r="BG384" s="11"/>
      <c r="BH384" s="11"/>
      <c r="BI384" s="11"/>
      <c r="BJ384" s="11"/>
      <c r="BK384" s="11"/>
      <c r="BL384" s="11"/>
      <c r="BM384" s="11"/>
      <c r="BN384" s="11"/>
    </row>
    <row r="385" spans="1:66" s="2" customFormat="1" ht="12.75" x14ac:dyDescent="0.25">
      <c r="A385" s="9">
        <f t="shared" si="5"/>
        <v>1</v>
      </c>
      <c r="B385" s="6"/>
      <c r="C385" s="6"/>
      <c r="D385" s="24"/>
      <c r="E385" s="12" t="s">
        <v>38</v>
      </c>
      <c r="F385" s="25">
        <v>0</v>
      </c>
      <c r="G385" s="12" t="s">
        <v>1176</v>
      </c>
      <c r="H385" s="12">
        <v>0</v>
      </c>
      <c r="I385" s="12">
        <v>0</v>
      </c>
      <c r="J385" s="12">
        <v>0</v>
      </c>
      <c r="K385" s="12">
        <v>0</v>
      </c>
      <c r="L385" s="13">
        <v>0</v>
      </c>
      <c r="M385" s="13">
        <v>0</v>
      </c>
      <c r="N385" s="12">
        <v>0</v>
      </c>
      <c r="O385" s="12">
        <v>0</v>
      </c>
      <c r="P385" s="12">
        <v>0</v>
      </c>
      <c r="Q385" s="14">
        <v>0</v>
      </c>
      <c r="R385" s="15">
        <v>4926231.66</v>
      </c>
      <c r="S385" s="16">
        <v>4926231.66</v>
      </c>
      <c r="T385" s="15">
        <v>4926231.66</v>
      </c>
      <c r="U385" s="16">
        <v>0</v>
      </c>
      <c r="V385" s="15">
        <v>0</v>
      </c>
      <c r="W385" s="16">
        <v>0</v>
      </c>
      <c r="X385" s="15">
        <v>0</v>
      </c>
      <c r="Y385" s="16">
        <v>0</v>
      </c>
      <c r="Z385" s="15">
        <v>0</v>
      </c>
      <c r="AA385" s="16">
        <v>0</v>
      </c>
      <c r="AB385" s="15">
        <v>0</v>
      </c>
      <c r="AC385" s="16">
        <v>0</v>
      </c>
      <c r="AD385" s="15">
        <v>0</v>
      </c>
      <c r="AE385" s="16">
        <v>0</v>
      </c>
      <c r="AF385" s="15">
        <v>0</v>
      </c>
      <c r="AG385" s="16">
        <v>0</v>
      </c>
      <c r="AH385" s="15">
        <v>0</v>
      </c>
      <c r="AI385" s="15" t="s">
        <v>1177</v>
      </c>
      <c r="AJ385" s="14">
        <v>0.38216435185185182</v>
      </c>
      <c r="AK385" s="17">
        <v>44327</v>
      </c>
      <c r="AL385" s="18" t="s">
        <v>291</v>
      </c>
      <c r="AM385" s="14" t="s">
        <v>292</v>
      </c>
      <c r="AN385" s="14" t="s">
        <v>36</v>
      </c>
      <c r="AO385" s="14" t="s">
        <v>1178</v>
      </c>
      <c r="AP385" s="14" t="s">
        <v>37</v>
      </c>
      <c r="AQ385" s="14" t="s">
        <v>184</v>
      </c>
      <c r="AR385" s="14" t="s">
        <v>4</v>
      </c>
      <c r="AS385" s="14">
        <v>0</v>
      </c>
      <c r="AT385" s="14">
        <v>0</v>
      </c>
      <c r="AU385" s="14">
        <v>0</v>
      </c>
      <c r="AV385" s="14">
        <v>0</v>
      </c>
      <c r="AW385" s="14"/>
      <c r="AX385" s="14"/>
      <c r="AY385" s="14"/>
      <c r="AZ385" s="14"/>
      <c r="BA385" s="11"/>
      <c r="BB385" s="11"/>
      <c r="BC385" s="11"/>
      <c r="BD385" s="11"/>
      <c r="BE385" s="11"/>
      <c r="BF385" s="11"/>
      <c r="BG385" s="11"/>
      <c r="BH385" s="11"/>
      <c r="BI385" s="11"/>
      <c r="BJ385" s="11"/>
      <c r="BK385" s="11"/>
      <c r="BL385" s="11"/>
      <c r="BM385" s="11"/>
      <c r="BN385" s="11"/>
    </row>
    <row r="386" spans="1:66" s="2" customFormat="1" ht="12.75" x14ac:dyDescent="0.25">
      <c r="A386" s="9">
        <f t="shared" si="5"/>
        <v>1</v>
      </c>
      <c r="B386" s="6"/>
      <c r="C386" s="6"/>
      <c r="D386" s="24"/>
      <c r="E386" s="12" t="s">
        <v>38</v>
      </c>
      <c r="F386" s="25">
        <v>0</v>
      </c>
      <c r="G386" s="12" t="s">
        <v>1179</v>
      </c>
      <c r="H386" s="12">
        <v>0</v>
      </c>
      <c r="I386" s="12">
        <v>0</v>
      </c>
      <c r="J386" s="12">
        <v>0</v>
      </c>
      <c r="K386" s="12">
        <v>0</v>
      </c>
      <c r="L386" s="13">
        <v>0</v>
      </c>
      <c r="M386" s="13">
        <v>0</v>
      </c>
      <c r="N386" s="12">
        <v>0</v>
      </c>
      <c r="O386" s="12">
        <v>0</v>
      </c>
      <c r="P386" s="12">
        <v>0</v>
      </c>
      <c r="Q386" s="14">
        <v>0</v>
      </c>
      <c r="R386" s="15">
        <v>234600.1</v>
      </c>
      <c r="S386" s="16">
        <v>234600.1</v>
      </c>
      <c r="T386" s="15">
        <v>158175.1</v>
      </c>
      <c r="U386" s="16">
        <v>0</v>
      </c>
      <c r="V386" s="15">
        <v>76425</v>
      </c>
      <c r="W386" s="16">
        <v>0</v>
      </c>
      <c r="X386" s="15">
        <v>0</v>
      </c>
      <c r="Y386" s="16">
        <v>0</v>
      </c>
      <c r="Z386" s="15">
        <v>0</v>
      </c>
      <c r="AA386" s="16">
        <v>0</v>
      </c>
      <c r="AB386" s="15">
        <v>0</v>
      </c>
      <c r="AC386" s="16">
        <v>0</v>
      </c>
      <c r="AD386" s="15">
        <v>0</v>
      </c>
      <c r="AE386" s="16">
        <v>0</v>
      </c>
      <c r="AF386" s="15">
        <v>0</v>
      </c>
      <c r="AG386" s="16">
        <v>0</v>
      </c>
      <c r="AH386" s="15">
        <v>0</v>
      </c>
      <c r="AI386" s="15" t="s">
        <v>1180</v>
      </c>
      <c r="AJ386" s="14">
        <v>0.57341435185185186</v>
      </c>
      <c r="AK386" s="17">
        <v>44333</v>
      </c>
      <c r="AL386" s="18" t="s">
        <v>291</v>
      </c>
      <c r="AM386" s="14" t="s">
        <v>292</v>
      </c>
      <c r="AN386" s="14" t="s">
        <v>36</v>
      </c>
      <c r="AO386" s="14" t="s">
        <v>1181</v>
      </c>
      <c r="AP386" s="14" t="s">
        <v>37</v>
      </c>
      <c r="AQ386" s="14" t="s">
        <v>184</v>
      </c>
      <c r="AR386" s="14" t="s">
        <v>4</v>
      </c>
      <c r="AS386" s="14">
        <v>0</v>
      </c>
      <c r="AT386" s="14">
        <v>0</v>
      </c>
      <c r="AU386" s="14">
        <v>0</v>
      </c>
      <c r="AV386" s="14">
        <v>0</v>
      </c>
      <c r="AW386" s="14"/>
      <c r="AX386" s="14"/>
      <c r="AY386" s="14"/>
      <c r="AZ386" s="14"/>
      <c r="BA386" s="11"/>
      <c r="BB386" s="11"/>
      <c r="BC386" s="11"/>
      <c r="BD386" s="11"/>
      <c r="BE386" s="11"/>
      <c r="BF386" s="11"/>
      <c r="BG386" s="11"/>
      <c r="BH386" s="11"/>
      <c r="BI386" s="11"/>
      <c r="BJ386" s="11"/>
      <c r="BK386" s="11"/>
      <c r="BL386" s="11"/>
      <c r="BM386" s="11"/>
      <c r="BN386" s="11"/>
    </row>
    <row r="387" spans="1:66" s="2" customFormat="1" ht="12.75" x14ac:dyDescent="0.25">
      <c r="A387" s="9">
        <f t="shared" si="5"/>
        <v>1</v>
      </c>
      <c r="B387" s="6"/>
      <c r="C387" s="6"/>
      <c r="D387" s="24"/>
      <c r="E387" s="12" t="s">
        <v>38</v>
      </c>
      <c r="F387" s="25">
        <v>0</v>
      </c>
      <c r="G387" s="12" t="s">
        <v>1182</v>
      </c>
      <c r="H387" s="12">
        <v>0</v>
      </c>
      <c r="I387" s="12">
        <v>0</v>
      </c>
      <c r="J387" s="12">
        <v>0</v>
      </c>
      <c r="K387" s="12">
        <v>0</v>
      </c>
      <c r="L387" s="13">
        <v>0</v>
      </c>
      <c r="M387" s="13">
        <v>0</v>
      </c>
      <c r="N387" s="12">
        <v>0</v>
      </c>
      <c r="O387" s="12">
        <v>0</v>
      </c>
      <c r="P387" s="12">
        <v>0</v>
      </c>
      <c r="Q387" s="14">
        <v>0</v>
      </c>
      <c r="R387" s="15">
        <v>360004.3</v>
      </c>
      <c r="S387" s="16">
        <v>360004.3</v>
      </c>
      <c r="T387" s="15">
        <v>249929.3</v>
      </c>
      <c r="U387" s="16">
        <v>0</v>
      </c>
      <c r="V387" s="15">
        <v>110075</v>
      </c>
      <c r="W387" s="16">
        <v>0</v>
      </c>
      <c r="X387" s="15">
        <v>0</v>
      </c>
      <c r="Y387" s="16">
        <v>0</v>
      </c>
      <c r="Z387" s="15">
        <v>0</v>
      </c>
      <c r="AA387" s="16">
        <v>0</v>
      </c>
      <c r="AB387" s="15">
        <v>0</v>
      </c>
      <c r="AC387" s="16">
        <v>0</v>
      </c>
      <c r="AD387" s="15">
        <v>0</v>
      </c>
      <c r="AE387" s="16">
        <v>0</v>
      </c>
      <c r="AF387" s="15">
        <v>0</v>
      </c>
      <c r="AG387" s="16">
        <v>0</v>
      </c>
      <c r="AH387" s="15">
        <v>0</v>
      </c>
      <c r="AI387" s="15" t="s">
        <v>1183</v>
      </c>
      <c r="AJ387" s="14">
        <v>0.3859143518518518</v>
      </c>
      <c r="AK387" s="17">
        <v>44330</v>
      </c>
      <c r="AL387" s="18" t="s">
        <v>291</v>
      </c>
      <c r="AM387" s="14" t="s">
        <v>292</v>
      </c>
      <c r="AN387" s="14" t="s">
        <v>36</v>
      </c>
      <c r="AO387" s="14" t="s">
        <v>1184</v>
      </c>
      <c r="AP387" s="14" t="s">
        <v>37</v>
      </c>
      <c r="AQ387" s="14" t="s">
        <v>184</v>
      </c>
      <c r="AR387" s="14" t="s">
        <v>4</v>
      </c>
      <c r="AS387" s="14">
        <v>0</v>
      </c>
      <c r="AT387" s="14">
        <v>0</v>
      </c>
      <c r="AU387" s="14">
        <v>0</v>
      </c>
      <c r="AV387" s="14">
        <v>0</v>
      </c>
      <c r="AW387" s="14"/>
      <c r="AX387" s="14"/>
      <c r="AY387" s="14"/>
      <c r="AZ387" s="14"/>
      <c r="BA387" s="11"/>
      <c r="BB387" s="11"/>
      <c r="BC387" s="11"/>
      <c r="BD387" s="11"/>
      <c r="BE387" s="11"/>
      <c r="BF387" s="11"/>
      <c r="BG387" s="11"/>
      <c r="BH387" s="11"/>
      <c r="BI387" s="11"/>
      <c r="BJ387" s="11"/>
      <c r="BK387" s="11"/>
      <c r="BL387" s="11"/>
      <c r="BM387" s="11"/>
      <c r="BN387" s="11"/>
    </row>
    <row r="388" spans="1:66" s="2" customFormat="1" ht="12.75" x14ac:dyDescent="0.25">
      <c r="A388" s="9">
        <f t="shared" si="5"/>
        <v>1</v>
      </c>
      <c r="B388" s="6"/>
      <c r="C388" s="6"/>
      <c r="D388" s="24"/>
      <c r="E388" s="12" t="s">
        <v>38</v>
      </c>
      <c r="F388" s="25">
        <v>0</v>
      </c>
      <c r="G388" s="12" t="s">
        <v>1185</v>
      </c>
      <c r="H388" s="12">
        <v>0</v>
      </c>
      <c r="I388" s="12">
        <v>0</v>
      </c>
      <c r="J388" s="12">
        <v>0</v>
      </c>
      <c r="K388" s="12">
        <v>0</v>
      </c>
      <c r="L388" s="13">
        <v>0</v>
      </c>
      <c r="M388" s="13">
        <v>0</v>
      </c>
      <c r="N388" s="12">
        <v>0</v>
      </c>
      <c r="O388" s="12">
        <v>0</v>
      </c>
      <c r="P388" s="12">
        <v>0</v>
      </c>
      <c r="Q388" s="14">
        <v>0</v>
      </c>
      <c r="R388" s="15">
        <v>4926231.66</v>
      </c>
      <c r="S388" s="16">
        <v>4926231.66</v>
      </c>
      <c r="T388" s="15">
        <v>4926231.66</v>
      </c>
      <c r="U388" s="16">
        <v>0</v>
      </c>
      <c r="V388" s="15">
        <v>0</v>
      </c>
      <c r="W388" s="16">
        <v>0</v>
      </c>
      <c r="X388" s="15">
        <v>0</v>
      </c>
      <c r="Y388" s="16">
        <v>0</v>
      </c>
      <c r="Z388" s="15">
        <v>0</v>
      </c>
      <c r="AA388" s="16">
        <v>0</v>
      </c>
      <c r="AB388" s="15">
        <v>0</v>
      </c>
      <c r="AC388" s="16">
        <v>0</v>
      </c>
      <c r="AD388" s="15">
        <v>0</v>
      </c>
      <c r="AE388" s="16">
        <v>0</v>
      </c>
      <c r="AF388" s="15">
        <v>0</v>
      </c>
      <c r="AG388" s="16">
        <v>0</v>
      </c>
      <c r="AH388" s="15">
        <v>0</v>
      </c>
      <c r="AI388" s="15" t="s">
        <v>1186</v>
      </c>
      <c r="AJ388" s="14">
        <v>0.35929398148148151</v>
      </c>
      <c r="AK388" s="17">
        <v>44330</v>
      </c>
      <c r="AL388" s="18" t="s">
        <v>291</v>
      </c>
      <c r="AM388" s="14" t="s">
        <v>292</v>
      </c>
      <c r="AN388" s="14" t="s">
        <v>36</v>
      </c>
      <c r="AO388" s="14" t="s">
        <v>1187</v>
      </c>
      <c r="AP388" s="14" t="s">
        <v>37</v>
      </c>
      <c r="AQ388" s="14" t="s">
        <v>184</v>
      </c>
      <c r="AR388" s="14" t="s">
        <v>4</v>
      </c>
      <c r="AS388" s="14">
        <v>0</v>
      </c>
      <c r="AT388" s="14">
        <v>0</v>
      </c>
      <c r="AU388" s="14">
        <v>0</v>
      </c>
      <c r="AV388" s="14">
        <v>0</v>
      </c>
      <c r="AW388" s="14"/>
      <c r="AX388" s="14"/>
      <c r="AY388" s="14"/>
      <c r="AZ388" s="14"/>
      <c r="BA388" s="11"/>
      <c r="BB388" s="11"/>
      <c r="BC388" s="11"/>
      <c r="BD388" s="11"/>
      <c r="BE388" s="11"/>
      <c r="BF388" s="11"/>
      <c r="BG388" s="11"/>
      <c r="BH388" s="11"/>
      <c r="BI388" s="11"/>
      <c r="BJ388" s="11"/>
      <c r="BK388" s="11"/>
      <c r="BL388" s="11"/>
      <c r="BM388" s="11"/>
      <c r="BN388" s="11"/>
    </row>
    <row r="389" spans="1:66" s="2" customFormat="1" ht="12.75" x14ac:dyDescent="0.25">
      <c r="A389" s="9">
        <f t="shared" si="5"/>
        <v>1</v>
      </c>
      <c r="B389" s="6"/>
      <c r="C389" s="6"/>
      <c r="D389" s="24"/>
      <c r="E389" s="12" t="s">
        <v>38</v>
      </c>
      <c r="F389" s="25">
        <v>0</v>
      </c>
      <c r="G389" s="12" t="s">
        <v>1188</v>
      </c>
      <c r="H389" s="12">
        <v>0</v>
      </c>
      <c r="I389" s="12">
        <v>0</v>
      </c>
      <c r="J389" s="12">
        <v>0</v>
      </c>
      <c r="K389" s="12">
        <v>0</v>
      </c>
      <c r="L389" s="13">
        <v>0</v>
      </c>
      <c r="M389" s="13">
        <v>0</v>
      </c>
      <c r="N389" s="12">
        <v>0</v>
      </c>
      <c r="O389" s="12">
        <v>0</v>
      </c>
      <c r="P389" s="12">
        <v>0</v>
      </c>
      <c r="Q389" s="14">
        <v>0</v>
      </c>
      <c r="R389" s="15">
        <v>8173257.209999999</v>
      </c>
      <c r="S389" s="16">
        <v>8173257.209999999</v>
      </c>
      <c r="T389" s="15">
        <v>5214022.1599999983</v>
      </c>
      <c r="U389" s="16">
        <v>0</v>
      </c>
      <c r="V389" s="15">
        <v>2959235.0500000003</v>
      </c>
      <c r="W389" s="16">
        <v>0</v>
      </c>
      <c r="X389" s="15">
        <v>0</v>
      </c>
      <c r="Y389" s="16">
        <v>0</v>
      </c>
      <c r="Z389" s="15">
        <v>0</v>
      </c>
      <c r="AA389" s="16">
        <v>0</v>
      </c>
      <c r="AB389" s="15">
        <v>0</v>
      </c>
      <c r="AC389" s="16">
        <v>0</v>
      </c>
      <c r="AD389" s="15">
        <v>0</v>
      </c>
      <c r="AE389" s="16">
        <v>0</v>
      </c>
      <c r="AF389" s="15">
        <v>0</v>
      </c>
      <c r="AG389" s="16">
        <v>0</v>
      </c>
      <c r="AH389" s="15">
        <v>0</v>
      </c>
      <c r="AI389" s="15" t="s">
        <v>1189</v>
      </c>
      <c r="AJ389" s="14">
        <v>0.60951388888888891</v>
      </c>
      <c r="AK389" s="17">
        <v>44337</v>
      </c>
      <c r="AL389" s="18" t="s">
        <v>291</v>
      </c>
      <c r="AM389" s="14" t="s">
        <v>292</v>
      </c>
      <c r="AN389" s="14" t="s">
        <v>36</v>
      </c>
      <c r="AO389" s="14" t="s">
        <v>1190</v>
      </c>
      <c r="AP389" s="14" t="s">
        <v>37</v>
      </c>
      <c r="AQ389" s="14" t="s">
        <v>184</v>
      </c>
      <c r="AR389" s="14" t="s">
        <v>4</v>
      </c>
      <c r="AS389" s="14">
        <v>0</v>
      </c>
      <c r="AT389" s="14">
        <v>0</v>
      </c>
      <c r="AU389" s="14">
        <v>0</v>
      </c>
      <c r="AV389" s="14">
        <v>0</v>
      </c>
      <c r="AW389" s="14"/>
      <c r="AX389" s="14"/>
      <c r="AY389" s="14"/>
      <c r="AZ389" s="14"/>
      <c r="BA389" s="11"/>
      <c r="BB389" s="11"/>
      <c r="BC389" s="11"/>
      <c r="BD389" s="11"/>
      <c r="BE389" s="11"/>
      <c r="BF389" s="11"/>
      <c r="BG389" s="11"/>
      <c r="BH389" s="11"/>
      <c r="BI389" s="11"/>
      <c r="BJ389" s="11"/>
      <c r="BK389" s="11"/>
      <c r="BL389" s="11"/>
      <c r="BM389" s="11"/>
      <c r="BN389" s="11"/>
    </row>
    <row r="390" spans="1:66" s="2" customFormat="1" ht="12.75" x14ac:dyDescent="0.25">
      <c r="A390" s="9">
        <f t="shared" si="5"/>
        <v>1</v>
      </c>
      <c r="B390" s="6"/>
      <c r="C390" s="6"/>
      <c r="D390" s="24"/>
      <c r="E390" s="12" t="s">
        <v>38</v>
      </c>
      <c r="F390" s="25">
        <v>0</v>
      </c>
      <c r="G390" s="12" t="s">
        <v>1191</v>
      </c>
      <c r="H390" s="12">
        <v>0</v>
      </c>
      <c r="I390" s="12">
        <v>0</v>
      </c>
      <c r="J390" s="12">
        <v>0</v>
      </c>
      <c r="K390" s="12">
        <v>0</v>
      </c>
      <c r="L390" s="13">
        <v>0</v>
      </c>
      <c r="M390" s="13">
        <v>0</v>
      </c>
      <c r="N390" s="12">
        <v>0</v>
      </c>
      <c r="O390" s="12">
        <v>0</v>
      </c>
      <c r="P390" s="12">
        <v>0</v>
      </c>
      <c r="Q390" s="14">
        <v>0</v>
      </c>
      <c r="R390" s="15">
        <v>1823435.7999999998</v>
      </c>
      <c r="S390" s="16">
        <v>1823435.7999999998</v>
      </c>
      <c r="T390" s="15">
        <v>1368098.1999999997</v>
      </c>
      <c r="U390" s="16">
        <v>0</v>
      </c>
      <c r="V390" s="15">
        <v>455337.6</v>
      </c>
      <c r="W390" s="16">
        <v>0</v>
      </c>
      <c r="X390" s="15">
        <v>0</v>
      </c>
      <c r="Y390" s="16">
        <v>0</v>
      </c>
      <c r="Z390" s="15">
        <v>0</v>
      </c>
      <c r="AA390" s="16">
        <v>0</v>
      </c>
      <c r="AB390" s="15">
        <v>0</v>
      </c>
      <c r="AC390" s="16">
        <v>0</v>
      </c>
      <c r="AD390" s="15">
        <v>0</v>
      </c>
      <c r="AE390" s="16">
        <v>0</v>
      </c>
      <c r="AF390" s="15">
        <v>0</v>
      </c>
      <c r="AG390" s="16">
        <v>0</v>
      </c>
      <c r="AH390" s="15">
        <v>0</v>
      </c>
      <c r="AI390" s="15" t="s">
        <v>1192</v>
      </c>
      <c r="AJ390" s="14">
        <v>0.56072916666666661</v>
      </c>
      <c r="AK390" s="17">
        <v>44334</v>
      </c>
      <c r="AL390" s="18" t="s">
        <v>291</v>
      </c>
      <c r="AM390" s="14" t="s">
        <v>292</v>
      </c>
      <c r="AN390" s="14" t="s">
        <v>36</v>
      </c>
      <c r="AO390" s="14" t="s">
        <v>1193</v>
      </c>
      <c r="AP390" s="14" t="s">
        <v>37</v>
      </c>
      <c r="AQ390" s="14" t="s">
        <v>184</v>
      </c>
      <c r="AR390" s="14" t="s">
        <v>4</v>
      </c>
      <c r="AS390" s="14">
        <v>0</v>
      </c>
      <c r="AT390" s="14">
        <v>0</v>
      </c>
      <c r="AU390" s="14">
        <v>0</v>
      </c>
      <c r="AV390" s="14">
        <v>0</v>
      </c>
      <c r="AW390" s="14"/>
      <c r="AX390" s="14"/>
      <c r="AY390" s="14"/>
      <c r="AZ390" s="14"/>
      <c r="BA390" s="11"/>
      <c r="BB390" s="11"/>
      <c r="BC390" s="11"/>
      <c r="BD390" s="11"/>
      <c r="BE390" s="11"/>
      <c r="BF390" s="11"/>
      <c r="BG390" s="11"/>
      <c r="BH390" s="11"/>
      <c r="BI390" s="11"/>
      <c r="BJ390" s="11"/>
      <c r="BK390" s="11"/>
      <c r="BL390" s="11"/>
      <c r="BM390" s="11"/>
      <c r="BN390" s="11"/>
    </row>
    <row r="391" spans="1:66" s="2" customFormat="1" ht="12.75" x14ac:dyDescent="0.25">
      <c r="A391" s="9">
        <f t="shared" si="5"/>
        <v>1</v>
      </c>
      <c r="B391" s="6"/>
      <c r="C391" s="6"/>
      <c r="D391" s="24"/>
      <c r="E391" s="12" t="s">
        <v>38</v>
      </c>
      <c r="F391" s="25">
        <v>0</v>
      </c>
      <c r="G391" s="12" t="s">
        <v>1194</v>
      </c>
      <c r="H391" s="12">
        <v>0</v>
      </c>
      <c r="I391" s="12">
        <v>0</v>
      </c>
      <c r="J391" s="12">
        <v>0</v>
      </c>
      <c r="K391" s="12">
        <v>0</v>
      </c>
      <c r="L391" s="13">
        <v>0</v>
      </c>
      <c r="M391" s="13">
        <v>0</v>
      </c>
      <c r="N391" s="12">
        <v>0</v>
      </c>
      <c r="O391" s="12">
        <v>0</v>
      </c>
      <c r="P391" s="12">
        <v>0</v>
      </c>
      <c r="Q391" s="14">
        <v>0</v>
      </c>
      <c r="R391" s="15">
        <v>12000</v>
      </c>
      <c r="S391" s="16">
        <v>12000</v>
      </c>
      <c r="T391" s="15">
        <v>0</v>
      </c>
      <c r="U391" s="16">
        <v>0</v>
      </c>
      <c r="V391" s="15">
        <v>12000</v>
      </c>
      <c r="W391" s="16">
        <v>0</v>
      </c>
      <c r="X391" s="15">
        <v>0</v>
      </c>
      <c r="Y391" s="16">
        <v>0</v>
      </c>
      <c r="Z391" s="15">
        <v>0</v>
      </c>
      <c r="AA391" s="16">
        <v>0</v>
      </c>
      <c r="AB391" s="15">
        <v>0</v>
      </c>
      <c r="AC391" s="16">
        <v>0</v>
      </c>
      <c r="AD391" s="15">
        <v>0</v>
      </c>
      <c r="AE391" s="16">
        <v>0</v>
      </c>
      <c r="AF391" s="15">
        <v>0</v>
      </c>
      <c r="AG391" s="16">
        <v>0</v>
      </c>
      <c r="AH391" s="15">
        <v>0</v>
      </c>
      <c r="AI391" s="15" t="s">
        <v>1195</v>
      </c>
      <c r="AJ391" s="14">
        <v>0.53375000000000006</v>
      </c>
      <c r="AK391" s="17">
        <v>44334</v>
      </c>
      <c r="AL391" s="18" t="s">
        <v>291</v>
      </c>
      <c r="AM391" s="14" t="s">
        <v>292</v>
      </c>
      <c r="AN391" s="14" t="s">
        <v>36</v>
      </c>
      <c r="AO391" s="14" t="s">
        <v>1196</v>
      </c>
      <c r="AP391" s="14" t="s">
        <v>37</v>
      </c>
      <c r="AQ391" s="14" t="s">
        <v>184</v>
      </c>
      <c r="AR391" s="14" t="s">
        <v>4</v>
      </c>
      <c r="AS391" s="14">
        <v>0</v>
      </c>
      <c r="AT391" s="14">
        <v>0</v>
      </c>
      <c r="AU391" s="14">
        <v>0</v>
      </c>
      <c r="AV391" s="14">
        <v>0</v>
      </c>
      <c r="AW391" s="14"/>
      <c r="AX391" s="14"/>
      <c r="AY391" s="14"/>
      <c r="AZ391" s="14"/>
      <c r="BA391" s="11"/>
      <c r="BB391" s="11"/>
      <c r="BC391" s="11"/>
      <c r="BD391" s="11"/>
      <c r="BE391" s="11"/>
      <c r="BF391" s="11"/>
      <c r="BG391" s="11"/>
      <c r="BH391" s="11"/>
      <c r="BI391" s="11"/>
      <c r="BJ391" s="11"/>
      <c r="BK391" s="11"/>
      <c r="BL391" s="11"/>
      <c r="BM391" s="11"/>
      <c r="BN391" s="11"/>
    </row>
    <row r="392" spans="1:66" s="2" customFormat="1" ht="12.75" x14ac:dyDescent="0.25">
      <c r="A392" s="9">
        <f t="shared" si="5"/>
        <v>1</v>
      </c>
      <c r="B392" s="6"/>
      <c r="C392" s="6"/>
      <c r="D392" s="24"/>
      <c r="E392" s="12" t="s">
        <v>38</v>
      </c>
      <c r="F392" s="25">
        <v>0</v>
      </c>
      <c r="G392" s="12" t="s">
        <v>1197</v>
      </c>
      <c r="H392" s="12">
        <v>0</v>
      </c>
      <c r="I392" s="12">
        <v>0</v>
      </c>
      <c r="J392" s="12">
        <v>0</v>
      </c>
      <c r="K392" s="12">
        <v>0</v>
      </c>
      <c r="L392" s="13">
        <v>0</v>
      </c>
      <c r="M392" s="13">
        <v>0</v>
      </c>
      <c r="N392" s="12">
        <v>0</v>
      </c>
      <c r="O392" s="12">
        <v>0</v>
      </c>
      <c r="P392" s="12">
        <v>0</v>
      </c>
      <c r="Q392" s="14">
        <v>0</v>
      </c>
      <c r="R392" s="15">
        <v>4926231.66</v>
      </c>
      <c r="S392" s="16">
        <v>4926231.66</v>
      </c>
      <c r="T392" s="15">
        <v>4926231.66</v>
      </c>
      <c r="U392" s="16">
        <v>0</v>
      </c>
      <c r="V392" s="15">
        <v>0</v>
      </c>
      <c r="W392" s="16">
        <v>0</v>
      </c>
      <c r="X392" s="15">
        <v>0</v>
      </c>
      <c r="Y392" s="16">
        <v>0</v>
      </c>
      <c r="Z392" s="15">
        <v>0</v>
      </c>
      <c r="AA392" s="16">
        <v>0</v>
      </c>
      <c r="AB392" s="15">
        <v>0</v>
      </c>
      <c r="AC392" s="16">
        <v>0</v>
      </c>
      <c r="AD392" s="15">
        <v>0</v>
      </c>
      <c r="AE392" s="16">
        <v>0</v>
      </c>
      <c r="AF392" s="15">
        <v>0</v>
      </c>
      <c r="AG392" s="16">
        <v>0</v>
      </c>
      <c r="AH392" s="15">
        <v>0</v>
      </c>
      <c r="AI392" s="15" t="s">
        <v>1198</v>
      </c>
      <c r="AJ392" s="14">
        <v>0.36209490740740741</v>
      </c>
      <c r="AK392" s="17">
        <v>44337</v>
      </c>
      <c r="AL392" s="18" t="s">
        <v>291</v>
      </c>
      <c r="AM392" s="14" t="s">
        <v>292</v>
      </c>
      <c r="AN392" s="14" t="s">
        <v>36</v>
      </c>
      <c r="AO392" s="14" t="s">
        <v>1199</v>
      </c>
      <c r="AP392" s="14" t="s">
        <v>37</v>
      </c>
      <c r="AQ392" s="14" t="s">
        <v>184</v>
      </c>
      <c r="AR392" s="14" t="s">
        <v>4</v>
      </c>
      <c r="AS392" s="14">
        <v>0</v>
      </c>
      <c r="AT392" s="14">
        <v>0</v>
      </c>
      <c r="AU392" s="14">
        <v>0</v>
      </c>
      <c r="AV392" s="14">
        <v>0</v>
      </c>
      <c r="AW392" s="14"/>
      <c r="AX392" s="14"/>
      <c r="AY392" s="14"/>
      <c r="AZ392" s="14"/>
      <c r="BA392" s="11"/>
      <c r="BB392" s="11"/>
      <c r="BC392" s="11"/>
      <c r="BD392" s="11"/>
      <c r="BE392" s="11"/>
      <c r="BF392" s="11"/>
      <c r="BG392" s="11"/>
      <c r="BH392" s="11"/>
      <c r="BI392" s="11"/>
      <c r="BJ392" s="11"/>
      <c r="BK392" s="11"/>
      <c r="BL392" s="11"/>
      <c r="BM392" s="11"/>
      <c r="BN392" s="11"/>
    </row>
    <row r="393" spans="1:66" s="2" customFormat="1" ht="12.75" x14ac:dyDescent="0.25">
      <c r="A393" s="9">
        <f t="shared" si="5"/>
        <v>1</v>
      </c>
      <c r="B393" s="6"/>
      <c r="C393" s="6"/>
      <c r="D393" s="24"/>
      <c r="E393" s="12" t="s">
        <v>38</v>
      </c>
      <c r="F393" s="25">
        <v>0</v>
      </c>
      <c r="G393" s="12" t="s">
        <v>1200</v>
      </c>
      <c r="H393" s="12">
        <v>0</v>
      </c>
      <c r="I393" s="12">
        <v>0</v>
      </c>
      <c r="J393" s="12">
        <v>0</v>
      </c>
      <c r="K393" s="12">
        <v>0</v>
      </c>
      <c r="L393" s="13">
        <v>0</v>
      </c>
      <c r="M393" s="13">
        <v>0</v>
      </c>
      <c r="N393" s="12">
        <v>0</v>
      </c>
      <c r="O393" s="12">
        <v>0</v>
      </c>
      <c r="P393" s="12">
        <v>0</v>
      </c>
      <c r="Q393" s="14">
        <v>0</v>
      </c>
      <c r="R393" s="15">
        <v>8391834.0899999999</v>
      </c>
      <c r="S393" s="16">
        <v>8391834.0899999999</v>
      </c>
      <c r="T393" s="15">
        <v>5315344.29</v>
      </c>
      <c r="U393" s="16">
        <v>0</v>
      </c>
      <c r="V393" s="15">
        <v>3076489.8</v>
      </c>
      <c r="W393" s="16">
        <v>0</v>
      </c>
      <c r="X393" s="15">
        <v>0</v>
      </c>
      <c r="Y393" s="16">
        <v>0</v>
      </c>
      <c r="Z393" s="15">
        <v>0</v>
      </c>
      <c r="AA393" s="16">
        <v>0</v>
      </c>
      <c r="AB393" s="15">
        <v>0</v>
      </c>
      <c r="AC393" s="16">
        <v>0</v>
      </c>
      <c r="AD393" s="15">
        <v>0</v>
      </c>
      <c r="AE393" s="16">
        <v>0</v>
      </c>
      <c r="AF393" s="15">
        <v>0</v>
      </c>
      <c r="AG393" s="16">
        <v>0</v>
      </c>
      <c r="AH393" s="15">
        <v>0</v>
      </c>
      <c r="AI393" s="15" t="s">
        <v>1201</v>
      </c>
      <c r="AJ393" s="14">
        <v>0.68607638888888889</v>
      </c>
      <c r="AK393" s="17">
        <v>44511</v>
      </c>
      <c r="AL393" s="18" t="s">
        <v>40</v>
      </c>
      <c r="AM393" s="14" t="s">
        <v>410</v>
      </c>
      <c r="AN393" s="14" t="s">
        <v>36</v>
      </c>
      <c r="AO393" s="14" t="s">
        <v>1202</v>
      </c>
      <c r="AP393" s="14" t="s">
        <v>37</v>
      </c>
      <c r="AQ393" s="14" t="s">
        <v>184</v>
      </c>
      <c r="AR393" s="14" t="s">
        <v>4</v>
      </c>
      <c r="AS393" s="14">
        <v>0</v>
      </c>
      <c r="AT393" s="14">
        <v>0</v>
      </c>
      <c r="AU393" s="14">
        <v>0</v>
      </c>
      <c r="AV393" s="14">
        <v>0</v>
      </c>
      <c r="AW393" s="14"/>
      <c r="AX393" s="14"/>
      <c r="AY393" s="14"/>
      <c r="AZ393" s="14"/>
      <c r="BA393" s="11"/>
      <c r="BB393" s="11"/>
      <c r="BC393" s="11"/>
      <c r="BD393" s="11"/>
      <c r="BE393" s="11"/>
      <c r="BF393" s="11"/>
      <c r="BG393" s="11"/>
      <c r="BH393" s="11"/>
      <c r="BI393" s="11"/>
      <c r="BJ393" s="11"/>
      <c r="BK393" s="11"/>
      <c r="BL393" s="11"/>
      <c r="BM393" s="11"/>
      <c r="BN393" s="11"/>
    </row>
    <row r="394" spans="1:66" s="2" customFormat="1" ht="12.75" x14ac:dyDescent="0.25">
      <c r="A394" s="9">
        <f t="shared" si="5"/>
        <v>1</v>
      </c>
      <c r="B394" s="6"/>
      <c r="C394" s="6"/>
      <c r="D394" s="24"/>
      <c r="E394" s="12" t="s">
        <v>38</v>
      </c>
      <c r="F394" s="25">
        <v>0</v>
      </c>
      <c r="G394" s="12" t="s">
        <v>1203</v>
      </c>
      <c r="H394" s="12">
        <v>0</v>
      </c>
      <c r="I394" s="12">
        <v>0</v>
      </c>
      <c r="J394" s="12">
        <v>0</v>
      </c>
      <c r="K394" s="12">
        <v>0</v>
      </c>
      <c r="L394" s="13">
        <v>0</v>
      </c>
      <c r="M394" s="13">
        <v>0</v>
      </c>
      <c r="N394" s="12">
        <v>0</v>
      </c>
      <c r="O394" s="12">
        <v>0</v>
      </c>
      <c r="P394" s="12">
        <v>0</v>
      </c>
      <c r="Q394" s="14">
        <v>0</v>
      </c>
      <c r="R394" s="15">
        <v>8913136.0100000016</v>
      </c>
      <c r="S394" s="16">
        <v>8913136.0100000016</v>
      </c>
      <c r="T394" s="15">
        <v>5629390.4100000011</v>
      </c>
      <c r="U394" s="16">
        <v>0</v>
      </c>
      <c r="V394" s="15">
        <v>3283745.6</v>
      </c>
      <c r="W394" s="16">
        <v>0</v>
      </c>
      <c r="X394" s="15">
        <v>0</v>
      </c>
      <c r="Y394" s="16">
        <v>0</v>
      </c>
      <c r="Z394" s="15">
        <v>0</v>
      </c>
      <c r="AA394" s="16">
        <v>0</v>
      </c>
      <c r="AB394" s="15">
        <v>0</v>
      </c>
      <c r="AC394" s="16">
        <v>0</v>
      </c>
      <c r="AD394" s="15">
        <v>0</v>
      </c>
      <c r="AE394" s="16">
        <v>0</v>
      </c>
      <c r="AF394" s="15">
        <v>0</v>
      </c>
      <c r="AG394" s="16">
        <v>0</v>
      </c>
      <c r="AH394" s="15">
        <v>0</v>
      </c>
      <c r="AI394" s="15" t="s">
        <v>1204</v>
      </c>
      <c r="AJ394" s="14">
        <v>0.52618055555555554</v>
      </c>
      <c r="AK394" s="17">
        <v>44341</v>
      </c>
      <c r="AL394" s="18" t="s">
        <v>291</v>
      </c>
      <c r="AM394" s="14" t="s">
        <v>292</v>
      </c>
      <c r="AN394" s="14" t="s">
        <v>36</v>
      </c>
      <c r="AO394" s="14" t="s">
        <v>1205</v>
      </c>
      <c r="AP394" s="14" t="s">
        <v>37</v>
      </c>
      <c r="AQ394" s="14" t="s">
        <v>184</v>
      </c>
      <c r="AR394" s="14" t="s">
        <v>4</v>
      </c>
      <c r="AS394" s="14">
        <v>0</v>
      </c>
      <c r="AT394" s="14">
        <v>0</v>
      </c>
      <c r="AU394" s="14">
        <v>0</v>
      </c>
      <c r="AV394" s="14">
        <v>0</v>
      </c>
      <c r="AW394" s="14"/>
      <c r="AX394" s="14"/>
      <c r="AY394" s="14"/>
      <c r="AZ394" s="14"/>
      <c r="BA394" s="11"/>
      <c r="BB394" s="11"/>
      <c r="BC394" s="11"/>
      <c r="BD394" s="11"/>
      <c r="BE394" s="11"/>
      <c r="BF394" s="11"/>
      <c r="BG394" s="11"/>
      <c r="BH394" s="11"/>
      <c r="BI394" s="11"/>
      <c r="BJ394" s="11"/>
      <c r="BK394" s="11"/>
      <c r="BL394" s="11"/>
      <c r="BM394" s="11"/>
      <c r="BN394" s="11"/>
    </row>
    <row r="395" spans="1:66" s="2" customFormat="1" ht="12.75" x14ac:dyDescent="0.25">
      <c r="A395" s="9">
        <f t="shared" si="5"/>
        <v>1</v>
      </c>
      <c r="B395" s="6"/>
      <c r="C395" s="6"/>
      <c r="D395" s="24"/>
      <c r="E395" s="12" t="s">
        <v>38</v>
      </c>
      <c r="F395" s="25">
        <v>0</v>
      </c>
      <c r="G395" s="12" t="s">
        <v>1206</v>
      </c>
      <c r="H395" s="12">
        <v>0</v>
      </c>
      <c r="I395" s="12">
        <v>0</v>
      </c>
      <c r="J395" s="12">
        <v>0</v>
      </c>
      <c r="K395" s="12">
        <v>0</v>
      </c>
      <c r="L395" s="13">
        <v>0</v>
      </c>
      <c r="M395" s="13">
        <v>0</v>
      </c>
      <c r="N395" s="12">
        <v>0</v>
      </c>
      <c r="O395" s="12">
        <v>0</v>
      </c>
      <c r="P395" s="12">
        <v>0</v>
      </c>
      <c r="Q395" s="14">
        <v>0</v>
      </c>
      <c r="R395" s="15">
        <v>198140.73</v>
      </c>
      <c r="S395" s="16">
        <v>198140.73</v>
      </c>
      <c r="T395" s="15">
        <v>198140.73</v>
      </c>
      <c r="U395" s="16">
        <v>0</v>
      </c>
      <c r="V395" s="15">
        <v>0</v>
      </c>
      <c r="W395" s="16">
        <v>0</v>
      </c>
      <c r="X395" s="15">
        <v>0</v>
      </c>
      <c r="Y395" s="16">
        <v>0</v>
      </c>
      <c r="Z395" s="15">
        <v>0</v>
      </c>
      <c r="AA395" s="16">
        <v>0</v>
      </c>
      <c r="AB395" s="15">
        <v>0</v>
      </c>
      <c r="AC395" s="16">
        <v>0</v>
      </c>
      <c r="AD395" s="15">
        <v>0</v>
      </c>
      <c r="AE395" s="16">
        <v>0</v>
      </c>
      <c r="AF395" s="15">
        <v>0</v>
      </c>
      <c r="AG395" s="16">
        <v>0</v>
      </c>
      <c r="AH395" s="15">
        <v>0</v>
      </c>
      <c r="AI395" s="15" t="s">
        <v>1207</v>
      </c>
      <c r="AJ395" s="14">
        <v>0.56643518518518521</v>
      </c>
      <c r="AK395" s="17">
        <v>44348</v>
      </c>
      <c r="AL395" s="18" t="s">
        <v>291</v>
      </c>
      <c r="AM395" s="14" t="s">
        <v>292</v>
      </c>
      <c r="AN395" s="14" t="s">
        <v>36</v>
      </c>
      <c r="AO395" s="14" t="s">
        <v>1208</v>
      </c>
      <c r="AP395" s="14" t="s">
        <v>37</v>
      </c>
      <c r="AQ395" s="14" t="s">
        <v>184</v>
      </c>
      <c r="AR395" s="14" t="s">
        <v>4</v>
      </c>
      <c r="AS395" s="14">
        <v>0</v>
      </c>
      <c r="AT395" s="14">
        <v>0</v>
      </c>
      <c r="AU395" s="14">
        <v>0</v>
      </c>
      <c r="AV395" s="14">
        <v>0</v>
      </c>
      <c r="AW395" s="14"/>
      <c r="AX395" s="14"/>
      <c r="AY395" s="14"/>
      <c r="AZ395" s="14"/>
      <c r="BA395" s="11"/>
      <c r="BB395" s="11"/>
      <c r="BC395" s="11"/>
      <c r="BD395" s="11"/>
      <c r="BE395" s="11"/>
      <c r="BF395" s="11"/>
      <c r="BG395" s="11"/>
      <c r="BH395" s="11"/>
      <c r="BI395" s="11"/>
      <c r="BJ395" s="11"/>
      <c r="BK395" s="11"/>
      <c r="BL395" s="11"/>
      <c r="BM395" s="11"/>
      <c r="BN395" s="11"/>
    </row>
    <row r="396" spans="1:66" s="2" customFormat="1" ht="12.75" x14ac:dyDescent="0.25">
      <c r="A396" s="9">
        <f t="shared" ref="A396:A432" si="6">IF(G396&gt;0,1,0)</f>
        <v>1</v>
      </c>
      <c r="B396" s="6"/>
      <c r="C396" s="6"/>
      <c r="D396" s="24"/>
      <c r="E396" s="12" t="s">
        <v>38</v>
      </c>
      <c r="F396" s="25">
        <v>0</v>
      </c>
      <c r="G396" s="12" t="s">
        <v>1209</v>
      </c>
      <c r="H396" s="12">
        <v>0</v>
      </c>
      <c r="I396" s="12">
        <v>0</v>
      </c>
      <c r="J396" s="12">
        <v>0</v>
      </c>
      <c r="K396" s="12">
        <v>0</v>
      </c>
      <c r="L396" s="13">
        <v>0</v>
      </c>
      <c r="M396" s="13">
        <v>0</v>
      </c>
      <c r="N396" s="12">
        <v>0</v>
      </c>
      <c r="O396" s="12">
        <v>0</v>
      </c>
      <c r="P396" s="12">
        <v>0</v>
      </c>
      <c r="Q396" s="14">
        <v>0</v>
      </c>
      <c r="R396" s="15">
        <v>11334052.469999997</v>
      </c>
      <c r="S396" s="16">
        <v>11334052.469999997</v>
      </c>
      <c r="T396" s="15">
        <v>7290369.0199999968</v>
      </c>
      <c r="U396" s="16">
        <v>0</v>
      </c>
      <c r="V396" s="15">
        <v>4043683.45</v>
      </c>
      <c r="W396" s="16">
        <v>0</v>
      </c>
      <c r="X396" s="15">
        <v>0</v>
      </c>
      <c r="Y396" s="16">
        <v>0</v>
      </c>
      <c r="Z396" s="15">
        <v>0</v>
      </c>
      <c r="AA396" s="16">
        <v>0</v>
      </c>
      <c r="AB396" s="15">
        <v>0</v>
      </c>
      <c r="AC396" s="16">
        <v>0</v>
      </c>
      <c r="AD396" s="15">
        <v>0</v>
      </c>
      <c r="AE396" s="16">
        <v>0</v>
      </c>
      <c r="AF396" s="15">
        <v>0</v>
      </c>
      <c r="AG396" s="16">
        <v>0</v>
      </c>
      <c r="AH396" s="15">
        <v>0</v>
      </c>
      <c r="AI396" s="15" t="s">
        <v>1210</v>
      </c>
      <c r="AJ396" s="14">
        <v>0.43980324074074079</v>
      </c>
      <c r="AK396" s="17">
        <v>44348</v>
      </c>
      <c r="AL396" s="18" t="s">
        <v>291</v>
      </c>
      <c r="AM396" s="14" t="s">
        <v>292</v>
      </c>
      <c r="AN396" s="14" t="s">
        <v>36</v>
      </c>
      <c r="AO396" s="14" t="s">
        <v>1211</v>
      </c>
      <c r="AP396" s="14" t="s">
        <v>37</v>
      </c>
      <c r="AQ396" s="14" t="s">
        <v>184</v>
      </c>
      <c r="AR396" s="14" t="s">
        <v>4</v>
      </c>
      <c r="AS396" s="14">
        <v>0</v>
      </c>
      <c r="AT396" s="14">
        <v>0</v>
      </c>
      <c r="AU396" s="14">
        <v>0</v>
      </c>
      <c r="AV396" s="14">
        <v>0</v>
      </c>
      <c r="AW396" s="14"/>
      <c r="AX396" s="14"/>
      <c r="AY396" s="14"/>
      <c r="AZ396" s="14"/>
      <c r="BA396" s="11"/>
      <c r="BB396" s="11"/>
      <c r="BC396" s="11"/>
      <c r="BD396" s="11"/>
      <c r="BE396" s="11"/>
      <c r="BF396" s="11"/>
      <c r="BG396" s="11"/>
      <c r="BH396" s="11"/>
      <c r="BI396" s="11"/>
      <c r="BJ396" s="11"/>
      <c r="BK396" s="11"/>
      <c r="BL396" s="11"/>
      <c r="BM396" s="11"/>
      <c r="BN396" s="11"/>
    </row>
    <row r="397" spans="1:66" s="2" customFormat="1" ht="12.75" x14ac:dyDescent="0.25">
      <c r="A397" s="9">
        <f t="shared" si="6"/>
        <v>1</v>
      </c>
      <c r="B397" s="6"/>
      <c r="C397" s="6"/>
      <c r="D397" s="24"/>
      <c r="E397" s="12" t="s">
        <v>38</v>
      </c>
      <c r="F397" s="25">
        <v>0</v>
      </c>
      <c r="G397" s="12" t="s">
        <v>1212</v>
      </c>
      <c r="H397" s="12">
        <v>0</v>
      </c>
      <c r="I397" s="12">
        <v>0</v>
      </c>
      <c r="J397" s="12">
        <v>0</v>
      </c>
      <c r="K397" s="12">
        <v>0</v>
      </c>
      <c r="L397" s="13">
        <v>0</v>
      </c>
      <c r="M397" s="13">
        <v>0</v>
      </c>
      <c r="N397" s="12">
        <v>0</v>
      </c>
      <c r="O397" s="12">
        <v>0</v>
      </c>
      <c r="P397" s="12">
        <v>0</v>
      </c>
      <c r="Q397" s="14">
        <v>0</v>
      </c>
      <c r="R397" s="15">
        <v>5357353.83</v>
      </c>
      <c r="S397" s="16">
        <v>5357353.83</v>
      </c>
      <c r="T397" s="15">
        <v>3337265.6300000004</v>
      </c>
      <c r="U397" s="16">
        <v>0</v>
      </c>
      <c r="V397" s="15">
        <v>2020088.2</v>
      </c>
      <c r="W397" s="16">
        <v>0</v>
      </c>
      <c r="X397" s="15">
        <v>0</v>
      </c>
      <c r="Y397" s="16">
        <v>0</v>
      </c>
      <c r="Z397" s="15">
        <v>0</v>
      </c>
      <c r="AA397" s="16">
        <v>0</v>
      </c>
      <c r="AB397" s="15">
        <v>0</v>
      </c>
      <c r="AC397" s="16">
        <v>0</v>
      </c>
      <c r="AD397" s="15">
        <v>0</v>
      </c>
      <c r="AE397" s="16">
        <v>0</v>
      </c>
      <c r="AF397" s="15">
        <v>0</v>
      </c>
      <c r="AG397" s="16">
        <v>0</v>
      </c>
      <c r="AH397" s="15">
        <v>0</v>
      </c>
      <c r="AI397" s="15" t="s">
        <v>1213</v>
      </c>
      <c r="AJ397" s="14">
        <v>0.67949074074074067</v>
      </c>
      <c r="AK397" s="17">
        <v>44393</v>
      </c>
      <c r="AL397" s="18" t="s">
        <v>291</v>
      </c>
      <c r="AM397" s="14" t="s">
        <v>292</v>
      </c>
      <c r="AN397" s="14" t="s">
        <v>36</v>
      </c>
      <c r="AO397" s="14" t="s">
        <v>1214</v>
      </c>
      <c r="AP397" s="14" t="s">
        <v>37</v>
      </c>
      <c r="AQ397" s="14" t="s">
        <v>184</v>
      </c>
      <c r="AR397" s="14" t="s">
        <v>4</v>
      </c>
      <c r="AS397" s="14">
        <v>0</v>
      </c>
      <c r="AT397" s="14">
        <v>0</v>
      </c>
      <c r="AU397" s="14">
        <v>0</v>
      </c>
      <c r="AV397" s="14">
        <v>0</v>
      </c>
      <c r="AW397" s="14"/>
      <c r="AX397" s="14"/>
      <c r="AY397" s="14"/>
      <c r="AZ397" s="14"/>
      <c r="BA397" s="11"/>
      <c r="BB397" s="11"/>
      <c r="BC397" s="11"/>
      <c r="BD397" s="11"/>
      <c r="BE397" s="11"/>
      <c r="BF397" s="11"/>
      <c r="BG397" s="11"/>
      <c r="BH397" s="11"/>
      <c r="BI397" s="11"/>
      <c r="BJ397" s="11"/>
      <c r="BK397" s="11"/>
      <c r="BL397" s="11"/>
      <c r="BM397" s="11"/>
      <c r="BN397" s="11"/>
    </row>
    <row r="398" spans="1:66" s="2" customFormat="1" ht="12.75" x14ac:dyDescent="0.25">
      <c r="A398" s="9">
        <f t="shared" si="6"/>
        <v>1</v>
      </c>
      <c r="B398" s="6"/>
      <c r="C398" s="6"/>
      <c r="D398" s="24"/>
      <c r="E398" s="12" t="s">
        <v>38</v>
      </c>
      <c r="F398" s="25">
        <v>0</v>
      </c>
      <c r="G398" s="12" t="s">
        <v>1215</v>
      </c>
      <c r="H398" s="12">
        <v>0</v>
      </c>
      <c r="I398" s="12">
        <v>0</v>
      </c>
      <c r="J398" s="12">
        <v>0</v>
      </c>
      <c r="K398" s="12">
        <v>0</v>
      </c>
      <c r="L398" s="13">
        <v>0</v>
      </c>
      <c r="M398" s="13">
        <v>0</v>
      </c>
      <c r="N398" s="12">
        <v>0</v>
      </c>
      <c r="O398" s="12">
        <v>0</v>
      </c>
      <c r="P398" s="12">
        <v>0</v>
      </c>
      <c r="Q398" s="14">
        <v>0</v>
      </c>
      <c r="R398" s="15">
        <v>11703294.41</v>
      </c>
      <c r="S398" s="16">
        <v>11703294.41</v>
      </c>
      <c r="T398" s="15">
        <v>7570079.959999999</v>
      </c>
      <c r="U398" s="16">
        <v>0</v>
      </c>
      <c r="V398" s="15">
        <v>4133214.45</v>
      </c>
      <c r="W398" s="16">
        <v>0</v>
      </c>
      <c r="X398" s="15">
        <v>0</v>
      </c>
      <c r="Y398" s="16">
        <v>0</v>
      </c>
      <c r="Z398" s="15">
        <v>0</v>
      </c>
      <c r="AA398" s="16">
        <v>0</v>
      </c>
      <c r="AB398" s="15">
        <v>0</v>
      </c>
      <c r="AC398" s="16">
        <v>0</v>
      </c>
      <c r="AD398" s="15">
        <v>0</v>
      </c>
      <c r="AE398" s="16">
        <v>0</v>
      </c>
      <c r="AF398" s="15">
        <v>0</v>
      </c>
      <c r="AG398" s="16">
        <v>0</v>
      </c>
      <c r="AH398" s="15">
        <v>0</v>
      </c>
      <c r="AI398" s="15" t="s">
        <v>1216</v>
      </c>
      <c r="AJ398" s="14">
        <v>0.67732638888888885</v>
      </c>
      <c r="AK398" s="17">
        <v>44397</v>
      </c>
      <c r="AL398" s="18" t="s">
        <v>291</v>
      </c>
      <c r="AM398" s="14" t="s">
        <v>292</v>
      </c>
      <c r="AN398" s="14" t="s">
        <v>36</v>
      </c>
      <c r="AO398" s="14" t="s">
        <v>1217</v>
      </c>
      <c r="AP398" s="14" t="s">
        <v>37</v>
      </c>
      <c r="AQ398" s="14" t="s">
        <v>184</v>
      </c>
      <c r="AR398" s="14" t="s">
        <v>4</v>
      </c>
      <c r="AS398" s="14">
        <v>0</v>
      </c>
      <c r="AT398" s="14">
        <v>0</v>
      </c>
      <c r="AU398" s="14">
        <v>0</v>
      </c>
      <c r="AV398" s="14">
        <v>0</v>
      </c>
      <c r="AW398" s="14"/>
      <c r="AX398" s="14"/>
      <c r="AY398" s="14"/>
      <c r="AZ398" s="14"/>
      <c r="BA398" s="11"/>
      <c r="BB398" s="11"/>
      <c r="BC398" s="11"/>
      <c r="BD398" s="11"/>
      <c r="BE398" s="11"/>
      <c r="BF398" s="11"/>
      <c r="BG398" s="11"/>
      <c r="BH398" s="11"/>
      <c r="BI398" s="11"/>
      <c r="BJ398" s="11"/>
      <c r="BK398" s="11"/>
      <c r="BL398" s="11"/>
      <c r="BM398" s="11"/>
      <c r="BN398" s="11"/>
    </row>
    <row r="399" spans="1:66" s="2" customFormat="1" ht="12.75" x14ac:dyDescent="0.25">
      <c r="A399" s="9">
        <f t="shared" si="6"/>
        <v>1</v>
      </c>
      <c r="B399" s="6"/>
      <c r="C399" s="6"/>
      <c r="D399" s="24"/>
      <c r="E399" s="12" t="s">
        <v>38</v>
      </c>
      <c r="F399" s="25">
        <v>0</v>
      </c>
      <c r="G399" s="12" t="s">
        <v>1218</v>
      </c>
      <c r="H399" s="12">
        <v>0</v>
      </c>
      <c r="I399" s="12">
        <v>0</v>
      </c>
      <c r="J399" s="12">
        <v>0</v>
      </c>
      <c r="K399" s="12">
        <v>0</v>
      </c>
      <c r="L399" s="13">
        <v>0</v>
      </c>
      <c r="M399" s="13">
        <v>0</v>
      </c>
      <c r="N399" s="12">
        <v>0</v>
      </c>
      <c r="O399" s="12">
        <v>0</v>
      </c>
      <c r="P399" s="12">
        <v>0</v>
      </c>
      <c r="Q399" s="14">
        <v>0</v>
      </c>
      <c r="R399" s="15">
        <v>112697.59999999999</v>
      </c>
      <c r="S399" s="16">
        <v>112697.59999999999</v>
      </c>
      <c r="T399" s="15">
        <v>70617.599999999991</v>
      </c>
      <c r="U399" s="16">
        <v>0</v>
      </c>
      <c r="V399" s="15">
        <v>42080</v>
      </c>
      <c r="W399" s="16">
        <v>0</v>
      </c>
      <c r="X399" s="15">
        <v>0</v>
      </c>
      <c r="Y399" s="16">
        <v>0</v>
      </c>
      <c r="Z399" s="15">
        <v>0</v>
      </c>
      <c r="AA399" s="16">
        <v>0</v>
      </c>
      <c r="AB399" s="15">
        <v>0</v>
      </c>
      <c r="AC399" s="16">
        <v>0</v>
      </c>
      <c r="AD399" s="15">
        <v>0</v>
      </c>
      <c r="AE399" s="16">
        <v>0</v>
      </c>
      <c r="AF399" s="15">
        <v>0</v>
      </c>
      <c r="AG399" s="16">
        <v>0</v>
      </c>
      <c r="AH399" s="15">
        <v>0</v>
      </c>
      <c r="AI399" s="15" t="s">
        <v>1219</v>
      </c>
      <c r="AJ399" s="14">
        <v>0.69434027777777774</v>
      </c>
      <c r="AK399" s="17">
        <v>44355</v>
      </c>
      <c r="AL399" s="18" t="s">
        <v>291</v>
      </c>
      <c r="AM399" s="14" t="s">
        <v>292</v>
      </c>
      <c r="AN399" s="14" t="s">
        <v>36</v>
      </c>
      <c r="AO399" s="14" t="s">
        <v>1220</v>
      </c>
      <c r="AP399" s="14" t="s">
        <v>37</v>
      </c>
      <c r="AQ399" s="14" t="s">
        <v>184</v>
      </c>
      <c r="AR399" s="14" t="s">
        <v>4</v>
      </c>
      <c r="AS399" s="14">
        <v>0</v>
      </c>
      <c r="AT399" s="14">
        <v>0</v>
      </c>
      <c r="AU399" s="14">
        <v>0</v>
      </c>
      <c r="AV399" s="14">
        <v>0</v>
      </c>
      <c r="AW399" s="14"/>
      <c r="AX399" s="14"/>
      <c r="AY399" s="14"/>
      <c r="AZ399" s="14"/>
      <c r="BA399" s="11"/>
      <c r="BB399" s="11"/>
      <c r="BC399" s="11"/>
      <c r="BD399" s="11"/>
      <c r="BE399" s="11"/>
      <c r="BF399" s="11"/>
      <c r="BG399" s="11"/>
      <c r="BH399" s="11"/>
      <c r="BI399" s="11"/>
      <c r="BJ399" s="11"/>
      <c r="BK399" s="11"/>
      <c r="BL399" s="11"/>
      <c r="BM399" s="11"/>
      <c r="BN399" s="11"/>
    </row>
    <row r="400" spans="1:66" s="2" customFormat="1" ht="12.75" x14ac:dyDescent="0.25">
      <c r="A400" s="9">
        <f t="shared" si="6"/>
        <v>1</v>
      </c>
      <c r="B400" s="6"/>
      <c r="C400" s="6"/>
      <c r="D400" s="24"/>
      <c r="E400" s="12" t="s">
        <v>38</v>
      </c>
      <c r="F400" s="25">
        <v>0</v>
      </c>
      <c r="G400" s="12" t="s">
        <v>1221</v>
      </c>
      <c r="H400" s="12">
        <v>0</v>
      </c>
      <c r="I400" s="12">
        <v>0</v>
      </c>
      <c r="J400" s="12">
        <v>0</v>
      </c>
      <c r="K400" s="12">
        <v>0</v>
      </c>
      <c r="L400" s="13">
        <v>0</v>
      </c>
      <c r="M400" s="13">
        <v>0</v>
      </c>
      <c r="N400" s="12">
        <v>0</v>
      </c>
      <c r="O400" s="12">
        <v>0</v>
      </c>
      <c r="P400" s="12">
        <v>0</v>
      </c>
      <c r="Q400" s="14">
        <v>0</v>
      </c>
      <c r="R400" s="15">
        <v>1618023.4</v>
      </c>
      <c r="S400" s="16">
        <v>1618023.4</v>
      </c>
      <c r="T400" s="15">
        <v>1000597.96</v>
      </c>
      <c r="U400" s="16">
        <v>0</v>
      </c>
      <c r="V400" s="15">
        <v>617425.44000000006</v>
      </c>
      <c r="W400" s="16">
        <v>0</v>
      </c>
      <c r="X400" s="15">
        <v>0</v>
      </c>
      <c r="Y400" s="16">
        <v>0</v>
      </c>
      <c r="Z400" s="15">
        <v>0</v>
      </c>
      <c r="AA400" s="16">
        <v>0</v>
      </c>
      <c r="AB400" s="15">
        <v>0</v>
      </c>
      <c r="AC400" s="16">
        <v>0</v>
      </c>
      <c r="AD400" s="15">
        <v>0</v>
      </c>
      <c r="AE400" s="16">
        <v>0</v>
      </c>
      <c r="AF400" s="15">
        <v>0</v>
      </c>
      <c r="AG400" s="16">
        <v>0</v>
      </c>
      <c r="AH400" s="15">
        <v>0</v>
      </c>
      <c r="AI400" s="15" t="s">
        <v>1222</v>
      </c>
      <c r="AJ400" s="14">
        <v>0.43138888888888888</v>
      </c>
      <c r="AK400" s="17">
        <v>44372</v>
      </c>
      <c r="AL400" s="18" t="s">
        <v>291</v>
      </c>
      <c r="AM400" s="14" t="s">
        <v>292</v>
      </c>
      <c r="AN400" s="14" t="s">
        <v>36</v>
      </c>
      <c r="AO400" s="14" t="s">
        <v>1223</v>
      </c>
      <c r="AP400" s="14" t="s">
        <v>37</v>
      </c>
      <c r="AQ400" s="14" t="s">
        <v>184</v>
      </c>
      <c r="AR400" s="14" t="s">
        <v>4</v>
      </c>
      <c r="AS400" s="14">
        <v>0</v>
      </c>
      <c r="AT400" s="14">
        <v>0</v>
      </c>
      <c r="AU400" s="14">
        <v>0</v>
      </c>
      <c r="AV400" s="14">
        <v>0</v>
      </c>
      <c r="AW400" s="14"/>
      <c r="AX400" s="14"/>
      <c r="AY400" s="14"/>
      <c r="AZ400" s="14"/>
      <c r="BA400" s="11"/>
      <c r="BB400" s="11"/>
      <c r="BC400" s="11"/>
      <c r="BD400" s="11"/>
      <c r="BE400" s="11"/>
      <c r="BF400" s="11"/>
      <c r="BG400" s="11"/>
      <c r="BH400" s="11"/>
      <c r="BI400" s="11"/>
      <c r="BJ400" s="11"/>
      <c r="BK400" s="11"/>
      <c r="BL400" s="11"/>
      <c r="BM400" s="11"/>
      <c r="BN400" s="11"/>
    </row>
    <row r="401" spans="1:66" s="2" customFormat="1" ht="12.75" x14ac:dyDescent="0.25">
      <c r="A401" s="9">
        <f t="shared" si="6"/>
        <v>1</v>
      </c>
      <c r="B401" s="6"/>
      <c r="C401" s="6"/>
      <c r="D401" s="24"/>
      <c r="E401" s="12" t="s">
        <v>38</v>
      </c>
      <c r="F401" s="25">
        <v>0</v>
      </c>
      <c r="G401" s="12" t="s">
        <v>1224</v>
      </c>
      <c r="H401" s="12">
        <v>0</v>
      </c>
      <c r="I401" s="12">
        <v>0</v>
      </c>
      <c r="J401" s="12">
        <v>0</v>
      </c>
      <c r="K401" s="12">
        <v>0</v>
      </c>
      <c r="L401" s="13">
        <v>0</v>
      </c>
      <c r="M401" s="13">
        <v>0</v>
      </c>
      <c r="N401" s="12">
        <v>0</v>
      </c>
      <c r="O401" s="12">
        <v>0</v>
      </c>
      <c r="P401" s="12">
        <v>0</v>
      </c>
      <c r="Q401" s="14">
        <v>0</v>
      </c>
      <c r="R401" s="15">
        <v>357347.59999999992</v>
      </c>
      <c r="S401" s="16">
        <v>357347.59999999992</v>
      </c>
      <c r="T401" s="15">
        <v>357347.59999999992</v>
      </c>
      <c r="U401" s="16">
        <v>0</v>
      </c>
      <c r="V401" s="15">
        <v>0</v>
      </c>
      <c r="W401" s="16">
        <v>0</v>
      </c>
      <c r="X401" s="15">
        <v>0</v>
      </c>
      <c r="Y401" s="16">
        <v>0</v>
      </c>
      <c r="Z401" s="15">
        <v>0</v>
      </c>
      <c r="AA401" s="16">
        <v>0</v>
      </c>
      <c r="AB401" s="15">
        <v>0</v>
      </c>
      <c r="AC401" s="16">
        <v>0</v>
      </c>
      <c r="AD401" s="15">
        <v>0</v>
      </c>
      <c r="AE401" s="16">
        <v>0</v>
      </c>
      <c r="AF401" s="15">
        <v>0</v>
      </c>
      <c r="AG401" s="16">
        <v>0</v>
      </c>
      <c r="AH401" s="15">
        <v>0</v>
      </c>
      <c r="AI401" s="15" t="s">
        <v>1225</v>
      </c>
      <c r="AJ401" s="14">
        <v>0.64474537037037039</v>
      </c>
      <c r="AK401" s="17">
        <v>44364</v>
      </c>
      <c r="AL401" s="18" t="s">
        <v>291</v>
      </c>
      <c r="AM401" s="14" t="s">
        <v>292</v>
      </c>
      <c r="AN401" s="14" t="s">
        <v>36</v>
      </c>
      <c r="AO401" s="14" t="s">
        <v>1226</v>
      </c>
      <c r="AP401" s="14" t="s">
        <v>37</v>
      </c>
      <c r="AQ401" s="14" t="s">
        <v>184</v>
      </c>
      <c r="AR401" s="14" t="s">
        <v>4</v>
      </c>
      <c r="AS401" s="14">
        <v>0</v>
      </c>
      <c r="AT401" s="14">
        <v>0</v>
      </c>
      <c r="AU401" s="14">
        <v>0</v>
      </c>
      <c r="AV401" s="14">
        <v>0</v>
      </c>
      <c r="AW401" s="14"/>
      <c r="AX401" s="14"/>
      <c r="AY401" s="14"/>
      <c r="AZ401" s="14"/>
      <c r="BA401" s="11"/>
      <c r="BB401" s="11"/>
      <c r="BC401" s="11"/>
      <c r="BD401" s="11"/>
      <c r="BE401" s="11"/>
      <c r="BF401" s="11"/>
      <c r="BG401" s="11"/>
      <c r="BH401" s="11"/>
      <c r="BI401" s="11"/>
      <c r="BJ401" s="11"/>
      <c r="BK401" s="11"/>
      <c r="BL401" s="11"/>
      <c r="BM401" s="11"/>
      <c r="BN401" s="11"/>
    </row>
    <row r="402" spans="1:66" s="2" customFormat="1" ht="12.75" x14ac:dyDescent="0.25">
      <c r="A402" s="9">
        <f t="shared" si="6"/>
        <v>1</v>
      </c>
      <c r="B402" s="6"/>
      <c r="C402" s="6"/>
      <c r="D402" s="24"/>
      <c r="E402" s="12" t="s">
        <v>38</v>
      </c>
      <c r="F402" s="25">
        <v>0</v>
      </c>
      <c r="G402" s="12" t="s">
        <v>1227</v>
      </c>
      <c r="H402" s="12">
        <v>0</v>
      </c>
      <c r="I402" s="12">
        <v>0</v>
      </c>
      <c r="J402" s="12">
        <v>0</v>
      </c>
      <c r="K402" s="12">
        <v>0</v>
      </c>
      <c r="L402" s="13">
        <v>0</v>
      </c>
      <c r="M402" s="13">
        <v>0</v>
      </c>
      <c r="N402" s="12">
        <v>0</v>
      </c>
      <c r="O402" s="12">
        <v>0</v>
      </c>
      <c r="P402" s="12">
        <v>0</v>
      </c>
      <c r="Q402" s="14">
        <v>0</v>
      </c>
      <c r="R402" s="15">
        <v>1905659.6</v>
      </c>
      <c r="S402" s="16">
        <v>1905659.6</v>
      </c>
      <c r="T402" s="15">
        <v>1180045.56</v>
      </c>
      <c r="U402" s="16">
        <v>0</v>
      </c>
      <c r="V402" s="15">
        <v>725614.04</v>
      </c>
      <c r="W402" s="16">
        <v>0</v>
      </c>
      <c r="X402" s="15">
        <v>0</v>
      </c>
      <c r="Y402" s="16">
        <v>0</v>
      </c>
      <c r="Z402" s="15">
        <v>0</v>
      </c>
      <c r="AA402" s="16">
        <v>0</v>
      </c>
      <c r="AB402" s="15">
        <v>0</v>
      </c>
      <c r="AC402" s="16">
        <v>0</v>
      </c>
      <c r="AD402" s="15">
        <v>0</v>
      </c>
      <c r="AE402" s="16">
        <v>0</v>
      </c>
      <c r="AF402" s="15">
        <v>0</v>
      </c>
      <c r="AG402" s="16">
        <v>0</v>
      </c>
      <c r="AH402" s="15">
        <v>0</v>
      </c>
      <c r="AI402" s="15" t="s">
        <v>1228</v>
      </c>
      <c r="AJ402" s="14">
        <v>0.49578703703703703</v>
      </c>
      <c r="AK402" s="17">
        <v>44376</v>
      </c>
      <c r="AL402" s="18" t="s">
        <v>568</v>
      </c>
      <c r="AM402" s="14" t="s">
        <v>569</v>
      </c>
      <c r="AN402" s="14" t="s">
        <v>36</v>
      </c>
      <c r="AO402" s="14" t="s">
        <v>1229</v>
      </c>
      <c r="AP402" s="14" t="s">
        <v>37</v>
      </c>
      <c r="AQ402" s="14" t="s">
        <v>184</v>
      </c>
      <c r="AR402" s="14" t="s">
        <v>4</v>
      </c>
      <c r="AS402" s="14">
        <v>0</v>
      </c>
      <c r="AT402" s="14">
        <v>0</v>
      </c>
      <c r="AU402" s="14">
        <v>0</v>
      </c>
      <c r="AV402" s="14">
        <v>0</v>
      </c>
      <c r="AW402" s="14"/>
      <c r="AX402" s="14"/>
      <c r="AY402" s="14"/>
      <c r="AZ402" s="14"/>
      <c r="BA402" s="11"/>
      <c r="BB402" s="11"/>
      <c r="BC402" s="11"/>
      <c r="BD402" s="11"/>
      <c r="BE402" s="11"/>
      <c r="BF402" s="11"/>
      <c r="BG402" s="11"/>
      <c r="BH402" s="11"/>
      <c r="BI402" s="11"/>
      <c r="BJ402" s="11"/>
      <c r="BK402" s="11"/>
      <c r="BL402" s="11"/>
      <c r="BM402" s="11"/>
      <c r="BN402" s="11"/>
    </row>
    <row r="403" spans="1:66" s="2" customFormat="1" ht="12.75" x14ac:dyDescent="0.25">
      <c r="A403" s="9">
        <f t="shared" si="6"/>
        <v>1</v>
      </c>
      <c r="B403" s="6"/>
      <c r="C403" s="6"/>
      <c r="D403" s="24"/>
      <c r="E403" s="12" t="s">
        <v>38</v>
      </c>
      <c r="F403" s="25">
        <v>0</v>
      </c>
      <c r="G403" s="12" t="s">
        <v>1230</v>
      </c>
      <c r="H403" s="12">
        <v>0</v>
      </c>
      <c r="I403" s="12">
        <v>0</v>
      </c>
      <c r="J403" s="12">
        <v>0</v>
      </c>
      <c r="K403" s="12">
        <v>0</v>
      </c>
      <c r="L403" s="13">
        <v>0</v>
      </c>
      <c r="M403" s="13">
        <v>0</v>
      </c>
      <c r="N403" s="12">
        <v>0</v>
      </c>
      <c r="O403" s="12">
        <v>0</v>
      </c>
      <c r="P403" s="12">
        <v>0</v>
      </c>
      <c r="Q403" s="14">
        <v>0</v>
      </c>
      <c r="R403" s="15">
        <v>123830.99000000002</v>
      </c>
      <c r="S403" s="16">
        <v>123830.99000000002</v>
      </c>
      <c r="T403" s="15">
        <v>71600.99000000002</v>
      </c>
      <c r="U403" s="16">
        <v>0</v>
      </c>
      <c r="V403" s="15">
        <v>52230</v>
      </c>
      <c r="W403" s="16">
        <v>0</v>
      </c>
      <c r="X403" s="15">
        <v>0</v>
      </c>
      <c r="Y403" s="16">
        <v>0</v>
      </c>
      <c r="Z403" s="15">
        <v>0</v>
      </c>
      <c r="AA403" s="16">
        <v>0</v>
      </c>
      <c r="AB403" s="15">
        <v>0</v>
      </c>
      <c r="AC403" s="16">
        <v>0</v>
      </c>
      <c r="AD403" s="15">
        <v>0</v>
      </c>
      <c r="AE403" s="16">
        <v>0</v>
      </c>
      <c r="AF403" s="15">
        <v>0</v>
      </c>
      <c r="AG403" s="16">
        <v>0</v>
      </c>
      <c r="AH403" s="15">
        <v>0</v>
      </c>
      <c r="AI403" s="15" t="s">
        <v>1231</v>
      </c>
      <c r="AJ403" s="14">
        <v>0.68055555555555547</v>
      </c>
      <c r="AK403" s="17">
        <v>44399</v>
      </c>
      <c r="AL403" s="18" t="s">
        <v>291</v>
      </c>
      <c r="AM403" s="14" t="s">
        <v>292</v>
      </c>
      <c r="AN403" s="14" t="s">
        <v>36</v>
      </c>
      <c r="AO403" s="14" t="s">
        <v>1232</v>
      </c>
      <c r="AP403" s="14" t="s">
        <v>37</v>
      </c>
      <c r="AQ403" s="14" t="s">
        <v>184</v>
      </c>
      <c r="AR403" s="14" t="s">
        <v>4</v>
      </c>
      <c r="AS403" s="14">
        <v>0</v>
      </c>
      <c r="AT403" s="14">
        <v>0</v>
      </c>
      <c r="AU403" s="14">
        <v>0</v>
      </c>
      <c r="AV403" s="14">
        <v>0</v>
      </c>
      <c r="AW403" s="14"/>
      <c r="AX403" s="14"/>
      <c r="AY403" s="14"/>
      <c r="AZ403" s="14"/>
      <c r="BA403" s="11"/>
      <c r="BB403" s="11"/>
      <c r="BC403" s="11"/>
      <c r="BD403" s="11"/>
      <c r="BE403" s="11"/>
      <c r="BF403" s="11"/>
      <c r="BG403" s="11"/>
      <c r="BH403" s="11"/>
      <c r="BI403" s="11"/>
      <c r="BJ403" s="11"/>
      <c r="BK403" s="11"/>
      <c r="BL403" s="11"/>
      <c r="BM403" s="11"/>
      <c r="BN403" s="11"/>
    </row>
    <row r="404" spans="1:66" s="2" customFormat="1" ht="12.75" x14ac:dyDescent="0.25">
      <c r="A404" s="9">
        <f t="shared" si="6"/>
        <v>1</v>
      </c>
      <c r="B404" s="6"/>
      <c r="C404" s="6"/>
      <c r="D404" s="24"/>
      <c r="E404" s="12" t="s">
        <v>38</v>
      </c>
      <c r="F404" s="25">
        <v>0</v>
      </c>
      <c r="G404" s="12" t="s">
        <v>1233</v>
      </c>
      <c r="H404" s="12">
        <v>0</v>
      </c>
      <c r="I404" s="12">
        <v>0</v>
      </c>
      <c r="J404" s="12">
        <v>0</v>
      </c>
      <c r="K404" s="12">
        <v>0</v>
      </c>
      <c r="L404" s="13">
        <v>0</v>
      </c>
      <c r="M404" s="13">
        <v>0</v>
      </c>
      <c r="N404" s="12">
        <v>0</v>
      </c>
      <c r="O404" s="12">
        <v>0</v>
      </c>
      <c r="P404" s="12">
        <v>0</v>
      </c>
      <c r="Q404" s="14">
        <v>0</v>
      </c>
      <c r="R404" s="15">
        <v>8960.5987499999992</v>
      </c>
      <c r="S404" s="16">
        <v>8960.5987499999992</v>
      </c>
      <c r="T404" s="15">
        <v>6775.5</v>
      </c>
      <c r="U404" s="16">
        <v>0</v>
      </c>
      <c r="V404" s="15">
        <v>0</v>
      </c>
      <c r="W404" s="16">
        <v>0</v>
      </c>
      <c r="X404" s="15">
        <v>1016.3249999999999</v>
      </c>
      <c r="Y404" s="16">
        <v>0</v>
      </c>
      <c r="Z404" s="15">
        <v>0</v>
      </c>
      <c r="AA404" s="16">
        <v>0</v>
      </c>
      <c r="AB404" s="15">
        <v>1168.7737499999998</v>
      </c>
      <c r="AC404" s="16">
        <v>0</v>
      </c>
      <c r="AD404" s="15">
        <v>0</v>
      </c>
      <c r="AE404" s="16">
        <v>0</v>
      </c>
      <c r="AF404" s="15">
        <v>0</v>
      </c>
      <c r="AG404" s="16">
        <v>0</v>
      </c>
      <c r="AH404" s="15">
        <v>0</v>
      </c>
      <c r="AI404" s="15" t="s">
        <v>1234</v>
      </c>
      <c r="AJ404" s="14">
        <v>0.47699074074074077</v>
      </c>
      <c r="AK404" s="17">
        <v>44389</v>
      </c>
      <c r="AL404" s="18" t="s">
        <v>291</v>
      </c>
      <c r="AM404" s="14" t="s">
        <v>292</v>
      </c>
      <c r="AN404" s="14" t="s">
        <v>36</v>
      </c>
      <c r="AO404" s="14" t="s">
        <v>1235</v>
      </c>
      <c r="AP404" s="14" t="s">
        <v>37</v>
      </c>
      <c r="AQ404" s="14" t="s">
        <v>184</v>
      </c>
      <c r="AR404" s="14" t="s">
        <v>4</v>
      </c>
      <c r="AS404" s="14">
        <v>0</v>
      </c>
      <c r="AT404" s="14">
        <v>0</v>
      </c>
      <c r="AU404" s="14">
        <v>0</v>
      </c>
      <c r="AV404" s="14">
        <v>0</v>
      </c>
      <c r="AW404" s="14"/>
      <c r="AX404" s="14"/>
      <c r="AY404" s="14"/>
      <c r="AZ404" s="14"/>
      <c r="BA404" s="11"/>
      <c r="BB404" s="11"/>
      <c r="BC404" s="11"/>
      <c r="BD404" s="11"/>
      <c r="BE404" s="11"/>
      <c r="BF404" s="11"/>
      <c r="BG404" s="11"/>
      <c r="BH404" s="11"/>
      <c r="BI404" s="11"/>
      <c r="BJ404" s="11"/>
      <c r="BK404" s="11"/>
      <c r="BL404" s="11"/>
      <c r="BM404" s="11"/>
      <c r="BN404" s="11"/>
    </row>
    <row r="405" spans="1:66" s="2" customFormat="1" ht="12.75" x14ac:dyDescent="0.25">
      <c r="A405" s="9">
        <f t="shared" si="6"/>
        <v>1</v>
      </c>
      <c r="B405" s="6"/>
      <c r="C405" s="6"/>
      <c r="D405" s="24"/>
      <c r="E405" s="12" t="s">
        <v>38</v>
      </c>
      <c r="F405" s="25">
        <v>0</v>
      </c>
      <c r="G405" s="12" t="s">
        <v>1236</v>
      </c>
      <c r="H405" s="12">
        <v>0</v>
      </c>
      <c r="I405" s="12">
        <v>0</v>
      </c>
      <c r="J405" s="12">
        <v>0</v>
      </c>
      <c r="K405" s="12">
        <v>0</v>
      </c>
      <c r="L405" s="13">
        <v>0</v>
      </c>
      <c r="M405" s="13">
        <v>0</v>
      </c>
      <c r="N405" s="12">
        <v>0</v>
      </c>
      <c r="O405" s="12">
        <v>0</v>
      </c>
      <c r="P405" s="12">
        <v>0</v>
      </c>
      <c r="Q405" s="14">
        <v>0</v>
      </c>
      <c r="R405" s="15">
        <v>12464.89</v>
      </c>
      <c r="S405" s="16">
        <v>12464.89</v>
      </c>
      <c r="T405" s="15">
        <v>6614.89</v>
      </c>
      <c r="U405" s="16">
        <v>0</v>
      </c>
      <c r="V405" s="15">
        <v>5850</v>
      </c>
      <c r="W405" s="16">
        <v>0</v>
      </c>
      <c r="X405" s="15">
        <v>0</v>
      </c>
      <c r="Y405" s="16">
        <v>0</v>
      </c>
      <c r="Z405" s="15">
        <v>0</v>
      </c>
      <c r="AA405" s="16">
        <v>0</v>
      </c>
      <c r="AB405" s="15">
        <v>0</v>
      </c>
      <c r="AC405" s="16">
        <v>0</v>
      </c>
      <c r="AD405" s="15">
        <v>0</v>
      </c>
      <c r="AE405" s="16">
        <v>0</v>
      </c>
      <c r="AF405" s="15">
        <v>0</v>
      </c>
      <c r="AG405" s="16">
        <v>0</v>
      </c>
      <c r="AH405" s="15">
        <v>0</v>
      </c>
      <c r="AI405" s="15" t="s">
        <v>1237</v>
      </c>
      <c r="AJ405" s="14">
        <v>0.69052083333333336</v>
      </c>
      <c r="AK405" s="17">
        <v>44390</v>
      </c>
      <c r="AL405" s="18" t="s">
        <v>291</v>
      </c>
      <c r="AM405" s="14" t="s">
        <v>292</v>
      </c>
      <c r="AN405" s="14" t="s">
        <v>36</v>
      </c>
      <c r="AO405" s="14" t="s">
        <v>1238</v>
      </c>
      <c r="AP405" s="14" t="s">
        <v>37</v>
      </c>
      <c r="AQ405" s="14" t="s">
        <v>184</v>
      </c>
      <c r="AR405" s="14" t="s">
        <v>4</v>
      </c>
      <c r="AS405" s="14">
        <v>0</v>
      </c>
      <c r="AT405" s="14">
        <v>0</v>
      </c>
      <c r="AU405" s="14">
        <v>0</v>
      </c>
      <c r="AV405" s="14">
        <v>0</v>
      </c>
      <c r="AW405" s="14"/>
      <c r="AX405" s="14"/>
      <c r="AY405" s="14"/>
      <c r="AZ405" s="14"/>
      <c r="BA405" s="11"/>
      <c r="BB405" s="11"/>
      <c r="BC405" s="11"/>
      <c r="BD405" s="11"/>
      <c r="BE405" s="11"/>
      <c r="BF405" s="11"/>
      <c r="BG405" s="11"/>
      <c r="BH405" s="11"/>
      <c r="BI405" s="11"/>
      <c r="BJ405" s="11"/>
      <c r="BK405" s="11"/>
      <c r="BL405" s="11"/>
      <c r="BM405" s="11"/>
      <c r="BN405" s="11"/>
    </row>
    <row r="406" spans="1:66" s="2" customFormat="1" ht="12.75" x14ac:dyDescent="0.25">
      <c r="A406" s="9">
        <f t="shared" si="6"/>
        <v>1</v>
      </c>
      <c r="B406" s="6"/>
      <c r="C406" s="6"/>
      <c r="D406" s="24"/>
      <c r="E406" s="12" t="s">
        <v>38</v>
      </c>
      <c r="F406" s="25">
        <v>0</v>
      </c>
      <c r="G406" s="12" t="s">
        <v>1239</v>
      </c>
      <c r="H406" s="12">
        <v>0</v>
      </c>
      <c r="I406" s="12">
        <v>0</v>
      </c>
      <c r="J406" s="12">
        <v>0</v>
      </c>
      <c r="K406" s="12">
        <v>0</v>
      </c>
      <c r="L406" s="13">
        <v>0</v>
      </c>
      <c r="M406" s="13">
        <v>0</v>
      </c>
      <c r="N406" s="12">
        <v>0</v>
      </c>
      <c r="O406" s="12">
        <v>0</v>
      </c>
      <c r="P406" s="12">
        <v>0</v>
      </c>
      <c r="Q406" s="14">
        <v>0</v>
      </c>
      <c r="R406" s="15">
        <v>102303.12999999999</v>
      </c>
      <c r="S406" s="16">
        <v>102303.12999999999</v>
      </c>
      <c r="T406" s="15">
        <v>60199.329999999987</v>
      </c>
      <c r="U406" s="16">
        <v>0</v>
      </c>
      <c r="V406" s="15">
        <v>42103.8</v>
      </c>
      <c r="W406" s="16">
        <v>0</v>
      </c>
      <c r="X406" s="15">
        <v>0</v>
      </c>
      <c r="Y406" s="16">
        <v>0</v>
      </c>
      <c r="Z406" s="15">
        <v>0</v>
      </c>
      <c r="AA406" s="16">
        <v>0</v>
      </c>
      <c r="AB406" s="15">
        <v>0</v>
      </c>
      <c r="AC406" s="16">
        <v>0</v>
      </c>
      <c r="AD406" s="15">
        <v>0</v>
      </c>
      <c r="AE406" s="16">
        <v>0</v>
      </c>
      <c r="AF406" s="15">
        <v>0</v>
      </c>
      <c r="AG406" s="16">
        <v>0</v>
      </c>
      <c r="AH406" s="15">
        <v>0</v>
      </c>
      <c r="AI406" s="15" t="s">
        <v>1240</v>
      </c>
      <c r="AJ406" s="14">
        <v>0.51741898148148147</v>
      </c>
      <c r="AK406" s="17">
        <v>44512</v>
      </c>
      <c r="AL406" s="18" t="s">
        <v>291</v>
      </c>
      <c r="AM406" s="14" t="s">
        <v>292</v>
      </c>
      <c r="AN406" s="14" t="s">
        <v>36</v>
      </c>
      <c r="AO406" s="14" t="s">
        <v>1241</v>
      </c>
      <c r="AP406" s="14" t="s">
        <v>37</v>
      </c>
      <c r="AQ406" s="14" t="s">
        <v>184</v>
      </c>
      <c r="AR406" s="14" t="s">
        <v>4</v>
      </c>
      <c r="AS406" s="14">
        <v>0</v>
      </c>
      <c r="AT406" s="14">
        <v>0</v>
      </c>
      <c r="AU406" s="14">
        <v>0</v>
      </c>
      <c r="AV406" s="14">
        <v>0</v>
      </c>
      <c r="AW406" s="14"/>
      <c r="AX406" s="14"/>
      <c r="AY406" s="14"/>
      <c r="AZ406" s="14"/>
      <c r="BA406" s="11"/>
      <c r="BB406" s="11"/>
      <c r="BC406" s="11"/>
      <c r="BD406" s="11"/>
      <c r="BE406" s="11"/>
      <c r="BF406" s="11"/>
      <c r="BG406" s="11"/>
      <c r="BH406" s="11"/>
      <c r="BI406" s="11"/>
      <c r="BJ406" s="11"/>
      <c r="BK406" s="11"/>
      <c r="BL406" s="11"/>
      <c r="BM406" s="11"/>
      <c r="BN406" s="11"/>
    </row>
    <row r="407" spans="1:66" s="2" customFormat="1" ht="12.75" x14ac:dyDescent="0.25">
      <c r="A407" s="9">
        <f t="shared" si="6"/>
        <v>1</v>
      </c>
      <c r="B407" s="6"/>
      <c r="C407" s="6"/>
      <c r="D407" s="24"/>
      <c r="E407" s="12" t="s">
        <v>38</v>
      </c>
      <c r="F407" s="25">
        <v>0</v>
      </c>
      <c r="G407" s="12" t="s">
        <v>1242</v>
      </c>
      <c r="H407" s="12">
        <v>0</v>
      </c>
      <c r="I407" s="12">
        <v>0</v>
      </c>
      <c r="J407" s="12">
        <v>0</v>
      </c>
      <c r="K407" s="12">
        <v>0</v>
      </c>
      <c r="L407" s="13">
        <v>0</v>
      </c>
      <c r="M407" s="13">
        <v>0</v>
      </c>
      <c r="N407" s="12">
        <v>0</v>
      </c>
      <c r="O407" s="12">
        <v>0</v>
      </c>
      <c r="P407" s="12">
        <v>0</v>
      </c>
      <c r="Q407" s="14">
        <v>0</v>
      </c>
      <c r="R407" s="15">
        <v>8675999.2400000002</v>
      </c>
      <c r="S407" s="16">
        <v>8675999.2400000002</v>
      </c>
      <c r="T407" s="15">
        <v>5548087.4400000004</v>
      </c>
      <c r="U407" s="16">
        <v>0</v>
      </c>
      <c r="V407" s="15">
        <v>3127911.8000000003</v>
      </c>
      <c r="W407" s="16">
        <v>0</v>
      </c>
      <c r="X407" s="15">
        <v>0</v>
      </c>
      <c r="Y407" s="16">
        <v>0</v>
      </c>
      <c r="Z407" s="15">
        <v>0</v>
      </c>
      <c r="AA407" s="16">
        <v>0</v>
      </c>
      <c r="AB407" s="15">
        <v>0</v>
      </c>
      <c r="AC407" s="16">
        <v>0</v>
      </c>
      <c r="AD407" s="15">
        <v>0</v>
      </c>
      <c r="AE407" s="16">
        <v>0</v>
      </c>
      <c r="AF407" s="15">
        <v>0</v>
      </c>
      <c r="AG407" s="16">
        <v>0</v>
      </c>
      <c r="AH407" s="15">
        <v>0</v>
      </c>
      <c r="AI407" s="15" t="s">
        <v>1243</v>
      </c>
      <c r="AJ407" s="14">
        <v>0.64541666666666664</v>
      </c>
      <c r="AK407" s="17">
        <v>44515</v>
      </c>
      <c r="AL407" s="18" t="s">
        <v>40</v>
      </c>
      <c r="AM407" s="14" t="s">
        <v>410</v>
      </c>
      <c r="AN407" s="14" t="s">
        <v>36</v>
      </c>
      <c r="AO407" s="14" t="s">
        <v>1244</v>
      </c>
      <c r="AP407" s="14" t="s">
        <v>37</v>
      </c>
      <c r="AQ407" s="14" t="s">
        <v>184</v>
      </c>
      <c r="AR407" s="14" t="s">
        <v>4</v>
      </c>
      <c r="AS407" s="14">
        <v>0</v>
      </c>
      <c r="AT407" s="14">
        <v>0</v>
      </c>
      <c r="AU407" s="14">
        <v>0</v>
      </c>
      <c r="AV407" s="14">
        <v>0</v>
      </c>
      <c r="AW407" s="14"/>
      <c r="AX407" s="14"/>
      <c r="AY407" s="14"/>
      <c r="AZ407" s="14"/>
      <c r="BA407" s="11"/>
      <c r="BB407" s="11"/>
      <c r="BC407" s="11"/>
      <c r="BD407" s="11"/>
      <c r="BE407" s="11"/>
      <c r="BF407" s="11"/>
      <c r="BG407" s="11"/>
      <c r="BH407" s="11"/>
      <c r="BI407" s="11"/>
      <c r="BJ407" s="11"/>
      <c r="BK407" s="11"/>
      <c r="BL407" s="11"/>
      <c r="BM407" s="11"/>
      <c r="BN407" s="11"/>
    </row>
    <row r="408" spans="1:66" s="2" customFormat="1" ht="12.75" x14ac:dyDescent="0.25">
      <c r="A408" s="9">
        <f t="shared" si="6"/>
        <v>1</v>
      </c>
      <c r="B408" s="6"/>
      <c r="C408" s="6"/>
      <c r="D408" s="24"/>
      <c r="E408" s="12" t="s">
        <v>38</v>
      </c>
      <c r="F408" s="25">
        <v>0</v>
      </c>
      <c r="G408" s="12" t="s">
        <v>1245</v>
      </c>
      <c r="H408" s="12">
        <v>0</v>
      </c>
      <c r="I408" s="12">
        <v>0</v>
      </c>
      <c r="J408" s="12">
        <v>0</v>
      </c>
      <c r="K408" s="12">
        <v>0</v>
      </c>
      <c r="L408" s="13">
        <v>0</v>
      </c>
      <c r="M408" s="13">
        <v>0</v>
      </c>
      <c r="N408" s="12">
        <v>0</v>
      </c>
      <c r="O408" s="12">
        <v>0</v>
      </c>
      <c r="P408" s="12">
        <v>0</v>
      </c>
      <c r="Q408" s="14">
        <v>0</v>
      </c>
      <c r="R408" s="15">
        <v>10778120.829999998</v>
      </c>
      <c r="S408" s="16">
        <v>10778120.829999998</v>
      </c>
      <c r="T408" s="15">
        <v>7069579.8299999991</v>
      </c>
      <c r="U408" s="16">
        <v>0</v>
      </c>
      <c r="V408" s="15">
        <v>3708541</v>
      </c>
      <c r="W408" s="16">
        <v>0</v>
      </c>
      <c r="X408" s="15">
        <v>0</v>
      </c>
      <c r="Y408" s="16">
        <v>0</v>
      </c>
      <c r="Z408" s="15">
        <v>0</v>
      </c>
      <c r="AA408" s="16">
        <v>0</v>
      </c>
      <c r="AB408" s="15">
        <v>0</v>
      </c>
      <c r="AC408" s="16">
        <v>0</v>
      </c>
      <c r="AD408" s="15">
        <v>0</v>
      </c>
      <c r="AE408" s="16">
        <v>0</v>
      </c>
      <c r="AF408" s="15">
        <v>0</v>
      </c>
      <c r="AG408" s="16">
        <v>0</v>
      </c>
      <c r="AH408" s="15">
        <v>0</v>
      </c>
      <c r="AI408" s="15" t="s">
        <v>1246</v>
      </c>
      <c r="AJ408" s="14">
        <v>0.6448032407407408</v>
      </c>
      <c r="AK408" s="17">
        <v>44515</v>
      </c>
      <c r="AL408" s="18" t="s">
        <v>40</v>
      </c>
      <c r="AM408" s="14" t="s">
        <v>410</v>
      </c>
      <c r="AN408" s="14" t="s">
        <v>36</v>
      </c>
      <c r="AO408" s="14" t="s">
        <v>1247</v>
      </c>
      <c r="AP408" s="14" t="s">
        <v>37</v>
      </c>
      <c r="AQ408" s="14" t="s">
        <v>184</v>
      </c>
      <c r="AR408" s="14" t="s">
        <v>4</v>
      </c>
      <c r="AS408" s="14">
        <v>0</v>
      </c>
      <c r="AT408" s="14">
        <v>0</v>
      </c>
      <c r="AU408" s="14">
        <v>0</v>
      </c>
      <c r="AV408" s="14">
        <v>0</v>
      </c>
      <c r="AW408" s="14"/>
      <c r="AX408" s="14"/>
      <c r="AY408" s="14"/>
      <c r="AZ408" s="14"/>
      <c r="BA408" s="11"/>
      <c r="BB408" s="11"/>
      <c r="BC408" s="11"/>
      <c r="BD408" s="11"/>
      <c r="BE408" s="11"/>
      <c r="BF408" s="11"/>
      <c r="BG408" s="11"/>
      <c r="BH408" s="11"/>
      <c r="BI408" s="11"/>
      <c r="BJ408" s="11"/>
      <c r="BK408" s="11"/>
      <c r="BL408" s="11"/>
      <c r="BM408" s="11"/>
      <c r="BN408" s="11"/>
    </row>
    <row r="409" spans="1:66" s="2" customFormat="1" ht="12.75" x14ac:dyDescent="0.25">
      <c r="A409" s="9">
        <f t="shared" si="6"/>
        <v>1</v>
      </c>
      <c r="B409" s="6"/>
      <c r="C409" s="6"/>
      <c r="D409" s="24"/>
      <c r="E409" s="12" t="s">
        <v>38</v>
      </c>
      <c r="F409" s="25">
        <v>0</v>
      </c>
      <c r="G409" s="12" t="s">
        <v>1248</v>
      </c>
      <c r="H409" s="12">
        <v>0</v>
      </c>
      <c r="I409" s="12">
        <v>0</v>
      </c>
      <c r="J409" s="12">
        <v>0</v>
      </c>
      <c r="K409" s="12">
        <v>0</v>
      </c>
      <c r="L409" s="13">
        <v>0</v>
      </c>
      <c r="M409" s="13">
        <v>0</v>
      </c>
      <c r="N409" s="12">
        <v>0</v>
      </c>
      <c r="O409" s="12">
        <v>0</v>
      </c>
      <c r="P409" s="12">
        <v>0</v>
      </c>
      <c r="Q409" s="14">
        <v>0</v>
      </c>
      <c r="R409" s="15">
        <v>3027.46</v>
      </c>
      <c r="S409" s="16">
        <v>3027.46</v>
      </c>
      <c r="T409" s="15">
        <v>3027.46</v>
      </c>
      <c r="U409" s="16">
        <v>0</v>
      </c>
      <c r="V409" s="15">
        <v>0</v>
      </c>
      <c r="W409" s="16">
        <v>0</v>
      </c>
      <c r="X409" s="15">
        <v>0</v>
      </c>
      <c r="Y409" s="16">
        <v>0</v>
      </c>
      <c r="Z409" s="15">
        <v>0</v>
      </c>
      <c r="AA409" s="16">
        <v>0</v>
      </c>
      <c r="AB409" s="15">
        <v>0</v>
      </c>
      <c r="AC409" s="16">
        <v>0</v>
      </c>
      <c r="AD409" s="15">
        <v>0</v>
      </c>
      <c r="AE409" s="16">
        <v>0</v>
      </c>
      <c r="AF409" s="15">
        <v>0</v>
      </c>
      <c r="AG409" s="16">
        <v>0</v>
      </c>
      <c r="AH409" s="15">
        <v>0</v>
      </c>
      <c r="AI409" s="15" t="s">
        <v>1249</v>
      </c>
      <c r="AJ409" s="14">
        <v>0.37041666666666667</v>
      </c>
      <c r="AK409" s="17">
        <v>44399</v>
      </c>
      <c r="AL409" s="18" t="s">
        <v>291</v>
      </c>
      <c r="AM409" s="14" t="s">
        <v>292</v>
      </c>
      <c r="AN409" s="14" t="s">
        <v>36</v>
      </c>
      <c r="AO409" s="14" t="s">
        <v>1250</v>
      </c>
      <c r="AP409" s="14" t="s">
        <v>37</v>
      </c>
      <c r="AQ409" s="14" t="s">
        <v>184</v>
      </c>
      <c r="AR409" s="14" t="s">
        <v>4</v>
      </c>
      <c r="AS409" s="14">
        <v>0</v>
      </c>
      <c r="AT409" s="14">
        <v>0</v>
      </c>
      <c r="AU409" s="14">
        <v>0</v>
      </c>
      <c r="AV409" s="14">
        <v>0</v>
      </c>
      <c r="AW409" s="14"/>
      <c r="AX409" s="14"/>
      <c r="AY409" s="14"/>
      <c r="AZ409" s="14"/>
      <c r="BA409" s="11"/>
      <c r="BB409" s="11"/>
      <c r="BC409" s="11"/>
      <c r="BD409" s="11"/>
      <c r="BE409" s="11"/>
      <c r="BF409" s="11"/>
      <c r="BG409" s="11"/>
      <c r="BH409" s="11"/>
      <c r="BI409" s="11"/>
      <c r="BJ409" s="11"/>
      <c r="BK409" s="11"/>
      <c r="BL409" s="11"/>
      <c r="BM409" s="11"/>
      <c r="BN409" s="11"/>
    </row>
    <row r="410" spans="1:66" s="2" customFormat="1" ht="12.75" x14ac:dyDescent="0.25">
      <c r="A410" s="9">
        <f t="shared" si="6"/>
        <v>1</v>
      </c>
      <c r="B410" s="6"/>
      <c r="C410" s="6"/>
      <c r="D410" s="24"/>
      <c r="E410" s="12" t="s">
        <v>38</v>
      </c>
      <c r="F410" s="25">
        <v>0</v>
      </c>
      <c r="G410" s="12" t="s">
        <v>1251</v>
      </c>
      <c r="H410" s="12">
        <v>0</v>
      </c>
      <c r="I410" s="12">
        <v>0</v>
      </c>
      <c r="J410" s="12">
        <v>0</v>
      </c>
      <c r="K410" s="12">
        <v>0</v>
      </c>
      <c r="L410" s="13">
        <v>0</v>
      </c>
      <c r="M410" s="13">
        <v>0</v>
      </c>
      <c r="N410" s="12">
        <v>0</v>
      </c>
      <c r="O410" s="12">
        <v>0</v>
      </c>
      <c r="P410" s="12">
        <v>0</v>
      </c>
      <c r="Q410" s="14">
        <v>0</v>
      </c>
      <c r="R410" s="15">
        <v>8363160.6700000018</v>
      </c>
      <c r="S410" s="16">
        <v>8363160.6700000018</v>
      </c>
      <c r="T410" s="15">
        <v>5472308.870000001</v>
      </c>
      <c r="U410" s="16">
        <v>0</v>
      </c>
      <c r="V410" s="15">
        <v>2890851.8000000003</v>
      </c>
      <c r="W410" s="16">
        <v>0</v>
      </c>
      <c r="X410" s="15">
        <v>0</v>
      </c>
      <c r="Y410" s="16">
        <v>0</v>
      </c>
      <c r="Z410" s="15">
        <v>0</v>
      </c>
      <c r="AA410" s="16">
        <v>0</v>
      </c>
      <c r="AB410" s="15">
        <v>0</v>
      </c>
      <c r="AC410" s="16">
        <v>0</v>
      </c>
      <c r="AD410" s="15">
        <v>0</v>
      </c>
      <c r="AE410" s="16">
        <v>0</v>
      </c>
      <c r="AF410" s="15">
        <v>0</v>
      </c>
      <c r="AG410" s="16">
        <v>0</v>
      </c>
      <c r="AH410" s="15">
        <v>0</v>
      </c>
      <c r="AI410" s="15" t="s">
        <v>1252</v>
      </c>
      <c r="AJ410" s="14">
        <v>0.68384259259259261</v>
      </c>
      <c r="AK410" s="17">
        <v>44406</v>
      </c>
      <c r="AL410" s="18" t="s">
        <v>40</v>
      </c>
      <c r="AM410" s="14" t="s">
        <v>410</v>
      </c>
      <c r="AN410" s="14" t="s">
        <v>36</v>
      </c>
      <c r="AO410" s="14" t="s">
        <v>1253</v>
      </c>
      <c r="AP410" s="14" t="s">
        <v>37</v>
      </c>
      <c r="AQ410" s="14" t="s">
        <v>184</v>
      </c>
      <c r="AR410" s="14" t="s">
        <v>4</v>
      </c>
      <c r="AS410" s="14">
        <v>0</v>
      </c>
      <c r="AT410" s="14">
        <v>0</v>
      </c>
      <c r="AU410" s="14">
        <v>0</v>
      </c>
      <c r="AV410" s="14">
        <v>0</v>
      </c>
      <c r="AW410" s="14"/>
      <c r="AX410" s="14"/>
      <c r="AY410" s="14"/>
      <c r="AZ410" s="14"/>
      <c r="BA410" s="11"/>
      <c r="BB410" s="11"/>
      <c r="BC410" s="11"/>
      <c r="BD410" s="11"/>
      <c r="BE410" s="11"/>
      <c r="BF410" s="11"/>
      <c r="BG410" s="11"/>
      <c r="BH410" s="11"/>
      <c r="BI410" s="11"/>
      <c r="BJ410" s="11"/>
      <c r="BK410" s="11"/>
      <c r="BL410" s="11"/>
      <c r="BM410" s="11"/>
      <c r="BN410" s="11"/>
    </row>
    <row r="411" spans="1:66" s="2" customFormat="1" ht="12.75" x14ac:dyDescent="0.25">
      <c r="A411" s="9">
        <f t="shared" si="6"/>
        <v>1</v>
      </c>
      <c r="B411" s="6"/>
      <c r="C411" s="6"/>
      <c r="D411" s="24"/>
      <c r="E411" s="12" t="s">
        <v>38</v>
      </c>
      <c r="F411" s="25">
        <v>0</v>
      </c>
      <c r="G411" s="12" t="s">
        <v>1254</v>
      </c>
      <c r="H411" s="12">
        <v>0</v>
      </c>
      <c r="I411" s="12">
        <v>0</v>
      </c>
      <c r="J411" s="12">
        <v>0</v>
      </c>
      <c r="K411" s="12">
        <v>0</v>
      </c>
      <c r="L411" s="13">
        <v>0</v>
      </c>
      <c r="M411" s="13">
        <v>0</v>
      </c>
      <c r="N411" s="12">
        <v>0</v>
      </c>
      <c r="O411" s="12">
        <v>0</v>
      </c>
      <c r="P411" s="12">
        <v>0</v>
      </c>
      <c r="Q411" s="14">
        <v>0</v>
      </c>
      <c r="R411" s="15">
        <v>11155316.83</v>
      </c>
      <c r="S411" s="16">
        <v>11155316.83</v>
      </c>
      <c r="T411" s="15">
        <v>7262875.8300000001</v>
      </c>
      <c r="U411" s="16">
        <v>0</v>
      </c>
      <c r="V411" s="15">
        <v>3892441</v>
      </c>
      <c r="W411" s="16">
        <v>0</v>
      </c>
      <c r="X411" s="15">
        <v>0</v>
      </c>
      <c r="Y411" s="16">
        <v>0</v>
      </c>
      <c r="Z411" s="15">
        <v>0</v>
      </c>
      <c r="AA411" s="16">
        <v>0</v>
      </c>
      <c r="AB411" s="15">
        <v>0</v>
      </c>
      <c r="AC411" s="16">
        <v>0</v>
      </c>
      <c r="AD411" s="15">
        <v>0</v>
      </c>
      <c r="AE411" s="16">
        <v>0</v>
      </c>
      <c r="AF411" s="15">
        <v>0</v>
      </c>
      <c r="AG411" s="16">
        <v>0</v>
      </c>
      <c r="AH411" s="15">
        <v>0</v>
      </c>
      <c r="AI411" s="15" t="s">
        <v>1255</v>
      </c>
      <c r="AJ411" s="14">
        <v>0.67734953703703704</v>
      </c>
      <c r="AK411" s="17">
        <v>44454</v>
      </c>
      <c r="AL411" s="18" t="s">
        <v>291</v>
      </c>
      <c r="AM411" s="14" t="s">
        <v>292</v>
      </c>
      <c r="AN411" s="14" t="s">
        <v>36</v>
      </c>
      <c r="AO411" s="14" t="s">
        <v>1256</v>
      </c>
      <c r="AP411" s="14" t="s">
        <v>37</v>
      </c>
      <c r="AQ411" s="14" t="s">
        <v>184</v>
      </c>
      <c r="AR411" s="14" t="s">
        <v>4</v>
      </c>
      <c r="AS411" s="14">
        <v>0</v>
      </c>
      <c r="AT411" s="14">
        <v>0</v>
      </c>
      <c r="AU411" s="14">
        <v>0</v>
      </c>
      <c r="AV411" s="14">
        <v>0</v>
      </c>
      <c r="AW411" s="14"/>
      <c r="AX411" s="14"/>
      <c r="AY411" s="14"/>
      <c r="AZ411" s="14"/>
      <c r="BA411" s="11"/>
      <c r="BB411" s="11"/>
      <c r="BC411" s="11"/>
      <c r="BD411" s="11"/>
      <c r="BE411" s="11"/>
      <c r="BF411" s="11"/>
      <c r="BG411" s="11"/>
      <c r="BH411" s="11"/>
      <c r="BI411" s="11"/>
      <c r="BJ411" s="11"/>
      <c r="BK411" s="11"/>
      <c r="BL411" s="11"/>
      <c r="BM411" s="11"/>
      <c r="BN411" s="11"/>
    </row>
    <row r="412" spans="1:66" s="2" customFormat="1" ht="12.75" x14ac:dyDescent="0.25">
      <c r="A412" s="9">
        <f t="shared" si="6"/>
        <v>1</v>
      </c>
      <c r="B412" s="6"/>
      <c r="C412" s="6"/>
      <c r="D412" s="24"/>
      <c r="E412" s="12" t="s">
        <v>38</v>
      </c>
      <c r="F412" s="25">
        <v>0</v>
      </c>
      <c r="G412" s="12" t="s">
        <v>1257</v>
      </c>
      <c r="H412" s="12">
        <v>0</v>
      </c>
      <c r="I412" s="12">
        <v>0</v>
      </c>
      <c r="J412" s="12">
        <v>0</v>
      </c>
      <c r="K412" s="12">
        <v>0</v>
      </c>
      <c r="L412" s="13">
        <v>0</v>
      </c>
      <c r="M412" s="13">
        <v>0</v>
      </c>
      <c r="N412" s="12">
        <v>0</v>
      </c>
      <c r="O412" s="12">
        <v>0</v>
      </c>
      <c r="P412" s="12">
        <v>0</v>
      </c>
      <c r="Q412" s="14">
        <v>0</v>
      </c>
      <c r="R412" s="15">
        <v>357347.59999999992</v>
      </c>
      <c r="S412" s="16">
        <v>357347.59999999992</v>
      </c>
      <c r="T412" s="15">
        <v>357347.59999999992</v>
      </c>
      <c r="U412" s="16">
        <v>0</v>
      </c>
      <c r="V412" s="15">
        <v>0</v>
      </c>
      <c r="W412" s="16">
        <v>0</v>
      </c>
      <c r="X412" s="15">
        <v>0</v>
      </c>
      <c r="Y412" s="16">
        <v>0</v>
      </c>
      <c r="Z412" s="15">
        <v>0</v>
      </c>
      <c r="AA412" s="16">
        <v>0</v>
      </c>
      <c r="AB412" s="15">
        <v>0</v>
      </c>
      <c r="AC412" s="16">
        <v>0</v>
      </c>
      <c r="AD412" s="15">
        <v>0</v>
      </c>
      <c r="AE412" s="16">
        <v>0</v>
      </c>
      <c r="AF412" s="15">
        <v>0</v>
      </c>
      <c r="AG412" s="16">
        <v>0</v>
      </c>
      <c r="AH412" s="15">
        <v>0</v>
      </c>
      <c r="AI412" s="15" t="s">
        <v>1258</v>
      </c>
      <c r="AJ412" s="14">
        <v>0.50611111111111107</v>
      </c>
      <c r="AK412" s="17">
        <v>44404</v>
      </c>
      <c r="AL412" s="18" t="s">
        <v>291</v>
      </c>
      <c r="AM412" s="14" t="s">
        <v>292</v>
      </c>
      <c r="AN412" s="14" t="s">
        <v>36</v>
      </c>
      <c r="AO412" s="14" t="s">
        <v>1259</v>
      </c>
      <c r="AP412" s="14" t="s">
        <v>37</v>
      </c>
      <c r="AQ412" s="14" t="s">
        <v>184</v>
      </c>
      <c r="AR412" s="14" t="s">
        <v>4</v>
      </c>
      <c r="AS412" s="14">
        <v>0</v>
      </c>
      <c r="AT412" s="14">
        <v>0</v>
      </c>
      <c r="AU412" s="14">
        <v>0</v>
      </c>
      <c r="AV412" s="14">
        <v>0</v>
      </c>
      <c r="AW412" s="14"/>
      <c r="AX412" s="14"/>
      <c r="AY412" s="14"/>
      <c r="AZ412" s="14"/>
      <c r="BA412" s="11"/>
      <c r="BB412" s="11"/>
      <c r="BC412" s="11"/>
      <c r="BD412" s="11"/>
      <c r="BE412" s="11"/>
      <c r="BF412" s="11"/>
      <c r="BG412" s="11"/>
      <c r="BH412" s="11"/>
      <c r="BI412" s="11"/>
      <c r="BJ412" s="11"/>
      <c r="BK412" s="11"/>
      <c r="BL412" s="11"/>
      <c r="BM412" s="11"/>
      <c r="BN412" s="11"/>
    </row>
    <row r="413" spans="1:66" s="2" customFormat="1" ht="12.75" x14ac:dyDescent="0.25">
      <c r="A413" s="9">
        <f t="shared" si="6"/>
        <v>1</v>
      </c>
      <c r="B413" s="6"/>
      <c r="C413" s="6"/>
      <c r="D413" s="24"/>
      <c r="E413" s="12" t="s">
        <v>38</v>
      </c>
      <c r="F413" s="25">
        <v>0</v>
      </c>
      <c r="G413" s="12" t="s">
        <v>1260</v>
      </c>
      <c r="H413" s="12">
        <v>0</v>
      </c>
      <c r="I413" s="12">
        <v>0</v>
      </c>
      <c r="J413" s="12">
        <v>0</v>
      </c>
      <c r="K413" s="12">
        <v>0</v>
      </c>
      <c r="L413" s="13">
        <v>0</v>
      </c>
      <c r="M413" s="13">
        <v>0</v>
      </c>
      <c r="N413" s="12">
        <v>0</v>
      </c>
      <c r="O413" s="12">
        <v>0</v>
      </c>
      <c r="P413" s="12">
        <v>0</v>
      </c>
      <c r="Q413" s="14">
        <v>0</v>
      </c>
      <c r="R413" s="15">
        <v>56647.5</v>
      </c>
      <c r="S413" s="16">
        <v>56647.5</v>
      </c>
      <c r="T413" s="15">
        <v>30673.699999999997</v>
      </c>
      <c r="U413" s="16">
        <v>0</v>
      </c>
      <c r="V413" s="15">
        <v>25973.8</v>
      </c>
      <c r="W413" s="16">
        <v>0</v>
      </c>
      <c r="X413" s="15">
        <v>0</v>
      </c>
      <c r="Y413" s="16">
        <v>0</v>
      </c>
      <c r="Z413" s="15">
        <v>0</v>
      </c>
      <c r="AA413" s="16">
        <v>0</v>
      </c>
      <c r="AB413" s="15">
        <v>0</v>
      </c>
      <c r="AC413" s="16">
        <v>0</v>
      </c>
      <c r="AD413" s="15">
        <v>0</v>
      </c>
      <c r="AE413" s="16">
        <v>0</v>
      </c>
      <c r="AF413" s="15">
        <v>0</v>
      </c>
      <c r="AG413" s="16">
        <v>0</v>
      </c>
      <c r="AH413" s="15">
        <v>0</v>
      </c>
      <c r="AI413" s="15" t="s">
        <v>1261</v>
      </c>
      <c r="AJ413" s="14">
        <v>0.54600694444444442</v>
      </c>
      <c r="AK413" s="17">
        <v>44406</v>
      </c>
      <c r="AL413" s="18" t="s">
        <v>291</v>
      </c>
      <c r="AM413" s="14" t="s">
        <v>292</v>
      </c>
      <c r="AN413" s="14" t="s">
        <v>36</v>
      </c>
      <c r="AO413" s="14" t="s">
        <v>1262</v>
      </c>
      <c r="AP413" s="14" t="s">
        <v>37</v>
      </c>
      <c r="AQ413" s="14" t="s">
        <v>184</v>
      </c>
      <c r="AR413" s="14" t="s">
        <v>4</v>
      </c>
      <c r="AS413" s="14">
        <v>0</v>
      </c>
      <c r="AT413" s="14">
        <v>0</v>
      </c>
      <c r="AU413" s="14">
        <v>0</v>
      </c>
      <c r="AV413" s="14">
        <v>0</v>
      </c>
      <c r="AW413" s="14"/>
      <c r="AX413" s="14"/>
      <c r="AY413" s="14"/>
      <c r="AZ413" s="14"/>
      <c r="BA413" s="11"/>
      <c r="BB413" s="11"/>
      <c r="BC413" s="11"/>
      <c r="BD413" s="11"/>
      <c r="BE413" s="11"/>
      <c r="BF413" s="11"/>
      <c r="BG413" s="11"/>
      <c r="BH413" s="11"/>
      <c r="BI413" s="11"/>
      <c r="BJ413" s="11"/>
      <c r="BK413" s="11"/>
      <c r="BL413" s="11"/>
      <c r="BM413" s="11"/>
      <c r="BN413" s="11"/>
    </row>
    <row r="414" spans="1:66" s="2" customFormat="1" ht="12.75" x14ac:dyDescent="0.25">
      <c r="A414" s="9">
        <f t="shared" si="6"/>
        <v>1</v>
      </c>
      <c r="B414" s="6"/>
      <c r="C414" s="6"/>
      <c r="D414" s="24"/>
      <c r="E414" s="12" t="s">
        <v>38</v>
      </c>
      <c r="F414" s="25">
        <v>0</v>
      </c>
      <c r="G414" s="12" t="s">
        <v>1263</v>
      </c>
      <c r="H414" s="12">
        <v>0</v>
      </c>
      <c r="I414" s="12">
        <v>0</v>
      </c>
      <c r="J414" s="12">
        <v>0</v>
      </c>
      <c r="K414" s="12">
        <v>0</v>
      </c>
      <c r="L414" s="13">
        <v>0</v>
      </c>
      <c r="M414" s="13">
        <v>0</v>
      </c>
      <c r="N414" s="12">
        <v>0</v>
      </c>
      <c r="O414" s="12">
        <v>0</v>
      </c>
      <c r="P414" s="12">
        <v>0</v>
      </c>
      <c r="Q414" s="14">
        <v>0</v>
      </c>
      <c r="R414" s="15">
        <v>148922.56</v>
      </c>
      <c r="S414" s="16">
        <v>148922.56</v>
      </c>
      <c r="T414" s="15">
        <v>148922.56</v>
      </c>
      <c r="U414" s="16">
        <v>0</v>
      </c>
      <c r="V414" s="15">
        <v>0</v>
      </c>
      <c r="W414" s="16">
        <v>0</v>
      </c>
      <c r="X414" s="15">
        <v>0</v>
      </c>
      <c r="Y414" s="16">
        <v>0</v>
      </c>
      <c r="Z414" s="15">
        <v>0</v>
      </c>
      <c r="AA414" s="16">
        <v>0</v>
      </c>
      <c r="AB414" s="15">
        <v>0</v>
      </c>
      <c r="AC414" s="16">
        <v>0</v>
      </c>
      <c r="AD414" s="15">
        <v>0</v>
      </c>
      <c r="AE414" s="16">
        <v>0</v>
      </c>
      <c r="AF414" s="15">
        <v>0</v>
      </c>
      <c r="AG414" s="16">
        <v>0</v>
      </c>
      <c r="AH414" s="15">
        <v>0</v>
      </c>
      <c r="AI414" s="15" t="s">
        <v>1264</v>
      </c>
      <c r="AJ414" s="14">
        <v>0.44915509259259262</v>
      </c>
      <c r="AK414" s="17">
        <v>44410</v>
      </c>
      <c r="AL414" s="18" t="s">
        <v>40</v>
      </c>
      <c r="AM414" s="14" t="s">
        <v>410</v>
      </c>
      <c r="AN414" s="14" t="s">
        <v>36</v>
      </c>
      <c r="AO414" s="14" t="s">
        <v>1265</v>
      </c>
      <c r="AP414" s="14" t="s">
        <v>37</v>
      </c>
      <c r="AQ414" s="14" t="s">
        <v>184</v>
      </c>
      <c r="AR414" s="14" t="s">
        <v>4</v>
      </c>
      <c r="AS414" s="14">
        <v>0</v>
      </c>
      <c r="AT414" s="14">
        <v>0</v>
      </c>
      <c r="AU414" s="14">
        <v>0</v>
      </c>
      <c r="AV414" s="14">
        <v>0</v>
      </c>
      <c r="AW414" s="14"/>
      <c r="AX414" s="14"/>
      <c r="AY414" s="14"/>
      <c r="AZ414" s="14"/>
      <c r="BA414" s="11"/>
      <c r="BB414" s="11"/>
      <c r="BC414" s="11"/>
      <c r="BD414" s="11"/>
      <c r="BE414" s="11"/>
      <c r="BF414" s="11"/>
      <c r="BG414" s="11"/>
      <c r="BH414" s="11"/>
      <c r="BI414" s="11"/>
      <c r="BJ414" s="11"/>
      <c r="BK414" s="11"/>
      <c r="BL414" s="11"/>
      <c r="BM414" s="11"/>
      <c r="BN414" s="11"/>
    </row>
    <row r="415" spans="1:66" s="2" customFormat="1" ht="12.75" x14ac:dyDescent="0.25">
      <c r="A415" s="9">
        <f t="shared" si="6"/>
        <v>1</v>
      </c>
      <c r="B415" s="6"/>
      <c r="C415" s="6"/>
      <c r="D415" s="24"/>
      <c r="E415" s="12" t="s">
        <v>38</v>
      </c>
      <c r="F415" s="25">
        <v>0</v>
      </c>
      <c r="G415" s="12" t="s">
        <v>1266</v>
      </c>
      <c r="H415" s="12">
        <v>0</v>
      </c>
      <c r="I415" s="12">
        <v>0</v>
      </c>
      <c r="J415" s="12">
        <v>0</v>
      </c>
      <c r="K415" s="12">
        <v>0</v>
      </c>
      <c r="L415" s="13">
        <v>0</v>
      </c>
      <c r="M415" s="13">
        <v>0</v>
      </c>
      <c r="N415" s="12">
        <v>0</v>
      </c>
      <c r="O415" s="12">
        <v>0</v>
      </c>
      <c r="P415" s="12">
        <v>0</v>
      </c>
      <c r="Q415" s="14">
        <v>0</v>
      </c>
      <c r="R415" s="15">
        <v>7404306.3999999985</v>
      </c>
      <c r="S415" s="16">
        <v>7404306.3999999985</v>
      </c>
      <c r="T415" s="15">
        <v>7404306.3999999985</v>
      </c>
      <c r="U415" s="16">
        <v>0</v>
      </c>
      <c r="V415" s="15">
        <v>0</v>
      </c>
      <c r="W415" s="16">
        <v>0</v>
      </c>
      <c r="X415" s="15">
        <v>0</v>
      </c>
      <c r="Y415" s="16">
        <v>0</v>
      </c>
      <c r="Z415" s="15">
        <v>0</v>
      </c>
      <c r="AA415" s="16">
        <v>0</v>
      </c>
      <c r="AB415" s="15">
        <v>0</v>
      </c>
      <c r="AC415" s="16">
        <v>0</v>
      </c>
      <c r="AD415" s="15">
        <v>0</v>
      </c>
      <c r="AE415" s="16">
        <v>0</v>
      </c>
      <c r="AF415" s="15">
        <v>0</v>
      </c>
      <c r="AG415" s="16">
        <v>0</v>
      </c>
      <c r="AH415" s="15">
        <v>0</v>
      </c>
      <c r="AI415" s="15" t="s">
        <v>1267</v>
      </c>
      <c r="AJ415" s="14">
        <v>0.35347222222222219</v>
      </c>
      <c r="AK415" s="17">
        <v>44435</v>
      </c>
      <c r="AL415" s="18" t="s">
        <v>291</v>
      </c>
      <c r="AM415" s="14" t="s">
        <v>292</v>
      </c>
      <c r="AN415" s="14" t="s">
        <v>36</v>
      </c>
      <c r="AO415" s="14" t="s">
        <v>1268</v>
      </c>
      <c r="AP415" s="14" t="s">
        <v>37</v>
      </c>
      <c r="AQ415" s="14" t="s">
        <v>184</v>
      </c>
      <c r="AR415" s="14" t="s">
        <v>4</v>
      </c>
      <c r="AS415" s="14">
        <v>0</v>
      </c>
      <c r="AT415" s="14">
        <v>0</v>
      </c>
      <c r="AU415" s="14">
        <v>0</v>
      </c>
      <c r="AV415" s="14">
        <v>0</v>
      </c>
      <c r="AW415" s="14"/>
      <c r="AX415" s="14"/>
      <c r="AY415" s="14"/>
      <c r="AZ415" s="14"/>
      <c r="BA415" s="11"/>
      <c r="BB415" s="11"/>
      <c r="BC415" s="11"/>
      <c r="BD415" s="11"/>
      <c r="BE415" s="11"/>
      <c r="BF415" s="11"/>
      <c r="BG415" s="11"/>
      <c r="BH415" s="11"/>
      <c r="BI415" s="11"/>
      <c r="BJ415" s="11"/>
      <c r="BK415" s="11"/>
      <c r="BL415" s="11"/>
      <c r="BM415" s="11"/>
      <c r="BN415" s="11"/>
    </row>
    <row r="416" spans="1:66" s="2" customFormat="1" ht="12.75" x14ac:dyDescent="0.25">
      <c r="A416" s="9">
        <f t="shared" si="6"/>
        <v>1</v>
      </c>
      <c r="B416" s="6"/>
      <c r="C416" s="6"/>
      <c r="D416" s="24"/>
      <c r="E416" s="12" t="s">
        <v>38</v>
      </c>
      <c r="F416" s="25">
        <v>0</v>
      </c>
      <c r="G416" s="12" t="s">
        <v>1269</v>
      </c>
      <c r="H416" s="12">
        <v>0</v>
      </c>
      <c r="I416" s="12">
        <v>0</v>
      </c>
      <c r="J416" s="12">
        <v>0</v>
      </c>
      <c r="K416" s="12">
        <v>0</v>
      </c>
      <c r="L416" s="13">
        <v>0</v>
      </c>
      <c r="M416" s="13">
        <v>0</v>
      </c>
      <c r="N416" s="12">
        <v>0</v>
      </c>
      <c r="O416" s="12">
        <v>0</v>
      </c>
      <c r="P416" s="12">
        <v>0</v>
      </c>
      <c r="Q416" s="14">
        <v>0</v>
      </c>
      <c r="R416" s="15">
        <v>33164067.080000002</v>
      </c>
      <c r="S416" s="16">
        <v>33164067.080000002</v>
      </c>
      <c r="T416" s="15">
        <v>26512407.080000002</v>
      </c>
      <c r="U416" s="16">
        <v>0</v>
      </c>
      <c r="V416" s="15">
        <v>6651660</v>
      </c>
      <c r="W416" s="16">
        <v>0</v>
      </c>
      <c r="X416" s="15">
        <v>0</v>
      </c>
      <c r="Y416" s="16">
        <v>0</v>
      </c>
      <c r="Z416" s="15">
        <v>0</v>
      </c>
      <c r="AA416" s="16">
        <v>0</v>
      </c>
      <c r="AB416" s="15">
        <v>0</v>
      </c>
      <c r="AC416" s="16">
        <v>0</v>
      </c>
      <c r="AD416" s="15">
        <v>0</v>
      </c>
      <c r="AE416" s="16">
        <v>0</v>
      </c>
      <c r="AF416" s="15">
        <v>0</v>
      </c>
      <c r="AG416" s="16">
        <v>0</v>
      </c>
      <c r="AH416" s="15">
        <v>0</v>
      </c>
      <c r="AI416" s="15" t="s">
        <v>1270</v>
      </c>
      <c r="AJ416" s="14">
        <v>0.61531250000000004</v>
      </c>
      <c r="AK416" s="17">
        <v>44475</v>
      </c>
      <c r="AL416" s="18" t="s">
        <v>291</v>
      </c>
      <c r="AM416" s="14" t="s">
        <v>292</v>
      </c>
      <c r="AN416" s="14" t="s">
        <v>36</v>
      </c>
      <c r="AO416" s="14" t="s">
        <v>1271</v>
      </c>
      <c r="AP416" s="14" t="s">
        <v>37</v>
      </c>
      <c r="AQ416" s="14" t="s">
        <v>184</v>
      </c>
      <c r="AR416" s="14" t="s">
        <v>4</v>
      </c>
      <c r="AS416" s="14">
        <v>0</v>
      </c>
      <c r="AT416" s="14">
        <v>0</v>
      </c>
      <c r="AU416" s="14">
        <v>0</v>
      </c>
      <c r="AV416" s="14">
        <v>0</v>
      </c>
      <c r="AW416" s="14"/>
      <c r="AX416" s="14"/>
      <c r="AY416" s="14"/>
      <c r="AZ416" s="14"/>
      <c r="BA416" s="11"/>
      <c r="BB416" s="11"/>
      <c r="BC416" s="11"/>
      <c r="BD416" s="11"/>
      <c r="BE416" s="11"/>
      <c r="BF416" s="11"/>
      <c r="BG416" s="11"/>
      <c r="BH416" s="11"/>
      <c r="BI416" s="11"/>
      <c r="BJ416" s="11"/>
      <c r="BK416" s="11"/>
      <c r="BL416" s="11"/>
      <c r="BM416" s="11"/>
      <c r="BN416" s="11"/>
    </row>
    <row r="417" spans="1:66" s="2" customFormat="1" ht="12.75" x14ac:dyDescent="0.25">
      <c r="A417" s="9">
        <f t="shared" si="6"/>
        <v>1</v>
      </c>
      <c r="B417" s="6"/>
      <c r="C417" s="6"/>
      <c r="D417" s="24"/>
      <c r="E417" s="12" t="s">
        <v>38</v>
      </c>
      <c r="F417" s="25">
        <v>0</v>
      </c>
      <c r="G417" s="12" t="s">
        <v>1272</v>
      </c>
      <c r="H417" s="12">
        <v>0</v>
      </c>
      <c r="I417" s="12">
        <v>0</v>
      </c>
      <c r="J417" s="12">
        <v>0</v>
      </c>
      <c r="K417" s="12">
        <v>0</v>
      </c>
      <c r="L417" s="13">
        <v>0</v>
      </c>
      <c r="M417" s="13">
        <v>0</v>
      </c>
      <c r="N417" s="12">
        <v>0</v>
      </c>
      <c r="O417" s="12">
        <v>0</v>
      </c>
      <c r="P417" s="12">
        <v>0</v>
      </c>
      <c r="Q417" s="14">
        <v>0</v>
      </c>
      <c r="R417" s="15">
        <v>27695.800000000003</v>
      </c>
      <c r="S417" s="16">
        <v>27695.800000000003</v>
      </c>
      <c r="T417" s="15">
        <v>18095.800000000003</v>
      </c>
      <c r="U417" s="16">
        <v>0</v>
      </c>
      <c r="V417" s="15">
        <v>9600</v>
      </c>
      <c r="W417" s="16">
        <v>0</v>
      </c>
      <c r="X417" s="15">
        <v>0</v>
      </c>
      <c r="Y417" s="16">
        <v>0</v>
      </c>
      <c r="Z417" s="15">
        <v>0</v>
      </c>
      <c r="AA417" s="16">
        <v>0</v>
      </c>
      <c r="AB417" s="15">
        <v>0</v>
      </c>
      <c r="AC417" s="16">
        <v>0</v>
      </c>
      <c r="AD417" s="15">
        <v>0</v>
      </c>
      <c r="AE417" s="16">
        <v>0</v>
      </c>
      <c r="AF417" s="15">
        <v>0</v>
      </c>
      <c r="AG417" s="16">
        <v>0</v>
      </c>
      <c r="AH417" s="15">
        <v>0</v>
      </c>
      <c r="AI417" s="15" t="s">
        <v>1273</v>
      </c>
      <c r="AJ417" s="14">
        <v>0.56565972222222227</v>
      </c>
      <c r="AK417" s="17">
        <v>44435</v>
      </c>
      <c r="AL417" s="18" t="s">
        <v>291</v>
      </c>
      <c r="AM417" s="14" t="s">
        <v>292</v>
      </c>
      <c r="AN417" s="14" t="s">
        <v>36</v>
      </c>
      <c r="AO417" s="14" t="s">
        <v>1274</v>
      </c>
      <c r="AP417" s="14" t="s">
        <v>37</v>
      </c>
      <c r="AQ417" s="14" t="s">
        <v>184</v>
      </c>
      <c r="AR417" s="14" t="s">
        <v>4</v>
      </c>
      <c r="AS417" s="14">
        <v>0</v>
      </c>
      <c r="AT417" s="14">
        <v>0</v>
      </c>
      <c r="AU417" s="14">
        <v>0</v>
      </c>
      <c r="AV417" s="14">
        <v>0</v>
      </c>
      <c r="AW417" s="14"/>
      <c r="AX417" s="14"/>
      <c r="AY417" s="14"/>
      <c r="AZ417" s="14"/>
      <c r="BA417" s="11"/>
      <c r="BB417" s="11"/>
      <c r="BC417" s="11"/>
      <c r="BD417" s="11"/>
      <c r="BE417" s="11"/>
      <c r="BF417" s="11"/>
      <c r="BG417" s="11"/>
      <c r="BH417" s="11"/>
      <c r="BI417" s="11"/>
      <c r="BJ417" s="11"/>
      <c r="BK417" s="11"/>
      <c r="BL417" s="11"/>
      <c r="BM417" s="11"/>
      <c r="BN417" s="11"/>
    </row>
    <row r="418" spans="1:66" s="2" customFormat="1" ht="12.75" x14ac:dyDescent="0.25">
      <c r="A418" s="9">
        <f t="shared" si="6"/>
        <v>1</v>
      </c>
      <c r="B418" s="6"/>
      <c r="C418" s="6"/>
      <c r="D418" s="24"/>
      <c r="E418" s="12" t="s">
        <v>38</v>
      </c>
      <c r="F418" s="25">
        <v>0</v>
      </c>
      <c r="G418" s="12" t="s">
        <v>1275</v>
      </c>
      <c r="H418" s="12">
        <v>0</v>
      </c>
      <c r="I418" s="12">
        <v>0</v>
      </c>
      <c r="J418" s="12">
        <v>0</v>
      </c>
      <c r="K418" s="12">
        <v>0</v>
      </c>
      <c r="L418" s="13">
        <v>0</v>
      </c>
      <c r="M418" s="13">
        <v>0</v>
      </c>
      <c r="N418" s="12">
        <v>0</v>
      </c>
      <c r="O418" s="12">
        <v>0</v>
      </c>
      <c r="P418" s="12">
        <v>0</v>
      </c>
      <c r="Q418" s="14">
        <v>0</v>
      </c>
      <c r="R418" s="15">
        <v>7521640.7199999979</v>
      </c>
      <c r="S418" s="16">
        <v>7521640.7199999979</v>
      </c>
      <c r="T418" s="15">
        <v>7521640.7199999979</v>
      </c>
      <c r="U418" s="16">
        <v>0</v>
      </c>
      <c r="V418" s="15">
        <v>0</v>
      </c>
      <c r="W418" s="16">
        <v>0</v>
      </c>
      <c r="X418" s="15">
        <v>0</v>
      </c>
      <c r="Y418" s="16">
        <v>0</v>
      </c>
      <c r="Z418" s="15">
        <v>0</v>
      </c>
      <c r="AA418" s="16">
        <v>0</v>
      </c>
      <c r="AB418" s="15">
        <v>0</v>
      </c>
      <c r="AC418" s="16">
        <v>0</v>
      </c>
      <c r="AD418" s="15">
        <v>0</v>
      </c>
      <c r="AE418" s="16">
        <v>0</v>
      </c>
      <c r="AF418" s="15">
        <v>0</v>
      </c>
      <c r="AG418" s="16">
        <v>0</v>
      </c>
      <c r="AH418" s="15">
        <v>0</v>
      </c>
      <c r="AI418" s="15" t="s">
        <v>1276</v>
      </c>
      <c r="AJ418" s="14">
        <v>0.61499999999999999</v>
      </c>
      <c r="AK418" s="17">
        <v>44439</v>
      </c>
      <c r="AL418" s="18" t="s">
        <v>291</v>
      </c>
      <c r="AM418" s="14" t="s">
        <v>292</v>
      </c>
      <c r="AN418" s="14" t="s">
        <v>36</v>
      </c>
      <c r="AO418" s="14" t="s">
        <v>1277</v>
      </c>
      <c r="AP418" s="14" t="s">
        <v>37</v>
      </c>
      <c r="AQ418" s="14" t="s">
        <v>184</v>
      </c>
      <c r="AR418" s="14" t="s">
        <v>4</v>
      </c>
      <c r="AS418" s="14">
        <v>0</v>
      </c>
      <c r="AT418" s="14">
        <v>0</v>
      </c>
      <c r="AU418" s="14">
        <v>0</v>
      </c>
      <c r="AV418" s="14">
        <v>0</v>
      </c>
      <c r="AW418" s="14"/>
      <c r="AX418" s="14"/>
      <c r="AY418" s="14"/>
      <c r="AZ418" s="14"/>
      <c r="BA418" s="11"/>
      <c r="BB418" s="11"/>
      <c r="BC418" s="11"/>
      <c r="BD418" s="11"/>
      <c r="BE418" s="11"/>
      <c r="BF418" s="11"/>
      <c r="BG418" s="11"/>
      <c r="BH418" s="11"/>
      <c r="BI418" s="11"/>
      <c r="BJ418" s="11"/>
      <c r="BK418" s="11"/>
      <c r="BL418" s="11"/>
      <c r="BM418" s="11"/>
      <c r="BN418" s="11"/>
    </row>
    <row r="419" spans="1:66" s="2" customFormat="1" ht="12.75" x14ac:dyDescent="0.25">
      <c r="A419" s="9">
        <f t="shared" si="6"/>
        <v>1</v>
      </c>
      <c r="B419" s="6"/>
      <c r="C419" s="6"/>
      <c r="D419" s="24"/>
      <c r="E419" s="12" t="s">
        <v>38</v>
      </c>
      <c r="F419" s="25">
        <v>0</v>
      </c>
      <c r="G419" s="12" t="s">
        <v>1278</v>
      </c>
      <c r="H419" s="12">
        <v>0</v>
      </c>
      <c r="I419" s="12">
        <v>0</v>
      </c>
      <c r="J419" s="12">
        <v>0</v>
      </c>
      <c r="K419" s="12">
        <v>0</v>
      </c>
      <c r="L419" s="13">
        <v>0</v>
      </c>
      <c r="M419" s="13">
        <v>0</v>
      </c>
      <c r="N419" s="12">
        <v>0</v>
      </c>
      <c r="O419" s="12">
        <v>0</v>
      </c>
      <c r="P419" s="12">
        <v>0</v>
      </c>
      <c r="Q419" s="14">
        <v>0</v>
      </c>
      <c r="R419" s="15">
        <v>325191.75</v>
      </c>
      <c r="S419" s="16">
        <v>325191.75</v>
      </c>
      <c r="T419" s="15">
        <v>269691.75</v>
      </c>
      <c r="U419" s="16">
        <v>0</v>
      </c>
      <c r="V419" s="15">
        <v>55500</v>
      </c>
      <c r="W419" s="16">
        <v>0</v>
      </c>
      <c r="X419" s="15">
        <v>0</v>
      </c>
      <c r="Y419" s="16">
        <v>0</v>
      </c>
      <c r="Z419" s="15">
        <v>0</v>
      </c>
      <c r="AA419" s="16">
        <v>0</v>
      </c>
      <c r="AB419" s="15">
        <v>0</v>
      </c>
      <c r="AC419" s="16">
        <v>0</v>
      </c>
      <c r="AD419" s="15">
        <v>0</v>
      </c>
      <c r="AE419" s="16">
        <v>0</v>
      </c>
      <c r="AF419" s="15">
        <v>0</v>
      </c>
      <c r="AG419" s="16">
        <v>0</v>
      </c>
      <c r="AH419" s="15">
        <v>0</v>
      </c>
      <c r="AI419" s="15" t="s">
        <v>1279</v>
      </c>
      <c r="AJ419" s="14">
        <v>0.56500000000000006</v>
      </c>
      <c r="AK419" s="17">
        <v>44438</v>
      </c>
      <c r="AL419" s="18" t="s">
        <v>291</v>
      </c>
      <c r="AM419" s="14" t="s">
        <v>292</v>
      </c>
      <c r="AN419" s="14" t="s">
        <v>36</v>
      </c>
      <c r="AO419" s="14" t="s">
        <v>1280</v>
      </c>
      <c r="AP419" s="14" t="s">
        <v>37</v>
      </c>
      <c r="AQ419" s="14" t="s">
        <v>184</v>
      </c>
      <c r="AR419" s="14" t="s">
        <v>4</v>
      </c>
      <c r="AS419" s="14">
        <v>0</v>
      </c>
      <c r="AT419" s="14">
        <v>0</v>
      </c>
      <c r="AU419" s="14">
        <v>0</v>
      </c>
      <c r="AV419" s="14">
        <v>0</v>
      </c>
      <c r="AW419" s="14"/>
      <c r="AX419" s="14"/>
      <c r="AY419" s="14"/>
      <c r="AZ419" s="14"/>
      <c r="BA419" s="11"/>
      <c r="BB419" s="11"/>
      <c r="BC419" s="11"/>
      <c r="BD419" s="11"/>
      <c r="BE419" s="11"/>
      <c r="BF419" s="11"/>
      <c r="BG419" s="11"/>
      <c r="BH419" s="11"/>
      <c r="BI419" s="11"/>
      <c r="BJ419" s="11"/>
      <c r="BK419" s="11"/>
      <c r="BL419" s="11"/>
      <c r="BM419" s="11"/>
      <c r="BN419" s="11"/>
    </row>
    <row r="420" spans="1:66" s="2" customFormat="1" ht="12.75" x14ac:dyDescent="0.25">
      <c r="A420" s="9">
        <f t="shared" si="6"/>
        <v>1</v>
      </c>
      <c r="B420" s="6"/>
      <c r="C420" s="6"/>
      <c r="D420" s="24"/>
      <c r="E420" s="12" t="s">
        <v>38</v>
      </c>
      <c r="F420" s="25">
        <v>0</v>
      </c>
      <c r="G420" s="12" t="s">
        <v>1281</v>
      </c>
      <c r="H420" s="12">
        <v>0</v>
      </c>
      <c r="I420" s="12">
        <v>0</v>
      </c>
      <c r="J420" s="12">
        <v>0</v>
      </c>
      <c r="K420" s="12">
        <v>0</v>
      </c>
      <c r="L420" s="13">
        <v>0</v>
      </c>
      <c r="M420" s="13">
        <v>0</v>
      </c>
      <c r="N420" s="12">
        <v>0</v>
      </c>
      <c r="O420" s="12">
        <v>0</v>
      </c>
      <c r="P420" s="12">
        <v>0</v>
      </c>
      <c r="Q420" s="14">
        <v>0</v>
      </c>
      <c r="R420" s="15">
        <v>205003.17</v>
      </c>
      <c r="S420" s="16">
        <v>205003.17</v>
      </c>
      <c r="T420" s="15">
        <v>173858.17</v>
      </c>
      <c r="U420" s="16">
        <v>0</v>
      </c>
      <c r="V420" s="15">
        <v>31145</v>
      </c>
      <c r="W420" s="16">
        <v>0</v>
      </c>
      <c r="X420" s="15">
        <v>0</v>
      </c>
      <c r="Y420" s="16">
        <v>0</v>
      </c>
      <c r="Z420" s="15">
        <v>0</v>
      </c>
      <c r="AA420" s="16">
        <v>0</v>
      </c>
      <c r="AB420" s="15">
        <v>0</v>
      </c>
      <c r="AC420" s="16">
        <v>0</v>
      </c>
      <c r="AD420" s="15">
        <v>0</v>
      </c>
      <c r="AE420" s="16">
        <v>0</v>
      </c>
      <c r="AF420" s="15">
        <v>0</v>
      </c>
      <c r="AG420" s="16">
        <v>0</v>
      </c>
      <c r="AH420" s="15">
        <v>0</v>
      </c>
      <c r="AI420" s="15" t="s">
        <v>1282</v>
      </c>
      <c r="AJ420" s="14">
        <v>0.37501157407407404</v>
      </c>
      <c r="AK420" s="17">
        <v>44440</v>
      </c>
      <c r="AL420" s="18" t="s">
        <v>291</v>
      </c>
      <c r="AM420" s="14" t="s">
        <v>292</v>
      </c>
      <c r="AN420" s="14" t="s">
        <v>36</v>
      </c>
      <c r="AO420" s="14" t="s">
        <v>1283</v>
      </c>
      <c r="AP420" s="14" t="s">
        <v>37</v>
      </c>
      <c r="AQ420" s="14" t="s">
        <v>184</v>
      </c>
      <c r="AR420" s="14" t="s">
        <v>4</v>
      </c>
      <c r="AS420" s="14">
        <v>0</v>
      </c>
      <c r="AT420" s="14">
        <v>0</v>
      </c>
      <c r="AU420" s="14">
        <v>0</v>
      </c>
      <c r="AV420" s="14">
        <v>0</v>
      </c>
      <c r="AW420" s="14"/>
      <c r="AX420" s="14"/>
      <c r="AY420" s="14"/>
      <c r="AZ420" s="14"/>
      <c r="BA420" s="11"/>
      <c r="BB420" s="11"/>
      <c r="BC420" s="11"/>
      <c r="BD420" s="11"/>
      <c r="BE420" s="11"/>
      <c r="BF420" s="11"/>
      <c r="BG420" s="11"/>
      <c r="BH420" s="11"/>
      <c r="BI420" s="11"/>
      <c r="BJ420" s="11"/>
      <c r="BK420" s="11"/>
      <c r="BL420" s="11"/>
      <c r="BM420" s="11"/>
      <c r="BN420" s="11"/>
    </row>
    <row r="421" spans="1:66" s="2" customFormat="1" ht="12.75" x14ac:dyDescent="0.25">
      <c r="A421" s="9">
        <f t="shared" si="6"/>
        <v>1</v>
      </c>
      <c r="B421" s="6"/>
      <c r="C421" s="6"/>
      <c r="D421" s="24"/>
      <c r="E421" s="12" t="s">
        <v>38</v>
      </c>
      <c r="F421" s="25">
        <v>0</v>
      </c>
      <c r="G421" s="12" t="s">
        <v>1284</v>
      </c>
      <c r="H421" s="12">
        <v>0</v>
      </c>
      <c r="I421" s="12">
        <v>0</v>
      </c>
      <c r="J421" s="12">
        <v>0</v>
      </c>
      <c r="K421" s="12">
        <v>0</v>
      </c>
      <c r="L421" s="13">
        <v>0</v>
      </c>
      <c r="M421" s="13">
        <v>0</v>
      </c>
      <c r="N421" s="12">
        <v>0</v>
      </c>
      <c r="O421" s="12">
        <v>0</v>
      </c>
      <c r="P421" s="12">
        <v>0</v>
      </c>
      <c r="Q421" s="14">
        <v>0</v>
      </c>
      <c r="R421" s="15">
        <v>17544.8</v>
      </c>
      <c r="S421" s="16">
        <v>17544.8</v>
      </c>
      <c r="T421" s="15">
        <v>13544.8</v>
      </c>
      <c r="U421" s="16">
        <v>0</v>
      </c>
      <c r="V421" s="15">
        <v>4000</v>
      </c>
      <c r="W421" s="16">
        <v>0</v>
      </c>
      <c r="X421" s="15">
        <v>0</v>
      </c>
      <c r="Y421" s="16">
        <v>0</v>
      </c>
      <c r="Z421" s="15">
        <v>0</v>
      </c>
      <c r="AA421" s="16">
        <v>0</v>
      </c>
      <c r="AB421" s="15">
        <v>0</v>
      </c>
      <c r="AC421" s="16">
        <v>0</v>
      </c>
      <c r="AD421" s="15">
        <v>0</v>
      </c>
      <c r="AE421" s="16">
        <v>0</v>
      </c>
      <c r="AF421" s="15">
        <v>0</v>
      </c>
      <c r="AG421" s="16">
        <v>0</v>
      </c>
      <c r="AH421" s="15">
        <v>0</v>
      </c>
      <c r="AI421" s="15" t="s">
        <v>1285</v>
      </c>
      <c r="AJ421" s="14">
        <v>0.53528935185185189</v>
      </c>
      <c r="AK421" s="17">
        <v>44442</v>
      </c>
      <c r="AL421" s="18" t="s">
        <v>291</v>
      </c>
      <c r="AM421" s="14" t="s">
        <v>292</v>
      </c>
      <c r="AN421" s="14" t="s">
        <v>36</v>
      </c>
      <c r="AO421" s="14" t="s">
        <v>1286</v>
      </c>
      <c r="AP421" s="14" t="s">
        <v>37</v>
      </c>
      <c r="AQ421" s="14" t="s">
        <v>184</v>
      </c>
      <c r="AR421" s="14" t="s">
        <v>4</v>
      </c>
      <c r="AS421" s="14">
        <v>0</v>
      </c>
      <c r="AT421" s="14">
        <v>0</v>
      </c>
      <c r="AU421" s="14">
        <v>0</v>
      </c>
      <c r="AV421" s="14">
        <v>0</v>
      </c>
      <c r="AW421" s="14"/>
      <c r="AX421" s="14"/>
      <c r="AY421" s="14"/>
      <c r="AZ421" s="14"/>
      <c r="BA421" s="11"/>
      <c r="BB421" s="11"/>
      <c r="BC421" s="11"/>
      <c r="BD421" s="11"/>
      <c r="BE421" s="11"/>
      <c r="BF421" s="11"/>
      <c r="BG421" s="11"/>
      <c r="BH421" s="11"/>
      <c r="BI421" s="11"/>
      <c r="BJ421" s="11"/>
      <c r="BK421" s="11"/>
      <c r="BL421" s="11"/>
      <c r="BM421" s="11"/>
      <c r="BN421" s="11"/>
    </row>
    <row r="422" spans="1:66" s="2" customFormat="1" ht="12.75" x14ac:dyDescent="0.25">
      <c r="A422" s="9">
        <f t="shared" si="6"/>
        <v>1</v>
      </c>
      <c r="B422" s="6"/>
      <c r="C422" s="6"/>
      <c r="D422" s="24"/>
      <c r="E422" s="12" t="s">
        <v>38</v>
      </c>
      <c r="F422" s="25">
        <v>0</v>
      </c>
      <c r="G422" s="12" t="s">
        <v>1287</v>
      </c>
      <c r="H422" s="12">
        <v>0</v>
      </c>
      <c r="I422" s="12">
        <v>0</v>
      </c>
      <c r="J422" s="12">
        <v>0</v>
      </c>
      <c r="K422" s="12">
        <v>0</v>
      </c>
      <c r="L422" s="13">
        <v>0</v>
      </c>
      <c r="M422" s="13">
        <v>0</v>
      </c>
      <c r="N422" s="12">
        <v>0</v>
      </c>
      <c r="O422" s="12">
        <v>0</v>
      </c>
      <c r="P422" s="12">
        <v>0</v>
      </c>
      <c r="Q422" s="14">
        <v>0</v>
      </c>
      <c r="R422" s="15">
        <v>6097907.129999999</v>
      </c>
      <c r="S422" s="16">
        <v>6097907.129999999</v>
      </c>
      <c r="T422" s="15">
        <v>6067907.129999999</v>
      </c>
      <c r="U422" s="16">
        <v>0</v>
      </c>
      <c r="V422" s="15">
        <v>30000</v>
      </c>
      <c r="W422" s="16">
        <v>0</v>
      </c>
      <c r="X422" s="15">
        <v>0</v>
      </c>
      <c r="Y422" s="16">
        <v>0</v>
      </c>
      <c r="Z422" s="15">
        <v>0</v>
      </c>
      <c r="AA422" s="16">
        <v>0</v>
      </c>
      <c r="AB422" s="15">
        <v>0</v>
      </c>
      <c r="AC422" s="16">
        <v>0</v>
      </c>
      <c r="AD422" s="15">
        <v>0</v>
      </c>
      <c r="AE422" s="16">
        <v>0</v>
      </c>
      <c r="AF422" s="15">
        <v>0</v>
      </c>
      <c r="AG422" s="16">
        <v>0</v>
      </c>
      <c r="AH422" s="15">
        <v>0</v>
      </c>
      <c r="AI422" s="15" t="s">
        <v>1288</v>
      </c>
      <c r="AJ422" s="14">
        <v>0.35214120370370372</v>
      </c>
      <c r="AK422" s="17">
        <v>44537</v>
      </c>
      <c r="AL422" s="18" t="s">
        <v>291</v>
      </c>
      <c r="AM422" s="14" t="s">
        <v>292</v>
      </c>
      <c r="AN422" s="14" t="s">
        <v>36</v>
      </c>
      <c r="AO422" s="14" t="s">
        <v>1289</v>
      </c>
      <c r="AP422" s="14" t="s">
        <v>37</v>
      </c>
      <c r="AQ422" s="14" t="s">
        <v>184</v>
      </c>
      <c r="AR422" s="14" t="s">
        <v>4</v>
      </c>
      <c r="AS422" s="14">
        <v>0</v>
      </c>
      <c r="AT422" s="14">
        <v>0</v>
      </c>
      <c r="AU422" s="14">
        <v>0</v>
      </c>
      <c r="AV422" s="14">
        <v>0</v>
      </c>
      <c r="AW422" s="14"/>
      <c r="AX422" s="14"/>
      <c r="AY422" s="14"/>
      <c r="AZ422" s="14"/>
      <c r="BA422" s="11"/>
      <c r="BB422" s="11"/>
      <c r="BC422" s="11"/>
      <c r="BD422" s="11"/>
      <c r="BE422" s="11"/>
      <c r="BF422" s="11"/>
      <c r="BG422" s="11"/>
      <c r="BH422" s="11"/>
      <c r="BI422" s="11"/>
      <c r="BJ422" s="11"/>
      <c r="BK422" s="11"/>
      <c r="BL422" s="11"/>
      <c r="BM422" s="11"/>
      <c r="BN422" s="11"/>
    </row>
    <row r="423" spans="1:66" s="2" customFormat="1" ht="12.75" x14ac:dyDescent="0.25">
      <c r="A423" s="9">
        <f t="shared" si="6"/>
        <v>1</v>
      </c>
      <c r="B423" s="6"/>
      <c r="C423" s="6"/>
      <c r="D423" s="24"/>
      <c r="E423" s="12" t="s">
        <v>38</v>
      </c>
      <c r="F423" s="25">
        <v>0</v>
      </c>
      <c r="G423" s="12" t="s">
        <v>1290</v>
      </c>
      <c r="H423" s="12">
        <v>0</v>
      </c>
      <c r="I423" s="12">
        <v>0</v>
      </c>
      <c r="J423" s="12">
        <v>0</v>
      </c>
      <c r="K423" s="12">
        <v>0</v>
      </c>
      <c r="L423" s="13">
        <v>0</v>
      </c>
      <c r="M423" s="13">
        <v>0</v>
      </c>
      <c r="N423" s="12">
        <v>0</v>
      </c>
      <c r="O423" s="12">
        <v>0</v>
      </c>
      <c r="P423" s="12">
        <v>0</v>
      </c>
      <c r="Q423" s="14">
        <v>0</v>
      </c>
      <c r="R423" s="15">
        <v>10045322.460000001</v>
      </c>
      <c r="S423" s="16">
        <v>10045322.460000001</v>
      </c>
      <c r="T423" s="15">
        <v>8112282.46</v>
      </c>
      <c r="U423" s="16">
        <v>0</v>
      </c>
      <c r="V423" s="15">
        <v>1933040</v>
      </c>
      <c r="W423" s="16">
        <v>0</v>
      </c>
      <c r="X423" s="15">
        <v>0</v>
      </c>
      <c r="Y423" s="16">
        <v>0</v>
      </c>
      <c r="Z423" s="15">
        <v>0</v>
      </c>
      <c r="AA423" s="16">
        <v>0</v>
      </c>
      <c r="AB423" s="15">
        <v>0</v>
      </c>
      <c r="AC423" s="16">
        <v>0</v>
      </c>
      <c r="AD423" s="15">
        <v>0</v>
      </c>
      <c r="AE423" s="16">
        <v>0</v>
      </c>
      <c r="AF423" s="15">
        <v>0</v>
      </c>
      <c r="AG423" s="16">
        <v>0</v>
      </c>
      <c r="AH423" s="15">
        <v>0</v>
      </c>
      <c r="AI423" s="15" t="s">
        <v>1291</v>
      </c>
      <c r="AJ423" s="14">
        <v>0.6754282407407407</v>
      </c>
      <c r="AK423" s="17">
        <v>44468</v>
      </c>
      <c r="AL423" s="18" t="s">
        <v>40</v>
      </c>
      <c r="AM423" s="14" t="s">
        <v>410</v>
      </c>
      <c r="AN423" s="14" t="s">
        <v>36</v>
      </c>
      <c r="AO423" s="14" t="s">
        <v>1292</v>
      </c>
      <c r="AP423" s="14" t="s">
        <v>37</v>
      </c>
      <c r="AQ423" s="14" t="s">
        <v>184</v>
      </c>
      <c r="AR423" s="14" t="s">
        <v>4</v>
      </c>
      <c r="AS423" s="14">
        <v>0</v>
      </c>
      <c r="AT423" s="14">
        <v>0</v>
      </c>
      <c r="AU423" s="14">
        <v>0</v>
      </c>
      <c r="AV423" s="14">
        <v>0</v>
      </c>
      <c r="AW423" s="14"/>
      <c r="AX423" s="14"/>
      <c r="AY423" s="14"/>
      <c r="AZ423" s="14"/>
      <c r="BA423" s="11"/>
      <c r="BB423" s="11"/>
      <c r="BC423" s="11"/>
      <c r="BD423" s="11"/>
      <c r="BE423" s="11"/>
      <c r="BF423" s="11"/>
      <c r="BG423" s="11"/>
      <c r="BH423" s="11"/>
      <c r="BI423" s="11"/>
      <c r="BJ423" s="11"/>
      <c r="BK423" s="11"/>
      <c r="BL423" s="11"/>
      <c r="BM423" s="11"/>
      <c r="BN423" s="11"/>
    </row>
    <row r="424" spans="1:66" s="2" customFormat="1" ht="12.75" x14ac:dyDescent="0.25">
      <c r="A424" s="9">
        <f t="shared" si="6"/>
        <v>1</v>
      </c>
      <c r="B424" s="6"/>
      <c r="C424" s="6"/>
      <c r="D424" s="24"/>
      <c r="E424" s="12" t="s">
        <v>38</v>
      </c>
      <c r="F424" s="25">
        <v>0</v>
      </c>
      <c r="G424" s="12" t="s">
        <v>1293</v>
      </c>
      <c r="H424" s="12">
        <v>0</v>
      </c>
      <c r="I424" s="12">
        <v>0</v>
      </c>
      <c r="J424" s="12">
        <v>0</v>
      </c>
      <c r="K424" s="12">
        <v>0</v>
      </c>
      <c r="L424" s="13">
        <v>0</v>
      </c>
      <c r="M424" s="13">
        <v>0</v>
      </c>
      <c r="N424" s="12">
        <v>0</v>
      </c>
      <c r="O424" s="12">
        <v>0</v>
      </c>
      <c r="P424" s="12">
        <v>0</v>
      </c>
      <c r="Q424" s="14">
        <v>0</v>
      </c>
      <c r="R424" s="15">
        <v>130121.78</v>
      </c>
      <c r="S424" s="16">
        <v>130121.78</v>
      </c>
      <c r="T424" s="15" t="e">
        <v>#REF!</v>
      </c>
      <c r="U424" s="16" t="e">
        <v>#REF!</v>
      </c>
      <c r="V424" s="15" t="e">
        <v>#REF!</v>
      </c>
      <c r="W424" s="16" t="e">
        <v>#REF!</v>
      </c>
      <c r="X424" s="15" t="e">
        <v>#REF!</v>
      </c>
      <c r="Y424" s="16" t="e">
        <v>#REF!</v>
      </c>
      <c r="Z424" s="15" t="e">
        <v>#REF!</v>
      </c>
      <c r="AA424" s="16" t="e">
        <v>#REF!</v>
      </c>
      <c r="AB424" s="15" t="e">
        <v>#REF!</v>
      </c>
      <c r="AC424" s="16" t="e">
        <v>#REF!</v>
      </c>
      <c r="AD424" s="15" t="e">
        <v>#REF!</v>
      </c>
      <c r="AE424" s="16" t="e">
        <v>#REF!</v>
      </c>
      <c r="AF424" s="15" t="e">
        <v>#REF!</v>
      </c>
      <c r="AG424" s="16" t="e">
        <v>#REF!</v>
      </c>
      <c r="AH424" s="15" t="e">
        <v>#REF!</v>
      </c>
      <c r="AI424" s="15" t="s">
        <v>1294</v>
      </c>
      <c r="AJ424" s="14">
        <v>0.46407407407407408</v>
      </c>
      <c r="AK424" s="17">
        <v>44487</v>
      </c>
      <c r="AL424" s="18" t="s">
        <v>568</v>
      </c>
      <c r="AM424" s="14" t="s">
        <v>569</v>
      </c>
      <c r="AN424" s="14" t="s">
        <v>36</v>
      </c>
      <c r="AO424" s="14" t="s">
        <v>1295</v>
      </c>
      <c r="AP424" s="14" t="s">
        <v>37</v>
      </c>
      <c r="AQ424" s="14" t="s">
        <v>184</v>
      </c>
      <c r="AR424" s="14" t="s">
        <v>4</v>
      </c>
      <c r="AS424" s="14" t="e">
        <v>#REF!</v>
      </c>
      <c r="AT424" s="14" t="e">
        <v>#REF!</v>
      </c>
      <c r="AU424" s="14" t="e">
        <v>#REF!</v>
      </c>
      <c r="AV424" s="14" t="e">
        <v>#REF!</v>
      </c>
      <c r="AW424" s="14"/>
      <c r="AX424" s="14"/>
      <c r="AY424" s="14"/>
      <c r="AZ424" s="14"/>
      <c r="BA424" s="11"/>
      <c r="BB424" s="11"/>
      <c r="BC424" s="11"/>
      <c r="BD424" s="11"/>
      <c r="BE424" s="11"/>
      <c r="BF424" s="11"/>
      <c r="BG424" s="11"/>
      <c r="BH424" s="11"/>
      <c r="BI424" s="11"/>
      <c r="BJ424" s="11"/>
      <c r="BK424" s="11"/>
      <c r="BL424" s="11"/>
      <c r="BM424" s="11"/>
      <c r="BN424" s="11"/>
    </row>
    <row r="425" spans="1:66" s="2" customFormat="1" ht="12.75" x14ac:dyDescent="0.25">
      <c r="A425" s="9">
        <f t="shared" si="6"/>
        <v>1</v>
      </c>
      <c r="B425" s="6"/>
      <c r="C425" s="6"/>
      <c r="D425" s="24"/>
      <c r="E425" s="12" t="s">
        <v>38</v>
      </c>
      <c r="F425" s="25">
        <v>0</v>
      </c>
      <c r="G425" s="12" t="s">
        <v>1296</v>
      </c>
      <c r="H425" s="12">
        <v>0</v>
      </c>
      <c r="I425" s="12">
        <v>0</v>
      </c>
      <c r="J425" s="12">
        <v>0</v>
      </c>
      <c r="K425" s="12">
        <v>0</v>
      </c>
      <c r="L425" s="13">
        <v>0</v>
      </c>
      <c r="M425" s="13">
        <v>0</v>
      </c>
      <c r="N425" s="12">
        <v>0</v>
      </c>
      <c r="O425" s="12">
        <v>0</v>
      </c>
      <c r="P425" s="12">
        <v>0</v>
      </c>
      <c r="Q425" s="14">
        <v>0</v>
      </c>
      <c r="R425" s="15" t="e">
        <v>#REF!</v>
      </c>
      <c r="S425" s="16">
        <v>244940</v>
      </c>
      <c r="T425" s="15" t="e">
        <v>#REF!</v>
      </c>
      <c r="U425" s="16" t="e">
        <v>#REF!</v>
      </c>
      <c r="V425" s="15" t="e">
        <v>#REF!</v>
      </c>
      <c r="W425" s="16" t="e">
        <v>#REF!</v>
      </c>
      <c r="X425" s="15" t="e">
        <v>#REF!</v>
      </c>
      <c r="Y425" s="16" t="e">
        <v>#REF!</v>
      </c>
      <c r="Z425" s="15" t="e">
        <v>#REF!</v>
      </c>
      <c r="AA425" s="16" t="e">
        <v>#REF!</v>
      </c>
      <c r="AB425" s="15" t="e">
        <v>#REF!</v>
      </c>
      <c r="AC425" s="16" t="e">
        <v>#REF!</v>
      </c>
      <c r="AD425" s="15" t="e">
        <v>#REF!</v>
      </c>
      <c r="AE425" s="16" t="e">
        <v>#REF!</v>
      </c>
      <c r="AF425" s="15" t="e">
        <v>#REF!</v>
      </c>
      <c r="AG425" s="16" t="e">
        <v>#REF!</v>
      </c>
      <c r="AH425" s="15" t="e">
        <v>#REF!</v>
      </c>
      <c r="AI425" s="15" t="s">
        <v>1297</v>
      </c>
      <c r="AJ425" s="14">
        <v>0.5586458333333334</v>
      </c>
      <c r="AK425" s="17">
        <v>44487</v>
      </c>
      <c r="AL425" s="18" t="s">
        <v>568</v>
      </c>
      <c r="AM425" s="14" t="s">
        <v>569</v>
      </c>
      <c r="AN425" s="14" t="s">
        <v>36</v>
      </c>
      <c r="AO425" s="14" t="s">
        <v>1298</v>
      </c>
      <c r="AP425" s="14" t="s">
        <v>37</v>
      </c>
      <c r="AQ425" s="14" t="s">
        <v>184</v>
      </c>
      <c r="AR425" s="14" t="s">
        <v>4</v>
      </c>
      <c r="AS425" s="14" t="e">
        <v>#REF!</v>
      </c>
      <c r="AT425" s="14" t="e">
        <v>#REF!</v>
      </c>
      <c r="AU425" s="14" t="e">
        <v>#REF!</v>
      </c>
      <c r="AV425" s="14" t="e">
        <v>#REF!</v>
      </c>
      <c r="AW425" s="14"/>
      <c r="AX425" s="14"/>
      <c r="AY425" s="14"/>
      <c r="AZ425" s="14"/>
      <c r="BA425" s="11"/>
      <c r="BB425" s="11"/>
      <c r="BC425" s="11"/>
      <c r="BD425" s="11"/>
      <c r="BE425" s="11"/>
      <c r="BF425" s="11"/>
      <c r="BG425" s="11"/>
      <c r="BH425" s="11"/>
      <c r="BI425" s="11"/>
      <c r="BJ425" s="11"/>
      <c r="BK425" s="11"/>
      <c r="BL425" s="11"/>
      <c r="BM425" s="11"/>
      <c r="BN425" s="11"/>
    </row>
    <row r="426" spans="1:66" s="2" customFormat="1" ht="12.75" x14ac:dyDescent="0.25">
      <c r="A426" s="9">
        <f t="shared" si="6"/>
        <v>1</v>
      </c>
      <c r="B426" s="6"/>
      <c r="C426" s="6"/>
      <c r="D426" s="24"/>
      <c r="E426" s="12" t="s">
        <v>38</v>
      </c>
      <c r="F426" s="25">
        <v>0</v>
      </c>
      <c r="G426" s="12" t="s">
        <v>1299</v>
      </c>
      <c r="H426" s="12">
        <v>0</v>
      </c>
      <c r="I426" s="12">
        <v>0</v>
      </c>
      <c r="J426" s="12">
        <v>0</v>
      </c>
      <c r="K426" s="12">
        <v>0</v>
      </c>
      <c r="L426" s="13">
        <v>0</v>
      </c>
      <c r="M426" s="13">
        <v>0</v>
      </c>
      <c r="N426" s="12">
        <v>0</v>
      </c>
      <c r="O426" s="12">
        <v>0</v>
      </c>
      <c r="P426" s="12">
        <v>0</v>
      </c>
      <c r="Q426" s="14">
        <v>0</v>
      </c>
      <c r="R426" s="15" t="e">
        <v>#REF!</v>
      </c>
      <c r="S426" s="16">
        <v>23425642.319999993</v>
      </c>
      <c r="T426" s="15" t="e">
        <v>#REF!</v>
      </c>
      <c r="U426" s="16" t="e">
        <v>#REF!</v>
      </c>
      <c r="V426" s="15" t="e">
        <v>#REF!</v>
      </c>
      <c r="W426" s="16" t="e">
        <v>#REF!</v>
      </c>
      <c r="X426" s="15" t="e">
        <v>#REF!</v>
      </c>
      <c r="Y426" s="16" t="e">
        <v>#REF!</v>
      </c>
      <c r="Z426" s="15" t="e">
        <v>#REF!</v>
      </c>
      <c r="AA426" s="16" t="e">
        <v>#REF!</v>
      </c>
      <c r="AB426" s="15" t="e">
        <v>#REF!</v>
      </c>
      <c r="AC426" s="16" t="e">
        <v>#REF!</v>
      </c>
      <c r="AD426" s="15" t="e">
        <v>#REF!</v>
      </c>
      <c r="AE426" s="16" t="e">
        <v>#REF!</v>
      </c>
      <c r="AF426" s="15" t="e">
        <v>#REF!</v>
      </c>
      <c r="AG426" s="16" t="e">
        <v>#REF!</v>
      </c>
      <c r="AH426" s="15" t="e">
        <v>#REF!</v>
      </c>
      <c r="AI426" s="15" t="s">
        <v>1300</v>
      </c>
      <c r="AJ426" s="14">
        <v>0.42865740740740743</v>
      </c>
      <c r="AK426" s="17">
        <v>44498</v>
      </c>
      <c r="AL426" s="18" t="s">
        <v>40</v>
      </c>
      <c r="AM426" s="14" t="s">
        <v>410</v>
      </c>
      <c r="AN426" s="14" t="s">
        <v>36</v>
      </c>
      <c r="AO426" s="14" t="s">
        <v>1301</v>
      </c>
      <c r="AP426" s="14" t="s">
        <v>37</v>
      </c>
      <c r="AQ426" s="14" t="s">
        <v>184</v>
      </c>
      <c r="AR426" s="14" t="s">
        <v>4</v>
      </c>
      <c r="AS426" s="14" t="e">
        <v>#REF!</v>
      </c>
      <c r="AT426" s="14" t="e">
        <v>#REF!</v>
      </c>
      <c r="AU426" s="14" t="e">
        <v>#REF!</v>
      </c>
      <c r="AV426" s="14" t="e">
        <v>#REF!</v>
      </c>
      <c r="AW426" s="14"/>
      <c r="AX426" s="14"/>
      <c r="AY426" s="14"/>
      <c r="AZ426" s="14"/>
      <c r="BA426" s="11"/>
      <c r="BB426" s="11"/>
      <c r="BC426" s="11"/>
      <c r="BD426" s="11"/>
      <c r="BE426" s="11"/>
      <c r="BF426" s="11"/>
      <c r="BG426" s="11"/>
      <c r="BH426" s="11"/>
      <c r="BI426" s="11"/>
      <c r="BJ426" s="11"/>
      <c r="BK426" s="11"/>
      <c r="BL426" s="11"/>
      <c r="BM426" s="11"/>
      <c r="BN426" s="11"/>
    </row>
    <row r="427" spans="1:66" s="2" customFormat="1" ht="12.75" x14ac:dyDescent="0.25">
      <c r="A427" s="9">
        <f t="shared" si="6"/>
        <v>1</v>
      </c>
      <c r="B427" s="6"/>
      <c r="C427" s="6"/>
      <c r="D427" s="24"/>
      <c r="E427" s="12" t="s">
        <v>38</v>
      </c>
      <c r="F427" s="25">
        <v>0</v>
      </c>
      <c r="G427" s="12" t="s">
        <v>1302</v>
      </c>
      <c r="H427" s="12">
        <v>0</v>
      </c>
      <c r="I427" s="12">
        <v>0</v>
      </c>
      <c r="J427" s="12">
        <v>0</v>
      </c>
      <c r="K427" s="12">
        <v>0</v>
      </c>
      <c r="L427" s="13">
        <v>0</v>
      </c>
      <c r="M427" s="13">
        <v>0</v>
      </c>
      <c r="N427" s="12">
        <v>0</v>
      </c>
      <c r="O427" s="12">
        <v>0</v>
      </c>
      <c r="P427" s="12">
        <v>0</v>
      </c>
      <c r="Q427" s="14">
        <v>0</v>
      </c>
      <c r="R427" s="15" t="e">
        <v>#REF!</v>
      </c>
      <c r="S427" s="16">
        <v>184759.04000000001</v>
      </c>
      <c r="T427" s="15" t="e">
        <v>#REF!</v>
      </c>
      <c r="U427" s="16" t="e">
        <v>#REF!</v>
      </c>
      <c r="V427" s="15" t="e">
        <v>#REF!</v>
      </c>
      <c r="W427" s="16" t="e">
        <v>#REF!</v>
      </c>
      <c r="X427" s="15" t="e">
        <v>#REF!</v>
      </c>
      <c r="Y427" s="16" t="e">
        <v>#REF!</v>
      </c>
      <c r="Z427" s="15" t="e">
        <v>#REF!</v>
      </c>
      <c r="AA427" s="16" t="e">
        <v>#REF!</v>
      </c>
      <c r="AB427" s="15" t="e">
        <v>#REF!</v>
      </c>
      <c r="AC427" s="16" t="e">
        <v>#REF!</v>
      </c>
      <c r="AD427" s="15" t="e">
        <v>#REF!</v>
      </c>
      <c r="AE427" s="16" t="e">
        <v>#REF!</v>
      </c>
      <c r="AF427" s="15" t="e">
        <v>#REF!</v>
      </c>
      <c r="AG427" s="16" t="e">
        <v>#REF!</v>
      </c>
      <c r="AH427" s="15" t="e">
        <v>#REF!</v>
      </c>
      <c r="AI427" s="15" t="s">
        <v>1303</v>
      </c>
      <c r="AJ427" s="14">
        <v>0.37208333333333332</v>
      </c>
      <c r="AK427" s="17">
        <v>44495</v>
      </c>
      <c r="AL427" s="18" t="s">
        <v>291</v>
      </c>
      <c r="AM427" s="14" t="s">
        <v>292</v>
      </c>
      <c r="AN427" s="14" t="s">
        <v>36</v>
      </c>
      <c r="AO427" s="14" t="s">
        <v>1304</v>
      </c>
      <c r="AP427" s="14" t="s">
        <v>37</v>
      </c>
      <c r="AQ427" s="14" t="s">
        <v>184</v>
      </c>
      <c r="AR427" s="14" t="s">
        <v>4</v>
      </c>
      <c r="AS427" s="14" t="e">
        <v>#REF!</v>
      </c>
      <c r="AT427" s="14" t="e">
        <v>#REF!</v>
      </c>
      <c r="AU427" s="14" t="e">
        <v>#REF!</v>
      </c>
      <c r="AV427" s="14" t="e">
        <v>#REF!</v>
      </c>
      <c r="AW427" s="14"/>
      <c r="AX427" s="14"/>
      <c r="AY427" s="14"/>
      <c r="AZ427" s="14"/>
      <c r="BA427" s="11"/>
      <c r="BB427" s="11"/>
      <c r="BC427" s="11"/>
      <c r="BD427" s="11"/>
      <c r="BE427" s="11"/>
      <c r="BF427" s="11"/>
      <c r="BG427" s="11"/>
      <c r="BH427" s="11"/>
      <c r="BI427" s="11"/>
      <c r="BJ427" s="11"/>
      <c r="BK427" s="11"/>
      <c r="BL427" s="11"/>
      <c r="BM427" s="11"/>
      <c r="BN427" s="11"/>
    </row>
    <row r="428" spans="1:66" s="2" customFormat="1" ht="12.75" x14ac:dyDescent="0.25">
      <c r="A428" s="9">
        <f t="shared" si="6"/>
        <v>1</v>
      </c>
      <c r="B428" s="6"/>
      <c r="C428" s="6"/>
      <c r="D428" s="24"/>
      <c r="E428" s="12" t="s">
        <v>38</v>
      </c>
      <c r="F428" s="25">
        <v>0</v>
      </c>
      <c r="G428" s="12" t="s">
        <v>1305</v>
      </c>
      <c r="H428" s="12">
        <v>0</v>
      </c>
      <c r="I428" s="12">
        <v>0</v>
      </c>
      <c r="J428" s="12">
        <v>0</v>
      </c>
      <c r="K428" s="12">
        <v>0</v>
      </c>
      <c r="L428" s="13">
        <v>0</v>
      </c>
      <c r="M428" s="13">
        <v>0</v>
      </c>
      <c r="N428" s="12">
        <v>0</v>
      </c>
      <c r="O428" s="12">
        <v>0</v>
      </c>
      <c r="P428" s="12">
        <v>0</v>
      </c>
      <c r="Q428" s="14">
        <v>0</v>
      </c>
      <c r="R428" s="15" t="e">
        <v>#REF!</v>
      </c>
      <c r="S428" s="16">
        <v>6637347.4799999986</v>
      </c>
      <c r="T428" s="15" t="e">
        <v>#REF!</v>
      </c>
      <c r="U428" s="16" t="e">
        <v>#REF!</v>
      </c>
      <c r="V428" s="15" t="e">
        <v>#REF!</v>
      </c>
      <c r="W428" s="16" t="e">
        <v>#REF!</v>
      </c>
      <c r="X428" s="15" t="e">
        <v>#REF!</v>
      </c>
      <c r="Y428" s="16" t="e">
        <v>#REF!</v>
      </c>
      <c r="Z428" s="15" t="e">
        <v>#REF!</v>
      </c>
      <c r="AA428" s="16" t="e">
        <v>#REF!</v>
      </c>
      <c r="AB428" s="15" t="e">
        <v>#REF!</v>
      </c>
      <c r="AC428" s="16" t="e">
        <v>#REF!</v>
      </c>
      <c r="AD428" s="15" t="e">
        <v>#REF!</v>
      </c>
      <c r="AE428" s="16" t="e">
        <v>#REF!</v>
      </c>
      <c r="AF428" s="15" t="e">
        <v>#REF!</v>
      </c>
      <c r="AG428" s="16" t="e">
        <v>#REF!</v>
      </c>
      <c r="AH428" s="15" t="e">
        <v>#REF!</v>
      </c>
      <c r="AI428" s="15" t="s">
        <v>1306</v>
      </c>
      <c r="AJ428" s="14">
        <v>0.63927083333333334</v>
      </c>
      <c r="AK428" s="17">
        <v>44510</v>
      </c>
      <c r="AL428" s="18" t="s">
        <v>291</v>
      </c>
      <c r="AM428" s="14" t="s">
        <v>292</v>
      </c>
      <c r="AN428" s="14" t="s">
        <v>36</v>
      </c>
      <c r="AO428" s="14" t="s">
        <v>1307</v>
      </c>
      <c r="AP428" s="14" t="s">
        <v>37</v>
      </c>
      <c r="AQ428" s="14" t="s">
        <v>184</v>
      </c>
      <c r="AR428" s="14" t="s">
        <v>4</v>
      </c>
      <c r="AS428" s="14" t="e">
        <v>#REF!</v>
      </c>
      <c r="AT428" s="14" t="e">
        <v>#REF!</v>
      </c>
      <c r="AU428" s="14" t="e">
        <v>#REF!</v>
      </c>
      <c r="AV428" s="14" t="e">
        <v>#REF!</v>
      </c>
      <c r="AW428" s="14"/>
      <c r="AX428" s="14"/>
      <c r="AY428" s="14"/>
      <c r="AZ428" s="14"/>
      <c r="BA428" s="11"/>
      <c r="BB428" s="11"/>
      <c r="BC428" s="11"/>
      <c r="BD428" s="11"/>
      <c r="BE428" s="11"/>
      <c r="BF428" s="11"/>
      <c r="BG428" s="11"/>
      <c r="BH428" s="11"/>
      <c r="BI428" s="11"/>
      <c r="BJ428" s="11"/>
      <c r="BK428" s="11"/>
      <c r="BL428" s="11"/>
      <c r="BM428" s="11"/>
      <c r="BN428" s="11"/>
    </row>
    <row r="429" spans="1:66" s="2" customFormat="1" ht="12.75" x14ac:dyDescent="0.25">
      <c r="A429" s="9">
        <f t="shared" si="6"/>
        <v>1</v>
      </c>
      <c r="B429" s="6"/>
      <c r="C429" s="6"/>
      <c r="D429" s="24"/>
      <c r="E429" s="12" t="s">
        <v>38</v>
      </c>
      <c r="F429" s="25">
        <v>0</v>
      </c>
      <c r="G429" s="12" t="s">
        <v>1308</v>
      </c>
      <c r="H429" s="12">
        <v>0</v>
      </c>
      <c r="I429" s="12">
        <v>0</v>
      </c>
      <c r="J429" s="12">
        <v>0</v>
      </c>
      <c r="K429" s="12">
        <v>0</v>
      </c>
      <c r="L429" s="13">
        <v>0</v>
      </c>
      <c r="M429" s="13">
        <v>0</v>
      </c>
      <c r="N429" s="12">
        <v>0</v>
      </c>
      <c r="O429" s="12">
        <v>0</v>
      </c>
      <c r="P429" s="12">
        <v>0</v>
      </c>
      <c r="Q429" s="14">
        <v>0</v>
      </c>
      <c r="R429" s="15" t="e">
        <v>#REF!</v>
      </c>
      <c r="S429" s="16">
        <v>8636670.9300000016</v>
      </c>
      <c r="T429" s="15" t="e">
        <v>#REF!</v>
      </c>
      <c r="U429" s="16" t="e">
        <v>#REF!</v>
      </c>
      <c r="V429" s="15" t="e">
        <v>#REF!</v>
      </c>
      <c r="W429" s="16" t="e">
        <v>#REF!</v>
      </c>
      <c r="X429" s="15" t="e">
        <v>#REF!</v>
      </c>
      <c r="Y429" s="16" t="e">
        <v>#REF!</v>
      </c>
      <c r="Z429" s="15" t="e">
        <v>#REF!</v>
      </c>
      <c r="AA429" s="16" t="e">
        <v>#REF!</v>
      </c>
      <c r="AB429" s="15" t="e">
        <v>#REF!</v>
      </c>
      <c r="AC429" s="16" t="e">
        <v>#REF!</v>
      </c>
      <c r="AD429" s="15" t="e">
        <v>#REF!</v>
      </c>
      <c r="AE429" s="16" t="e">
        <v>#REF!</v>
      </c>
      <c r="AF429" s="15" t="e">
        <v>#REF!</v>
      </c>
      <c r="AG429" s="16" t="e">
        <v>#REF!</v>
      </c>
      <c r="AH429" s="15" t="e">
        <v>#REF!</v>
      </c>
      <c r="AI429" s="15" t="s">
        <v>1309</v>
      </c>
      <c r="AJ429" s="14">
        <v>0.6350231481481482</v>
      </c>
      <c r="AK429" s="17">
        <v>44510</v>
      </c>
      <c r="AL429" s="18" t="s">
        <v>291</v>
      </c>
      <c r="AM429" s="14" t="s">
        <v>292</v>
      </c>
      <c r="AN429" s="14" t="s">
        <v>36</v>
      </c>
      <c r="AO429" s="14" t="s">
        <v>1310</v>
      </c>
      <c r="AP429" s="14" t="s">
        <v>37</v>
      </c>
      <c r="AQ429" s="14" t="s">
        <v>184</v>
      </c>
      <c r="AR429" s="14" t="s">
        <v>4</v>
      </c>
      <c r="AS429" s="14" t="e">
        <v>#REF!</v>
      </c>
      <c r="AT429" s="14" t="e">
        <v>#REF!</v>
      </c>
      <c r="AU429" s="14" t="e">
        <v>#REF!</v>
      </c>
      <c r="AV429" s="14" t="e">
        <v>#REF!</v>
      </c>
      <c r="AW429" s="14"/>
      <c r="AX429" s="14"/>
      <c r="AY429" s="14"/>
      <c r="AZ429" s="14"/>
      <c r="BA429" s="11"/>
      <c r="BB429" s="11"/>
      <c r="BC429" s="11"/>
      <c r="BD429" s="11"/>
      <c r="BE429" s="11"/>
      <c r="BF429" s="11"/>
      <c r="BG429" s="11"/>
      <c r="BH429" s="11"/>
      <c r="BI429" s="11"/>
      <c r="BJ429" s="11"/>
      <c r="BK429" s="11"/>
      <c r="BL429" s="11"/>
      <c r="BM429" s="11"/>
      <c r="BN429" s="11"/>
    </row>
    <row r="430" spans="1:66" s="2" customFormat="1" ht="12.75" x14ac:dyDescent="0.25">
      <c r="A430" s="9">
        <f t="shared" si="6"/>
        <v>1</v>
      </c>
      <c r="B430" s="6"/>
      <c r="C430" s="6"/>
      <c r="D430" s="24"/>
      <c r="E430" s="12" t="s">
        <v>38</v>
      </c>
      <c r="F430" s="25">
        <v>0</v>
      </c>
      <c r="G430" s="12" t="s">
        <v>1311</v>
      </c>
      <c r="H430" s="12">
        <v>0</v>
      </c>
      <c r="I430" s="12">
        <v>0</v>
      </c>
      <c r="J430" s="12">
        <v>0</v>
      </c>
      <c r="K430" s="12">
        <v>0</v>
      </c>
      <c r="L430" s="13">
        <v>0</v>
      </c>
      <c r="M430" s="13">
        <v>0</v>
      </c>
      <c r="N430" s="12">
        <v>0</v>
      </c>
      <c r="O430" s="12">
        <v>0</v>
      </c>
      <c r="P430" s="12">
        <v>0</v>
      </c>
      <c r="Q430" s="14">
        <v>0</v>
      </c>
      <c r="R430" s="15" t="e">
        <v>#REF!</v>
      </c>
      <c r="S430" s="16">
        <v>162840.54999999999</v>
      </c>
      <c r="T430" s="15" t="e">
        <v>#REF!</v>
      </c>
      <c r="U430" s="16" t="e">
        <v>#REF!</v>
      </c>
      <c r="V430" s="15" t="e">
        <v>#REF!</v>
      </c>
      <c r="W430" s="16" t="e">
        <v>#REF!</v>
      </c>
      <c r="X430" s="15" t="e">
        <v>#REF!</v>
      </c>
      <c r="Y430" s="16" t="e">
        <v>#REF!</v>
      </c>
      <c r="Z430" s="15" t="e">
        <v>#REF!</v>
      </c>
      <c r="AA430" s="16" t="e">
        <v>#REF!</v>
      </c>
      <c r="AB430" s="15" t="e">
        <v>#REF!</v>
      </c>
      <c r="AC430" s="16" t="e">
        <v>#REF!</v>
      </c>
      <c r="AD430" s="15" t="e">
        <v>#REF!</v>
      </c>
      <c r="AE430" s="16" t="e">
        <v>#REF!</v>
      </c>
      <c r="AF430" s="15" t="e">
        <v>#REF!</v>
      </c>
      <c r="AG430" s="16" t="e">
        <v>#REF!</v>
      </c>
      <c r="AH430" s="15" t="e">
        <v>#REF!</v>
      </c>
      <c r="AI430" s="15" t="s">
        <v>1312</v>
      </c>
      <c r="AJ430" s="14">
        <v>0.37858796296296293</v>
      </c>
      <c r="AK430" s="17">
        <v>44503</v>
      </c>
      <c r="AL430" s="18" t="s">
        <v>291</v>
      </c>
      <c r="AM430" s="14" t="s">
        <v>292</v>
      </c>
      <c r="AN430" s="14" t="s">
        <v>36</v>
      </c>
      <c r="AO430" s="14" t="s">
        <v>1313</v>
      </c>
      <c r="AP430" s="14" t="s">
        <v>37</v>
      </c>
      <c r="AQ430" s="14" t="s">
        <v>184</v>
      </c>
      <c r="AR430" s="14" t="s">
        <v>4</v>
      </c>
      <c r="AS430" s="14" t="e">
        <v>#REF!</v>
      </c>
      <c r="AT430" s="14" t="e">
        <v>#REF!</v>
      </c>
      <c r="AU430" s="14" t="e">
        <v>#REF!</v>
      </c>
      <c r="AV430" s="14" t="e">
        <v>#REF!</v>
      </c>
      <c r="AW430" s="14"/>
      <c r="AX430" s="14"/>
      <c r="AY430" s="14"/>
      <c r="AZ430" s="14"/>
      <c r="BA430" s="11"/>
      <c r="BB430" s="11"/>
      <c r="BC430" s="11"/>
      <c r="BD430" s="11"/>
      <c r="BE430" s="11"/>
      <c r="BF430" s="11"/>
      <c r="BG430" s="11"/>
      <c r="BH430" s="11"/>
      <c r="BI430" s="11"/>
      <c r="BJ430" s="11"/>
      <c r="BK430" s="11"/>
      <c r="BL430" s="11"/>
      <c r="BM430" s="11"/>
      <c r="BN430" s="11"/>
    </row>
    <row r="431" spans="1:66" s="2" customFormat="1" ht="12.75" x14ac:dyDescent="0.25">
      <c r="A431" s="9">
        <f t="shared" si="6"/>
        <v>1</v>
      </c>
      <c r="B431" s="6"/>
      <c r="C431" s="6"/>
      <c r="D431" s="24"/>
      <c r="E431" s="12" t="s">
        <v>38</v>
      </c>
      <c r="F431" s="25">
        <v>0</v>
      </c>
      <c r="G431" s="12" t="s">
        <v>1314</v>
      </c>
      <c r="H431" s="12">
        <v>0</v>
      </c>
      <c r="I431" s="12">
        <v>0</v>
      </c>
      <c r="J431" s="12">
        <v>0</v>
      </c>
      <c r="K431" s="12">
        <v>0</v>
      </c>
      <c r="L431" s="13">
        <v>0</v>
      </c>
      <c r="M431" s="13">
        <v>0</v>
      </c>
      <c r="N431" s="12">
        <v>0</v>
      </c>
      <c r="O431" s="12">
        <v>0</v>
      </c>
      <c r="P431" s="12">
        <v>0</v>
      </c>
      <c r="Q431" s="14">
        <v>0</v>
      </c>
      <c r="R431" s="15" t="e">
        <v>#REF!</v>
      </c>
      <c r="S431" s="16">
        <v>215432.21000000002</v>
      </c>
      <c r="T431" s="15" t="e">
        <v>#REF!</v>
      </c>
      <c r="U431" s="16" t="e">
        <v>#REF!</v>
      </c>
      <c r="V431" s="15" t="e">
        <v>#REF!</v>
      </c>
      <c r="W431" s="16" t="e">
        <v>#REF!</v>
      </c>
      <c r="X431" s="15" t="e">
        <v>#REF!</v>
      </c>
      <c r="Y431" s="16" t="e">
        <v>#REF!</v>
      </c>
      <c r="Z431" s="15" t="e">
        <v>#REF!</v>
      </c>
      <c r="AA431" s="16" t="e">
        <v>#REF!</v>
      </c>
      <c r="AB431" s="15" t="e">
        <v>#REF!</v>
      </c>
      <c r="AC431" s="16" t="e">
        <v>#REF!</v>
      </c>
      <c r="AD431" s="15" t="e">
        <v>#REF!</v>
      </c>
      <c r="AE431" s="16" t="e">
        <v>#REF!</v>
      </c>
      <c r="AF431" s="15" t="e">
        <v>#REF!</v>
      </c>
      <c r="AG431" s="16" t="e">
        <v>#REF!</v>
      </c>
      <c r="AH431" s="15" t="e">
        <v>#REF!</v>
      </c>
      <c r="AI431" s="15" t="s">
        <v>1315</v>
      </c>
      <c r="AJ431" s="14">
        <v>0.68584490740740733</v>
      </c>
      <c r="AK431" s="17">
        <v>44523</v>
      </c>
      <c r="AL431" s="18" t="s">
        <v>291</v>
      </c>
      <c r="AM431" s="14" t="s">
        <v>292</v>
      </c>
      <c r="AN431" s="14" t="s">
        <v>36</v>
      </c>
      <c r="AO431" s="14" t="s">
        <v>1316</v>
      </c>
      <c r="AP431" s="14" t="s">
        <v>37</v>
      </c>
      <c r="AQ431" s="14" t="s">
        <v>184</v>
      </c>
      <c r="AR431" s="14" t="s">
        <v>4</v>
      </c>
      <c r="AS431" s="14" t="e">
        <v>#REF!</v>
      </c>
      <c r="AT431" s="14" t="e">
        <v>#REF!</v>
      </c>
      <c r="AU431" s="14" t="e">
        <v>#REF!</v>
      </c>
      <c r="AV431" s="14" t="e">
        <v>#REF!</v>
      </c>
      <c r="AW431" s="14"/>
      <c r="AX431" s="14"/>
      <c r="AY431" s="14"/>
      <c r="AZ431" s="14"/>
      <c r="BA431" s="11"/>
      <c r="BB431" s="11"/>
      <c r="BC431" s="11"/>
      <c r="BD431" s="11"/>
      <c r="BE431" s="11"/>
      <c r="BF431" s="11"/>
      <c r="BG431" s="11"/>
      <c r="BH431" s="11"/>
      <c r="BI431" s="11"/>
      <c r="BJ431" s="11"/>
      <c r="BK431" s="11"/>
      <c r="BL431" s="11"/>
      <c r="BM431" s="11"/>
      <c r="BN431" s="11"/>
    </row>
    <row r="432" spans="1:66" s="2" customFormat="1" ht="12.75" x14ac:dyDescent="0.25">
      <c r="A432" s="9">
        <f t="shared" si="6"/>
        <v>1</v>
      </c>
      <c r="B432" s="6"/>
      <c r="C432" s="6"/>
      <c r="D432" s="24"/>
      <c r="E432" s="12" t="s">
        <v>38</v>
      </c>
      <c r="F432" s="25">
        <v>0</v>
      </c>
      <c r="G432" s="12" t="s">
        <v>1317</v>
      </c>
      <c r="H432" s="12">
        <v>0</v>
      </c>
      <c r="I432" s="12">
        <v>0</v>
      </c>
      <c r="J432" s="12">
        <v>0</v>
      </c>
      <c r="K432" s="12">
        <v>0</v>
      </c>
      <c r="L432" s="13">
        <v>0</v>
      </c>
      <c r="M432" s="13">
        <v>0</v>
      </c>
      <c r="N432" s="12">
        <v>0</v>
      </c>
      <c r="O432" s="12">
        <v>0</v>
      </c>
      <c r="P432" s="12">
        <v>0</v>
      </c>
      <c r="Q432" s="14">
        <v>0</v>
      </c>
      <c r="R432" s="15" t="e">
        <v>#REF!</v>
      </c>
      <c r="S432" s="16">
        <v>79143.83</v>
      </c>
      <c r="T432" s="15" t="e">
        <v>#REF!</v>
      </c>
      <c r="U432" s="16" t="e">
        <v>#REF!</v>
      </c>
      <c r="V432" s="15" t="e">
        <v>#REF!</v>
      </c>
      <c r="W432" s="16" t="e">
        <v>#REF!</v>
      </c>
      <c r="X432" s="15" t="e">
        <v>#REF!</v>
      </c>
      <c r="Y432" s="16" t="e">
        <v>#REF!</v>
      </c>
      <c r="Z432" s="15" t="e">
        <v>#REF!</v>
      </c>
      <c r="AA432" s="16" t="e">
        <v>#REF!</v>
      </c>
      <c r="AB432" s="15" t="e">
        <v>#REF!</v>
      </c>
      <c r="AC432" s="16" t="e">
        <v>#REF!</v>
      </c>
      <c r="AD432" s="15" t="e">
        <v>#REF!</v>
      </c>
      <c r="AE432" s="16" t="e">
        <v>#REF!</v>
      </c>
      <c r="AF432" s="15" t="e">
        <v>#REF!</v>
      </c>
      <c r="AG432" s="16" t="e">
        <v>#REF!</v>
      </c>
      <c r="AH432" s="15" t="e">
        <v>#REF!</v>
      </c>
      <c r="AI432" s="15" t="s">
        <v>1318</v>
      </c>
      <c r="AJ432" s="14">
        <v>0.66501157407407407</v>
      </c>
      <c r="AK432" s="17">
        <v>44524</v>
      </c>
      <c r="AL432" s="18" t="s">
        <v>291</v>
      </c>
      <c r="AM432" s="14" t="s">
        <v>292</v>
      </c>
      <c r="AN432" s="14" t="s">
        <v>36</v>
      </c>
      <c r="AO432" s="14" t="s">
        <v>1319</v>
      </c>
      <c r="AP432" s="14" t="s">
        <v>37</v>
      </c>
      <c r="AQ432" s="14" t="s">
        <v>184</v>
      </c>
      <c r="AR432" s="14" t="s">
        <v>4</v>
      </c>
      <c r="AS432" s="14" t="e">
        <v>#REF!</v>
      </c>
      <c r="AT432" s="14" t="e">
        <v>#REF!</v>
      </c>
      <c r="AU432" s="14" t="e">
        <v>#REF!</v>
      </c>
      <c r="AV432" s="14" t="e">
        <v>#REF!</v>
      </c>
      <c r="AW432" s="14"/>
      <c r="AX432" s="14"/>
      <c r="AY432" s="14"/>
      <c r="AZ432" s="14"/>
      <c r="BA432" s="11"/>
      <c r="BB432" s="11"/>
      <c r="BC432" s="11"/>
      <c r="BD432" s="11"/>
      <c r="BE432" s="11"/>
      <c r="BF432" s="11"/>
      <c r="BG432" s="11"/>
      <c r="BH432" s="11"/>
      <c r="BI432" s="11"/>
      <c r="BJ432" s="11"/>
      <c r="BK432" s="11"/>
      <c r="BL432" s="11"/>
      <c r="BM432" s="11"/>
      <c r="BN432" s="11"/>
    </row>
    <row r="433" spans="1:66" s="2" customFormat="1" ht="12.75" x14ac:dyDescent="0.25">
      <c r="A433" s="9">
        <f>IF(G433&gt;0,1,0)</f>
        <v>1</v>
      </c>
      <c r="B433" s="6"/>
      <c r="C433" s="6"/>
      <c r="D433" s="24"/>
      <c r="E433" s="12" t="s">
        <v>38</v>
      </c>
      <c r="F433" s="25">
        <v>0</v>
      </c>
      <c r="G433" s="12" t="s">
        <v>1320</v>
      </c>
      <c r="H433" s="12">
        <v>0</v>
      </c>
      <c r="I433" s="12">
        <v>0</v>
      </c>
      <c r="J433" s="12">
        <v>0</v>
      </c>
      <c r="K433" s="12">
        <v>0</v>
      </c>
      <c r="L433" s="13">
        <v>0</v>
      </c>
      <c r="M433" s="13">
        <v>0</v>
      </c>
      <c r="N433" s="12">
        <v>0</v>
      </c>
      <c r="O433" s="12">
        <v>0</v>
      </c>
      <c r="P433" s="12">
        <v>0</v>
      </c>
      <c r="Q433" s="14">
        <v>0</v>
      </c>
      <c r="R433" s="15" t="e">
        <v>#REF!</v>
      </c>
      <c r="S433" s="16">
        <v>210870.5</v>
      </c>
      <c r="T433" s="15" t="e">
        <v>#REF!</v>
      </c>
      <c r="U433" s="16" t="e">
        <v>#REF!</v>
      </c>
      <c r="V433" s="15" t="e">
        <v>#REF!</v>
      </c>
      <c r="W433" s="16" t="e">
        <v>#REF!</v>
      </c>
      <c r="X433" s="15" t="e">
        <v>#REF!</v>
      </c>
      <c r="Y433" s="16" t="e">
        <v>#REF!</v>
      </c>
      <c r="Z433" s="15" t="e">
        <v>#REF!</v>
      </c>
      <c r="AA433" s="16" t="e">
        <v>#REF!</v>
      </c>
      <c r="AB433" s="15" t="e">
        <v>#REF!</v>
      </c>
      <c r="AC433" s="16" t="e">
        <v>#REF!</v>
      </c>
      <c r="AD433" s="15" t="e">
        <v>#REF!</v>
      </c>
      <c r="AE433" s="16" t="e">
        <v>#REF!</v>
      </c>
      <c r="AF433" s="15" t="e">
        <v>#REF!</v>
      </c>
      <c r="AG433" s="16" t="e">
        <v>#REF!</v>
      </c>
      <c r="AH433" s="15" t="e">
        <v>#REF!</v>
      </c>
      <c r="AI433" s="15" t="s">
        <v>1321</v>
      </c>
      <c r="AJ433" s="14">
        <v>0.68863425925925925</v>
      </c>
      <c r="AK433" s="17">
        <v>44539</v>
      </c>
      <c r="AL433" s="18" t="s">
        <v>291</v>
      </c>
      <c r="AM433" s="14" t="s">
        <v>292</v>
      </c>
      <c r="AN433" s="14" t="s">
        <v>36</v>
      </c>
      <c r="AO433" s="14" t="s">
        <v>1322</v>
      </c>
      <c r="AP433" s="14" t="s">
        <v>37</v>
      </c>
      <c r="AQ433" s="14" t="s">
        <v>184</v>
      </c>
      <c r="AR433" s="14" t="s">
        <v>4</v>
      </c>
      <c r="AS433" s="14" t="e">
        <v>#REF!</v>
      </c>
      <c r="AT433" s="14" t="e">
        <v>#REF!</v>
      </c>
      <c r="AU433" s="14" t="e">
        <v>#REF!</v>
      </c>
      <c r="AV433" s="14" t="e">
        <v>#REF!</v>
      </c>
      <c r="AW433" s="14"/>
      <c r="AX433" s="14"/>
      <c r="AY433" s="14"/>
      <c r="AZ433" s="14"/>
      <c r="BA433" s="11"/>
      <c r="BB433" s="11"/>
      <c r="BC433" s="11"/>
      <c r="BD433" s="11"/>
      <c r="BE433" s="11"/>
      <c r="BF433" s="11"/>
      <c r="BG433" s="11"/>
      <c r="BH433" s="11"/>
      <c r="BI433" s="11"/>
      <c r="BJ433" s="11"/>
      <c r="BK433" s="11"/>
      <c r="BL433" s="11"/>
      <c r="BM433" s="11"/>
      <c r="BN433" s="11"/>
    </row>
    <row r="434" spans="1:66" s="2" customFormat="1" ht="12.75" x14ac:dyDescent="0.25">
      <c r="A434" s="9">
        <f>IF(G434&gt;0,1,0)</f>
        <v>1</v>
      </c>
      <c r="B434" s="6"/>
      <c r="C434" s="6"/>
      <c r="D434" s="24"/>
      <c r="E434" s="12"/>
      <c r="F434" s="25"/>
      <c r="G434" s="12" t="s">
        <v>1323</v>
      </c>
      <c r="H434" s="12"/>
      <c r="I434" s="12"/>
      <c r="J434" s="12"/>
      <c r="K434" s="12"/>
      <c r="L434" s="13"/>
      <c r="M434" s="13"/>
      <c r="N434" s="12"/>
      <c r="O434" s="12"/>
      <c r="P434" s="12"/>
      <c r="Q434" s="14"/>
      <c r="R434" s="15"/>
      <c r="S434" s="16">
        <v>146667.85</v>
      </c>
      <c r="T434" s="15"/>
      <c r="U434" s="16"/>
      <c r="V434" s="15"/>
      <c r="W434" s="16"/>
      <c r="X434" s="15"/>
      <c r="Y434" s="16"/>
      <c r="Z434" s="15"/>
      <c r="AA434" s="16"/>
      <c r="AB434" s="15"/>
      <c r="AC434" s="16"/>
      <c r="AD434" s="15"/>
      <c r="AE434" s="16"/>
      <c r="AF434" s="15"/>
      <c r="AG434" s="16"/>
      <c r="AH434" s="15"/>
      <c r="AI434" s="15" t="s">
        <v>1324</v>
      </c>
      <c r="AJ434" s="14"/>
      <c r="AK434" s="17"/>
      <c r="AL434" s="18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14"/>
      <c r="AX434" s="14"/>
      <c r="AY434" s="14"/>
      <c r="AZ434" s="14"/>
      <c r="BA434" s="11"/>
      <c r="BB434" s="11"/>
      <c r="BC434" s="11"/>
      <c r="BD434" s="11"/>
      <c r="BE434" s="11"/>
      <c r="BF434" s="11"/>
      <c r="BG434" s="11"/>
      <c r="BH434" s="11"/>
      <c r="BI434" s="11"/>
      <c r="BJ434" s="11"/>
      <c r="BK434" s="11"/>
      <c r="BL434" s="11"/>
      <c r="BM434" s="11"/>
      <c r="BN434" s="11"/>
    </row>
    <row r="435" spans="1:66" s="2" customFormat="1" ht="12.75" x14ac:dyDescent="0.25">
      <c r="A435" s="9">
        <f t="shared" ref="A435:A449" si="7">IF(G435&gt;0,1,0)</f>
        <v>1</v>
      </c>
      <c r="B435" s="6"/>
      <c r="C435" s="6"/>
      <c r="D435" s="24"/>
      <c r="E435" s="12"/>
      <c r="F435" s="25"/>
      <c r="G435" s="12" t="s">
        <v>1325</v>
      </c>
      <c r="H435" s="12"/>
      <c r="I435" s="12"/>
      <c r="J435" s="12"/>
      <c r="K435" s="12"/>
      <c r="L435" s="13"/>
      <c r="M435" s="13"/>
      <c r="N435" s="12"/>
      <c r="O435" s="12"/>
      <c r="P435" s="12"/>
      <c r="Q435" s="14"/>
      <c r="R435" s="15"/>
      <c r="S435" s="16">
        <v>8636670.9300000016</v>
      </c>
      <c r="T435" s="15"/>
      <c r="U435" s="16"/>
      <c r="V435" s="15"/>
      <c r="W435" s="16"/>
      <c r="X435" s="15"/>
      <c r="Y435" s="16"/>
      <c r="Z435" s="15"/>
      <c r="AA435" s="16"/>
      <c r="AB435" s="15"/>
      <c r="AC435" s="16"/>
      <c r="AD435" s="15"/>
      <c r="AE435" s="16"/>
      <c r="AF435" s="15"/>
      <c r="AG435" s="16"/>
      <c r="AH435" s="15"/>
      <c r="AI435" s="15" t="s">
        <v>1326</v>
      </c>
      <c r="AJ435" s="14"/>
      <c r="AK435" s="17"/>
      <c r="AL435" s="18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14"/>
      <c r="AX435" s="14"/>
      <c r="AY435" s="14"/>
      <c r="AZ435" s="14"/>
      <c r="BA435" s="11"/>
      <c r="BB435" s="11"/>
      <c r="BC435" s="11"/>
      <c r="BD435" s="11"/>
      <c r="BE435" s="11"/>
      <c r="BF435" s="11"/>
      <c r="BG435" s="11"/>
      <c r="BH435" s="11"/>
      <c r="BI435" s="11"/>
      <c r="BJ435" s="11"/>
      <c r="BK435" s="11"/>
      <c r="BL435" s="11"/>
      <c r="BM435" s="11"/>
      <c r="BN435" s="11"/>
    </row>
    <row r="436" spans="1:66" s="2" customFormat="1" ht="12.75" x14ac:dyDescent="0.25">
      <c r="A436" s="9">
        <f t="shared" si="7"/>
        <v>1</v>
      </c>
      <c r="B436" s="6"/>
      <c r="C436" s="6"/>
      <c r="D436" s="24"/>
      <c r="E436" s="12"/>
      <c r="F436" s="25"/>
      <c r="G436" s="12" t="s">
        <v>1327</v>
      </c>
      <c r="H436" s="12"/>
      <c r="I436" s="12"/>
      <c r="J436" s="12"/>
      <c r="K436" s="12"/>
      <c r="L436" s="13"/>
      <c r="M436" s="13"/>
      <c r="N436" s="12"/>
      <c r="O436" s="12"/>
      <c r="P436" s="12"/>
      <c r="Q436" s="14"/>
      <c r="R436" s="15"/>
      <c r="S436" s="16">
        <v>4324.79</v>
      </c>
      <c r="T436" s="15"/>
      <c r="U436" s="16"/>
      <c r="V436" s="15"/>
      <c r="W436" s="16"/>
      <c r="X436" s="15"/>
      <c r="Y436" s="16"/>
      <c r="Z436" s="15"/>
      <c r="AA436" s="16"/>
      <c r="AB436" s="15"/>
      <c r="AC436" s="16"/>
      <c r="AD436" s="15"/>
      <c r="AE436" s="16"/>
      <c r="AF436" s="15"/>
      <c r="AG436" s="16"/>
      <c r="AH436" s="15"/>
      <c r="AI436" s="15" t="s">
        <v>1328</v>
      </c>
      <c r="AJ436" s="14"/>
      <c r="AK436" s="17"/>
      <c r="AL436" s="18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14"/>
      <c r="AX436" s="14"/>
      <c r="AY436" s="14"/>
      <c r="AZ436" s="14"/>
      <c r="BA436" s="11"/>
      <c r="BB436" s="11"/>
      <c r="BC436" s="11"/>
      <c r="BD436" s="11"/>
      <c r="BE436" s="11"/>
      <c r="BF436" s="11"/>
      <c r="BG436" s="11"/>
      <c r="BH436" s="11"/>
      <c r="BI436" s="11"/>
      <c r="BJ436" s="11"/>
      <c r="BK436" s="11"/>
      <c r="BL436" s="11"/>
      <c r="BM436" s="11"/>
      <c r="BN436" s="11"/>
    </row>
    <row r="437" spans="1:66" s="2" customFormat="1" ht="12.75" x14ac:dyDescent="0.25">
      <c r="A437" s="9">
        <f t="shared" si="7"/>
        <v>1</v>
      </c>
      <c r="B437" s="6"/>
      <c r="C437" s="6"/>
      <c r="D437" s="24"/>
      <c r="E437" s="12"/>
      <c r="F437" s="25"/>
      <c r="G437" s="12" t="s">
        <v>1329</v>
      </c>
      <c r="H437" s="12"/>
      <c r="I437" s="12"/>
      <c r="J437" s="12"/>
      <c r="K437" s="12"/>
      <c r="L437" s="13"/>
      <c r="M437" s="13"/>
      <c r="N437" s="12"/>
      <c r="O437" s="12"/>
      <c r="P437" s="12"/>
      <c r="Q437" s="14"/>
      <c r="R437" s="15"/>
      <c r="S437" s="16">
        <v>2440</v>
      </c>
      <c r="T437" s="15"/>
      <c r="U437" s="16"/>
      <c r="V437" s="15"/>
      <c r="W437" s="16"/>
      <c r="X437" s="15"/>
      <c r="Y437" s="16"/>
      <c r="Z437" s="15"/>
      <c r="AA437" s="16"/>
      <c r="AB437" s="15"/>
      <c r="AC437" s="16"/>
      <c r="AD437" s="15"/>
      <c r="AE437" s="16"/>
      <c r="AF437" s="15"/>
      <c r="AG437" s="16"/>
      <c r="AH437" s="15"/>
      <c r="AI437" s="15" t="s">
        <v>1330</v>
      </c>
      <c r="AJ437" s="14"/>
      <c r="AK437" s="17"/>
      <c r="AL437" s="18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14"/>
      <c r="AX437" s="14"/>
      <c r="AY437" s="14"/>
      <c r="AZ437" s="14"/>
      <c r="BA437" s="11"/>
      <c r="BB437" s="11"/>
      <c r="BC437" s="11"/>
      <c r="BD437" s="11"/>
      <c r="BE437" s="11"/>
      <c r="BF437" s="11"/>
      <c r="BG437" s="11"/>
      <c r="BH437" s="11"/>
      <c r="BI437" s="11"/>
      <c r="BJ437" s="11"/>
      <c r="BK437" s="11"/>
      <c r="BL437" s="11"/>
      <c r="BM437" s="11"/>
      <c r="BN437" s="11"/>
    </row>
    <row r="438" spans="1:66" s="2" customFormat="1" ht="12.75" x14ac:dyDescent="0.25">
      <c r="A438" s="9">
        <f t="shared" si="7"/>
        <v>1</v>
      </c>
      <c r="B438" s="6"/>
      <c r="C438" s="6"/>
      <c r="D438" s="24"/>
      <c r="E438" s="12"/>
      <c r="F438" s="25"/>
      <c r="G438" s="12" t="s">
        <v>1331</v>
      </c>
      <c r="H438" s="12"/>
      <c r="I438" s="12"/>
      <c r="J438" s="12"/>
      <c r="K438" s="12"/>
      <c r="L438" s="13"/>
      <c r="M438" s="13"/>
      <c r="N438" s="12"/>
      <c r="O438" s="12"/>
      <c r="P438" s="12"/>
      <c r="Q438" s="14"/>
      <c r="R438" s="15"/>
      <c r="S438" s="16">
        <v>5057</v>
      </c>
      <c r="T438" s="15"/>
      <c r="U438" s="16"/>
      <c r="V438" s="15"/>
      <c r="W438" s="16"/>
      <c r="X438" s="15"/>
      <c r="Y438" s="16"/>
      <c r="Z438" s="15"/>
      <c r="AA438" s="16"/>
      <c r="AB438" s="15"/>
      <c r="AC438" s="16"/>
      <c r="AD438" s="15"/>
      <c r="AE438" s="16"/>
      <c r="AF438" s="15"/>
      <c r="AG438" s="16"/>
      <c r="AH438" s="15"/>
      <c r="AI438" s="15" t="s">
        <v>1332</v>
      </c>
      <c r="AJ438" s="14"/>
      <c r="AK438" s="17"/>
      <c r="AL438" s="18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14"/>
      <c r="AX438" s="14"/>
      <c r="AY438" s="14"/>
      <c r="AZ438" s="14"/>
      <c r="BA438" s="11"/>
      <c r="BB438" s="11"/>
      <c r="BC438" s="11"/>
      <c r="BD438" s="11"/>
      <c r="BE438" s="11"/>
      <c r="BF438" s="11"/>
      <c r="BG438" s="11"/>
      <c r="BH438" s="11"/>
      <c r="BI438" s="11"/>
      <c r="BJ438" s="11"/>
      <c r="BK438" s="11"/>
      <c r="BL438" s="11"/>
      <c r="BM438" s="11"/>
      <c r="BN438" s="11"/>
    </row>
    <row r="439" spans="1:66" s="2" customFormat="1" ht="12.75" x14ac:dyDescent="0.25">
      <c r="A439" s="9">
        <f t="shared" si="7"/>
        <v>1</v>
      </c>
      <c r="B439" s="6"/>
      <c r="C439" s="6"/>
      <c r="D439" s="24"/>
      <c r="E439" s="12"/>
      <c r="F439" s="25"/>
      <c r="G439" s="12" t="s">
        <v>1333</v>
      </c>
      <c r="H439" s="12"/>
      <c r="I439" s="12"/>
      <c r="J439" s="12"/>
      <c r="K439" s="12"/>
      <c r="L439" s="13"/>
      <c r="M439" s="13"/>
      <c r="N439" s="12"/>
      <c r="O439" s="12"/>
      <c r="P439" s="12"/>
      <c r="Q439" s="14"/>
      <c r="R439" s="15"/>
      <c r="S439" s="16">
        <v>3472.25</v>
      </c>
      <c r="T439" s="15"/>
      <c r="U439" s="16"/>
      <c r="V439" s="15"/>
      <c r="W439" s="16"/>
      <c r="X439" s="15"/>
      <c r="Y439" s="16"/>
      <c r="Z439" s="15"/>
      <c r="AA439" s="16"/>
      <c r="AB439" s="15"/>
      <c r="AC439" s="16"/>
      <c r="AD439" s="15"/>
      <c r="AE439" s="16"/>
      <c r="AF439" s="15"/>
      <c r="AG439" s="16"/>
      <c r="AH439" s="15"/>
      <c r="AI439" s="15" t="s">
        <v>1334</v>
      </c>
      <c r="AJ439" s="14"/>
      <c r="AK439" s="17"/>
      <c r="AL439" s="18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14"/>
      <c r="AX439" s="14"/>
      <c r="AY439" s="14"/>
      <c r="AZ439" s="14"/>
      <c r="BA439" s="11"/>
      <c r="BB439" s="11"/>
      <c r="BC439" s="11"/>
      <c r="BD439" s="11"/>
      <c r="BE439" s="11"/>
      <c r="BF439" s="11"/>
      <c r="BG439" s="11"/>
      <c r="BH439" s="11"/>
      <c r="BI439" s="11"/>
      <c r="BJ439" s="11"/>
      <c r="BK439" s="11"/>
      <c r="BL439" s="11"/>
      <c r="BM439" s="11"/>
      <c r="BN439" s="11"/>
    </row>
    <row r="440" spans="1:66" s="2" customFormat="1" ht="12.75" x14ac:dyDescent="0.25">
      <c r="A440" s="9">
        <f t="shared" si="7"/>
        <v>1</v>
      </c>
      <c r="B440" s="6"/>
      <c r="C440" s="6"/>
      <c r="D440" s="24"/>
      <c r="E440" s="12"/>
      <c r="F440" s="25"/>
      <c r="G440" s="12" t="s">
        <v>1335</v>
      </c>
      <c r="H440" s="12"/>
      <c r="I440" s="12"/>
      <c r="J440" s="12"/>
      <c r="K440" s="12"/>
      <c r="L440" s="13"/>
      <c r="M440" s="13"/>
      <c r="N440" s="12"/>
      <c r="O440" s="12"/>
      <c r="P440" s="12"/>
      <c r="Q440" s="14"/>
      <c r="R440" s="15"/>
      <c r="S440" s="16">
        <v>7213.85</v>
      </c>
      <c r="T440" s="15"/>
      <c r="U440" s="16"/>
      <c r="V440" s="15"/>
      <c r="W440" s="16"/>
      <c r="X440" s="15"/>
      <c r="Y440" s="16"/>
      <c r="Z440" s="15"/>
      <c r="AA440" s="16"/>
      <c r="AB440" s="15"/>
      <c r="AC440" s="16"/>
      <c r="AD440" s="15"/>
      <c r="AE440" s="16"/>
      <c r="AF440" s="15"/>
      <c r="AG440" s="16"/>
      <c r="AH440" s="15"/>
      <c r="AI440" s="15" t="s">
        <v>1336</v>
      </c>
      <c r="AJ440" s="14"/>
      <c r="AK440" s="17"/>
      <c r="AL440" s="18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14"/>
      <c r="AX440" s="14"/>
      <c r="AY440" s="14"/>
      <c r="AZ440" s="14"/>
      <c r="BA440" s="11"/>
      <c r="BB440" s="11"/>
      <c r="BC440" s="11"/>
      <c r="BD440" s="11"/>
      <c r="BE440" s="11"/>
      <c r="BF440" s="11"/>
      <c r="BG440" s="11"/>
      <c r="BH440" s="11"/>
      <c r="BI440" s="11"/>
      <c r="BJ440" s="11"/>
      <c r="BK440" s="11"/>
      <c r="BL440" s="11"/>
      <c r="BM440" s="11"/>
      <c r="BN440" s="11"/>
    </row>
    <row r="441" spans="1:66" s="2" customFormat="1" ht="12.75" x14ac:dyDescent="0.25">
      <c r="A441" s="9">
        <f t="shared" si="7"/>
        <v>1</v>
      </c>
      <c r="B441" s="6"/>
      <c r="C441" s="6"/>
      <c r="D441" s="24"/>
      <c r="E441" s="12"/>
      <c r="F441" s="25"/>
      <c r="G441" s="12" t="s">
        <v>1337</v>
      </c>
      <c r="H441" s="12"/>
      <c r="I441" s="12"/>
      <c r="J441" s="12"/>
      <c r="K441" s="12"/>
      <c r="L441" s="13"/>
      <c r="M441" s="13"/>
      <c r="N441" s="12"/>
      <c r="O441" s="12"/>
      <c r="P441" s="12"/>
      <c r="Q441" s="14"/>
      <c r="R441" s="15"/>
      <c r="S441" s="16">
        <v>7981.52</v>
      </c>
      <c r="T441" s="15"/>
      <c r="U441" s="16"/>
      <c r="V441" s="15"/>
      <c r="W441" s="16"/>
      <c r="X441" s="15"/>
      <c r="Y441" s="16"/>
      <c r="Z441" s="15"/>
      <c r="AA441" s="16"/>
      <c r="AB441" s="15"/>
      <c r="AC441" s="16"/>
      <c r="AD441" s="15"/>
      <c r="AE441" s="16"/>
      <c r="AF441" s="15"/>
      <c r="AG441" s="16"/>
      <c r="AH441" s="15"/>
      <c r="AI441" s="15" t="s">
        <v>1338</v>
      </c>
      <c r="AJ441" s="14"/>
      <c r="AK441" s="17"/>
      <c r="AL441" s="18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14"/>
      <c r="AX441" s="14"/>
      <c r="AY441" s="14"/>
      <c r="AZ441" s="14"/>
      <c r="BA441" s="11"/>
      <c r="BB441" s="11"/>
      <c r="BC441" s="11"/>
      <c r="BD441" s="11"/>
      <c r="BE441" s="11"/>
      <c r="BF441" s="11"/>
      <c r="BG441" s="11"/>
      <c r="BH441" s="11"/>
      <c r="BI441" s="11"/>
      <c r="BJ441" s="11"/>
      <c r="BK441" s="11"/>
      <c r="BL441" s="11"/>
      <c r="BM441" s="11"/>
      <c r="BN441" s="11"/>
    </row>
    <row r="442" spans="1:66" s="2" customFormat="1" ht="12.75" x14ac:dyDescent="0.25">
      <c r="A442" s="9">
        <f t="shared" si="7"/>
        <v>1</v>
      </c>
      <c r="B442" s="6"/>
      <c r="C442" s="6"/>
      <c r="D442" s="24"/>
      <c r="E442" s="12"/>
      <c r="F442" s="25"/>
      <c r="G442" s="12" t="s">
        <v>1339</v>
      </c>
      <c r="H442" s="12"/>
      <c r="I442" s="12"/>
      <c r="J442" s="12"/>
      <c r="K442" s="12"/>
      <c r="L442" s="13"/>
      <c r="M442" s="13"/>
      <c r="N442" s="12"/>
      <c r="O442" s="12"/>
      <c r="P442" s="12"/>
      <c r="Q442" s="14"/>
      <c r="R442" s="15"/>
      <c r="S442" s="16">
        <v>11877.59</v>
      </c>
      <c r="T442" s="15"/>
      <c r="U442" s="16"/>
      <c r="V442" s="15"/>
      <c r="W442" s="16"/>
      <c r="X442" s="15"/>
      <c r="Y442" s="16"/>
      <c r="Z442" s="15"/>
      <c r="AA442" s="16"/>
      <c r="AB442" s="15"/>
      <c r="AC442" s="16"/>
      <c r="AD442" s="15"/>
      <c r="AE442" s="16"/>
      <c r="AF442" s="15"/>
      <c r="AG442" s="16"/>
      <c r="AH442" s="15"/>
      <c r="AI442" s="15" t="s">
        <v>1340</v>
      </c>
      <c r="AJ442" s="14"/>
      <c r="AK442" s="17"/>
      <c r="AL442" s="18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14"/>
      <c r="AX442" s="14"/>
      <c r="AY442" s="14"/>
      <c r="AZ442" s="14"/>
      <c r="BA442" s="11"/>
      <c r="BB442" s="11"/>
      <c r="BC442" s="11"/>
      <c r="BD442" s="11"/>
      <c r="BE442" s="11"/>
      <c r="BF442" s="11"/>
      <c r="BG442" s="11"/>
      <c r="BH442" s="11"/>
      <c r="BI442" s="11"/>
      <c r="BJ442" s="11"/>
      <c r="BK442" s="11"/>
      <c r="BL442" s="11"/>
      <c r="BM442" s="11"/>
      <c r="BN442" s="11"/>
    </row>
    <row r="443" spans="1:66" s="2" customFormat="1" ht="12.75" x14ac:dyDescent="0.25">
      <c r="A443" s="9">
        <f t="shared" si="7"/>
        <v>1</v>
      </c>
      <c r="B443" s="6"/>
      <c r="C443" s="6"/>
      <c r="D443" s="24"/>
      <c r="E443" s="12"/>
      <c r="F443" s="25"/>
      <c r="G443" s="12" t="s">
        <v>1341</v>
      </c>
      <c r="H443" s="12"/>
      <c r="I443" s="12"/>
      <c r="J443" s="12"/>
      <c r="K443" s="12"/>
      <c r="L443" s="13"/>
      <c r="M443" s="13"/>
      <c r="N443" s="12"/>
      <c r="O443" s="12"/>
      <c r="P443" s="12"/>
      <c r="Q443" s="14"/>
      <c r="R443" s="15"/>
      <c r="S443" s="16">
        <v>23952.9</v>
      </c>
      <c r="T443" s="15"/>
      <c r="U443" s="16"/>
      <c r="V443" s="15"/>
      <c r="W443" s="16"/>
      <c r="X443" s="15"/>
      <c r="Y443" s="16"/>
      <c r="Z443" s="15"/>
      <c r="AA443" s="16"/>
      <c r="AB443" s="15"/>
      <c r="AC443" s="16"/>
      <c r="AD443" s="15"/>
      <c r="AE443" s="16"/>
      <c r="AF443" s="15"/>
      <c r="AG443" s="16"/>
      <c r="AH443" s="15"/>
      <c r="AI443" s="15" t="s">
        <v>1342</v>
      </c>
      <c r="AJ443" s="14"/>
      <c r="AK443" s="17"/>
      <c r="AL443" s="18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14"/>
      <c r="AX443" s="14"/>
      <c r="AY443" s="14"/>
      <c r="AZ443" s="14"/>
      <c r="BA443" s="11"/>
      <c r="BB443" s="11"/>
      <c r="BC443" s="11"/>
      <c r="BD443" s="11"/>
      <c r="BE443" s="11"/>
      <c r="BF443" s="11"/>
      <c r="BG443" s="11"/>
      <c r="BH443" s="11"/>
      <c r="BI443" s="11"/>
      <c r="BJ443" s="11"/>
      <c r="BK443" s="11"/>
      <c r="BL443" s="11"/>
      <c r="BM443" s="11"/>
      <c r="BN443" s="11"/>
    </row>
    <row r="444" spans="1:66" s="2" customFormat="1" ht="12.75" x14ac:dyDescent="0.25">
      <c r="A444" s="9">
        <f t="shared" si="7"/>
        <v>1</v>
      </c>
      <c r="B444" s="6"/>
      <c r="C444" s="6"/>
      <c r="D444" s="24"/>
      <c r="E444" s="12"/>
      <c r="F444" s="25"/>
      <c r="G444" s="12" t="s">
        <v>1343</v>
      </c>
      <c r="H444" s="12"/>
      <c r="I444" s="12"/>
      <c r="J444" s="12"/>
      <c r="K444" s="12"/>
      <c r="L444" s="13"/>
      <c r="M444" s="13"/>
      <c r="N444" s="12"/>
      <c r="O444" s="12"/>
      <c r="P444" s="12"/>
      <c r="Q444" s="14"/>
      <c r="R444" s="15"/>
      <c r="S444" s="16">
        <v>1101.1300000000001</v>
      </c>
      <c r="T444" s="15"/>
      <c r="U444" s="16"/>
      <c r="V444" s="15"/>
      <c r="W444" s="16"/>
      <c r="X444" s="15"/>
      <c r="Y444" s="16"/>
      <c r="Z444" s="15"/>
      <c r="AA444" s="16"/>
      <c r="AB444" s="15"/>
      <c r="AC444" s="16"/>
      <c r="AD444" s="15"/>
      <c r="AE444" s="16"/>
      <c r="AF444" s="15"/>
      <c r="AG444" s="16"/>
      <c r="AH444" s="15"/>
      <c r="AI444" s="15" t="s">
        <v>1344</v>
      </c>
      <c r="AJ444" s="14"/>
      <c r="AK444" s="17"/>
      <c r="AL444" s="18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14"/>
      <c r="AX444" s="14"/>
      <c r="AY444" s="14"/>
      <c r="AZ444" s="14"/>
      <c r="BA444" s="11"/>
      <c r="BB444" s="11"/>
      <c r="BC444" s="11"/>
      <c r="BD444" s="11"/>
      <c r="BE444" s="11"/>
      <c r="BF444" s="11"/>
      <c r="BG444" s="11"/>
      <c r="BH444" s="11"/>
      <c r="BI444" s="11"/>
      <c r="BJ444" s="11"/>
      <c r="BK444" s="11"/>
      <c r="BL444" s="11"/>
      <c r="BM444" s="11"/>
      <c r="BN444" s="11"/>
    </row>
    <row r="445" spans="1:66" s="2" customFormat="1" ht="12.75" x14ac:dyDescent="0.25">
      <c r="A445" s="9">
        <f t="shared" si="7"/>
        <v>1</v>
      </c>
      <c r="B445" s="6"/>
      <c r="C445" s="6"/>
      <c r="D445" s="24"/>
      <c r="E445" s="12"/>
      <c r="F445" s="25"/>
      <c r="G445" s="12" t="s">
        <v>1345</v>
      </c>
      <c r="H445" s="12"/>
      <c r="I445" s="12"/>
      <c r="J445" s="12"/>
      <c r="K445" s="12"/>
      <c r="L445" s="13"/>
      <c r="M445" s="13"/>
      <c r="N445" s="12"/>
      <c r="O445" s="12"/>
      <c r="P445" s="12"/>
      <c r="Q445" s="14"/>
      <c r="R445" s="15"/>
      <c r="S445" s="16">
        <v>1332.1599999999999</v>
      </c>
      <c r="T445" s="15"/>
      <c r="U445" s="16"/>
      <c r="V445" s="15"/>
      <c r="W445" s="16"/>
      <c r="X445" s="15"/>
      <c r="Y445" s="16"/>
      <c r="Z445" s="15"/>
      <c r="AA445" s="16"/>
      <c r="AB445" s="15"/>
      <c r="AC445" s="16"/>
      <c r="AD445" s="15"/>
      <c r="AE445" s="16"/>
      <c r="AF445" s="15"/>
      <c r="AG445" s="16"/>
      <c r="AH445" s="15"/>
      <c r="AI445" s="15" t="s">
        <v>1346</v>
      </c>
      <c r="AJ445" s="14"/>
      <c r="AK445" s="17"/>
      <c r="AL445" s="18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14"/>
      <c r="AX445" s="14"/>
      <c r="AY445" s="14"/>
      <c r="AZ445" s="14"/>
      <c r="BA445" s="11"/>
      <c r="BB445" s="11"/>
      <c r="BC445" s="11"/>
      <c r="BD445" s="11"/>
      <c r="BE445" s="11"/>
      <c r="BF445" s="11"/>
      <c r="BG445" s="11"/>
      <c r="BH445" s="11"/>
      <c r="BI445" s="11"/>
      <c r="BJ445" s="11"/>
      <c r="BK445" s="11"/>
      <c r="BL445" s="11"/>
      <c r="BM445" s="11"/>
      <c r="BN445" s="11"/>
    </row>
    <row r="446" spans="1:66" s="2" customFormat="1" ht="12.75" x14ac:dyDescent="0.25">
      <c r="A446" s="9">
        <f t="shared" si="7"/>
        <v>1</v>
      </c>
      <c r="B446" s="6"/>
      <c r="C446" s="6"/>
      <c r="D446" s="24"/>
      <c r="E446" s="12"/>
      <c r="F446" s="25"/>
      <c r="G446" s="12" t="s">
        <v>1347</v>
      </c>
      <c r="H446" s="12"/>
      <c r="I446" s="12"/>
      <c r="J446" s="12"/>
      <c r="K446" s="12"/>
      <c r="L446" s="13"/>
      <c r="M446" s="13"/>
      <c r="N446" s="12"/>
      <c r="O446" s="12"/>
      <c r="P446" s="12"/>
      <c r="Q446" s="14"/>
      <c r="R446" s="15"/>
      <c r="S446" s="16">
        <v>793.08999999999992</v>
      </c>
      <c r="T446" s="15"/>
      <c r="U446" s="16"/>
      <c r="V446" s="15"/>
      <c r="W446" s="16"/>
      <c r="X446" s="15"/>
      <c r="Y446" s="16"/>
      <c r="Z446" s="15"/>
      <c r="AA446" s="16"/>
      <c r="AB446" s="15"/>
      <c r="AC446" s="16"/>
      <c r="AD446" s="15"/>
      <c r="AE446" s="16"/>
      <c r="AF446" s="15"/>
      <c r="AG446" s="16"/>
      <c r="AH446" s="15"/>
      <c r="AI446" s="15" t="s">
        <v>1348</v>
      </c>
      <c r="AJ446" s="14"/>
      <c r="AK446" s="17"/>
      <c r="AL446" s="18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14"/>
      <c r="AX446" s="14"/>
      <c r="AY446" s="14"/>
      <c r="AZ446" s="14"/>
      <c r="BA446" s="11"/>
      <c r="BB446" s="11"/>
      <c r="BC446" s="11"/>
      <c r="BD446" s="11"/>
      <c r="BE446" s="11"/>
      <c r="BF446" s="11"/>
      <c r="BG446" s="11"/>
      <c r="BH446" s="11"/>
      <c r="BI446" s="11"/>
      <c r="BJ446" s="11"/>
      <c r="BK446" s="11"/>
      <c r="BL446" s="11"/>
      <c r="BM446" s="11"/>
      <c r="BN446" s="11"/>
    </row>
    <row r="447" spans="1:66" s="2" customFormat="1" ht="12.75" x14ac:dyDescent="0.25">
      <c r="A447" s="9">
        <f t="shared" si="7"/>
        <v>1</v>
      </c>
      <c r="B447" s="6"/>
      <c r="C447" s="6"/>
      <c r="D447" s="24"/>
      <c r="E447" s="12"/>
      <c r="F447" s="25"/>
      <c r="G447" s="12" t="s">
        <v>1349</v>
      </c>
      <c r="H447" s="12"/>
      <c r="I447" s="12"/>
      <c r="J447" s="12"/>
      <c r="K447" s="12"/>
      <c r="L447" s="13"/>
      <c r="M447" s="13"/>
      <c r="N447" s="12"/>
      <c r="O447" s="12"/>
      <c r="P447" s="12"/>
      <c r="Q447" s="14"/>
      <c r="R447" s="15"/>
      <c r="S447" s="16">
        <v>1255.1500000000001</v>
      </c>
      <c r="T447" s="15"/>
      <c r="U447" s="16"/>
      <c r="V447" s="15"/>
      <c r="W447" s="16"/>
      <c r="X447" s="15"/>
      <c r="Y447" s="16"/>
      <c r="Z447" s="15"/>
      <c r="AA447" s="16"/>
      <c r="AB447" s="15"/>
      <c r="AC447" s="16"/>
      <c r="AD447" s="15"/>
      <c r="AE447" s="16"/>
      <c r="AF447" s="15"/>
      <c r="AG447" s="16"/>
      <c r="AH447" s="15"/>
      <c r="AI447" s="15" t="s">
        <v>1350</v>
      </c>
      <c r="AJ447" s="14"/>
      <c r="AK447" s="17"/>
      <c r="AL447" s="18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14"/>
      <c r="AX447" s="14"/>
      <c r="AY447" s="14"/>
      <c r="AZ447" s="14"/>
      <c r="BA447" s="11"/>
      <c r="BB447" s="11"/>
      <c r="BC447" s="11"/>
      <c r="BD447" s="11"/>
      <c r="BE447" s="11"/>
      <c r="BF447" s="11"/>
      <c r="BG447" s="11"/>
      <c r="BH447" s="11"/>
      <c r="BI447" s="11"/>
      <c r="BJ447" s="11"/>
      <c r="BK447" s="11"/>
      <c r="BL447" s="11"/>
      <c r="BM447" s="11"/>
      <c r="BN447" s="11"/>
    </row>
    <row r="448" spans="1:66" s="2" customFormat="1" ht="12.75" x14ac:dyDescent="0.25">
      <c r="A448" s="9">
        <f t="shared" si="7"/>
        <v>1</v>
      </c>
      <c r="B448" s="6"/>
      <c r="C448" s="6"/>
      <c r="D448" s="24"/>
      <c r="E448" s="12"/>
      <c r="F448" s="25"/>
      <c r="G448" s="12" t="s">
        <v>1351</v>
      </c>
      <c r="H448" s="12"/>
      <c r="I448" s="12"/>
      <c r="J448" s="12"/>
      <c r="K448" s="12"/>
      <c r="L448" s="13"/>
      <c r="M448" s="13"/>
      <c r="N448" s="12"/>
      <c r="O448" s="12"/>
      <c r="P448" s="12"/>
      <c r="Q448" s="14"/>
      <c r="R448" s="15"/>
      <c r="S448" s="16">
        <v>6473.9</v>
      </c>
      <c r="T448" s="15"/>
      <c r="U448" s="16"/>
      <c r="V448" s="15"/>
      <c r="W448" s="16"/>
      <c r="X448" s="15"/>
      <c r="Y448" s="16"/>
      <c r="Z448" s="15"/>
      <c r="AA448" s="16"/>
      <c r="AB448" s="15"/>
      <c r="AC448" s="16"/>
      <c r="AD448" s="15"/>
      <c r="AE448" s="16"/>
      <c r="AF448" s="15"/>
      <c r="AG448" s="16"/>
      <c r="AH448" s="15"/>
      <c r="AI448" s="15" t="s">
        <v>1352</v>
      </c>
      <c r="AJ448" s="14"/>
      <c r="AK448" s="17"/>
      <c r="AL448" s="18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14"/>
      <c r="AX448" s="14"/>
      <c r="AY448" s="14"/>
      <c r="AZ448" s="14"/>
      <c r="BA448" s="11"/>
      <c r="BB448" s="11"/>
      <c r="BC448" s="11"/>
      <c r="BD448" s="11"/>
      <c r="BE448" s="11"/>
      <c r="BF448" s="11"/>
      <c r="BG448" s="11"/>
      <c r="BH448" s="11"/>
      <c r="BI448" s="11"/>
      <c r="BJ448" s="11"/>
      <c r="BK448" s="11"/>
      <c r="BL448" s="11"/>
      <c r="BM448" s="11"/>
      <c r="BN448" s="11"/>
    </row>
    <row r="449" spans="1:66" s="2" customFormat="1" ht="12.75" x14ac:dyDescent="0.25">
      <c r="A449" s="9">
        <f t="shared" si="7"/>
        <v>1</v>
      </c>
      <c r="B449" s="6"/>
      <c r="C449" s="6"/>
      <c r="D449" s="24"/>
      <c r="E449" s="12"/>
      <c r="F449" s="25"/>
      <c r="G449" s="12" t="s">
        <v>1353</v>
      </c>
      <c r="H449" s="12"/>
      <c r="I449" s="12"/>
      <c r="J449" s="12"/>
      <c r="K449" s="12"/>
      <c r="L449" s="13"/>
      <c r="M449" s="13"/>
      <c r="N449" s="12"/>
      <c r="O449" s="12"/>
      <c r="P449" s="12"/>
      <c r="Q449" s="14"/>
      <c r="R449" s="15"/>
      <c r="S449" s="16">
        <v>1868.5</v>
      </c>
      <c r="T449" s="15"/>
      <c r="U449" s="16"/>
      <c r="V449" s="15"/>
      <c r="W449" s="16"/>
      <c r="X449" s="15"/>
      <c r="Y449" s="16"/>
      <c r="Z449" s="15"/>
      <c r="AA449" s="16"/>
      <c r="AB449" s="15"/>
      <c r="AC449" s="16"/>
      <c r="AD449" s="15"/>
      <c r="AE449" s="16"/>
      <c r="AF449" s="15"/>
      <c r="AG449" s="16"/>
      <c r="AH449" s="15"/>
      <c r="AI449" s="15" t="s">
        <v>1354</v>
      </c>
      <c r="AJ449" s="14"/>
      <c r="AK449" s="17"/>
      <c r="AL449" s="18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14"/>
      <c r="AX449" s="14"/>
      <c r="AY449" s="14"/>
      <c r="AZ449" s="14"/>
      <c r="BA449" s="11"/>
      <c r="BB449" s="11"/>
      <c r="BC449" s="11"/>
      <c r="BD449" s="11"/>
      <c r="BE449" s="11"/>
      <c r="BF449" s="11"/>
      <c r="BG449" s="11"/>
      <c r="BH449" s="11"/>
      <c r="BI449" s="11"/>
      <c r="BJ449" s="11"/>
      <c r="BK449" s="11"/>
      <c r="BL449" s="11"/>
      <c r="BM449" s="11"/>
      <c r="BN449" s="11"/>
    </row>
    <row r="450" spans="1:66" s="2" customFormat="1" ht="12.75" x14ac:dyDescent="0.25">
      <c r="A450" s="9">
        <f>IF(G463&gt;0,1,0)</f>
        <v>1</v>
      </c>
      <c r="B450" s="6"/>
      <c r="C450" s="6"/>
      <c r="D450" s="24"/>
      <c r="E450" s="12"/>
      <c r="F450" s="25"/>
      <c r="G450" s="12" t="s">
        <v>1361</v>
      </c>
      <c r="H450" s="12"/>
      <c r="I450" s="12"/>
      <c r="J450" s="12"/>
      <c r="K450" s="12"/>
      <c r="L450" s="13"/>
      <c r="M450" s="13"/>
      <c r="N450" s="12"/>
      <c r="O450" s="12"/>
      <c r="P450" s="12"/>
      <c r="Q450" s="14"/>
      <c r="R450" s="15"/>
      <c r="S450" s="16">
        <v>13667183.339999998</v>
      </c>
      <c r="T450" s="15"/>
      <c r="U450" s="16"/>
      <c r="V450" s="15"/>
      <c r="W450" s="16"/>
      <c r="X450" s="15"/>
      <c r="Y450" s="16"/>
      <c r="Z450" s="15"/>
      <c r="AA450" s="16"/>
      <c r="AB450" s="15"/>
      <c r="AC450" s="16"/>
      <c r="AD450" s="15"/>
      <c r="AE450" s="16"/>
      <c r="AF450" s="15"/>
      <c r="AG450" s="16"/>
      <c r="AH450" s="15"/>
      <c r="AI450" s="15" t="s">
        <v>1362</v>
      </c>
      <c r="AJ450" s="14"/>
      <c r="AK450" s="17"/>
      <c r="AL450" s="18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14"/>
      <c r="AX450" s="14"/>
      <c r="AY450" s="14"/>
      <c r="AZ450" s="14"/>
      <c r="BA450" s="11"/>
      <c r="BB450" s="11"/>
      <c r="BC450" s="11"/>
      <c r="BD450" s="11"/>
      <c r="BE450" s="11"/>
      <c r="BF450" s="11"/>
      <c r="BG450" s="11"/>
      <c r="BH450" s="11"/>
      <c r="BI450" s="11"/>
      <c r="BJ450" s="11"/>
      <c r="BK450" s="11"/>
      <c r="BL450" s="11"/>
      <c r="BM450" s="11"/>
      <c r="BN450" s="11"/>
    </row>
    <row r="451" spans="1:66" s="2" customFormat="1" ht="12.75" x14ac:dyDescent="0.25">
      <c r="A451" s="9">
        <f>IF(G465&gt;0,1,0)</f>
        <v>1</v>
      </c>
      <c r="B451" s="6"/>
      <c r="C451" s="6"/>
      <c r="D451" s="24"/>
      <c r="E451" s="12"/>
      <c r="F451" s="25"/>
      <c r="G451" s="12" t="s">
        <v>1363</v>
      </c>
      <c r="H451" s="12"/>
      <c r="I451" s="12"/>
      <c r="J451" s="12"/>
      <c r="K451" s="12"/>
      <c r="L451" s="13"/>
      <c r="M451" s="13"/>
      <c r="N451" s="12"/>
      <c r="O451" s="12"/>
      <c r="P451" s="12"/>
      <c r="Q451" s="14"/>
      <c r="R451" s="15"/>
      <c r="S451" s="16">
        <v>375818.47000000003</v>
      </c>
      <c r="T451" s="15"/>
      <c r="U451" s="16"/>
      <c r="V451" s="15"/>
      <c r="W451" s="16"/>
      <c r="X451" s="15"/>
      <c r="Y451" s="16"/>
      <c r="Z451" s="15"/>
      <c r="AA451" s="16"/>
      <c r="AB451" s="15"/>
      <c r="AC451" s="16"/>
      <c r="AD451" s="15"/>
      <c r="AE451" s="16"/>
      <c r="AF451" s="15"/>
      <c r="AG451" s="16"/>
      <c r="AH451" s="15"/>
      <c r="AI451" s="15" t="s">
        <v>1364</v>
      </c>
      <c r="AJ451" s="14"/>
      <c r="AK451" s="17"/>
      <c r="AL451" s="18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14"/>
      <c r="AX451" s="14"/>
      <c r="AY451" s="14"/>
      <c r="AZ451" s="14"/>
      <c r="BA451" s="11"/>
      <c r="BB451" s="11"/>
      <c r="BC451" s="11"/>
      <c r="BD451" s="11"/>
      <c r="BE451" s="11"/>
      <c r="BF451" s="11"/>
      <c r="BG451" s="11"/>
      <c r="BH451" s="11"/>
      <c r="BI451" s="11"/>
      <c r="BJ451" s="11"/>
      <c r="BK451" s="11"/>
      <c r="BL451" s="11"/>
      <c r="BM451" s="11"/>
      <c r="BN451" s="11"/>
    </row>
    <row r="452" spans="1:66" s="2" customFormat="1" ht="12.75" x14ac:dyDescent="0.25">
      <c r="A452" s="9">
        <f>IF(G462&gt;0,1,0)</f>
        <v>1</v>
      </c>
      <c r="B452" s="6"/>
      <c r="C452" s="6"/>
      <c r="D452" s="24"/>
      <c r="E452" s="12"/>
      <c r="F452" s="25"/>
      <c r="G452" s="12" t="s">
        <v>1365</v>
      </c>
      <c r="H452" s="12"/>
      <c r="I452" s="12"/>
      <c r="J452" s="12"/>
      <c r="K452" s="12"/>
      <c r="L452" s="13"/>
      <c r="M452" s="13"/>
      <c r="N452" s="12"/>
      <c r="O452" s="12"/>
      <c r="P452" s="12"/>
      <c r="Q452" s="14"/>
      <c r="R452" s="15"/>
      <c r="S452" s="16">
        <v>382056.07999999996</v>
      </c>
      <c r="T452" s="15"/>
      <c r="U452" s="16"/>
      <c r="V452" s="15"/>
      <c r="W452" s="16"/>
      <c r="X452" s="15"/>
      <c r="Y452" s="16"/>
      <c r="Z452" s="15"/>
      <c r="AA452" s="16"/>
      <c r="AB452" s="15"/>
      <c r="AC452" s="16"/>
      <c r="AD452" s="15"/>
      <c r="AE452" s="16"/>
      <c r="AF452" s="15"/>
      <c r="AG452" s="16"/>
      <c r="AH452" s="15"/>
      <c r="AI452" s="15" t="s">
        <v>1366</v>
      </c>
      <c r="AJ452" s="14"/>
      <c r="AK452" s="17"/>
      <c r="AL452" s="18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14"/>
      <c r="AX452" s="14"/>
      <c r="AY452" s="14"/>
      <c r="AZ452" s="14"/>
      <c r="BA452" s="11"/>
      <c r="BB452" s="11"/>
      <c r="BC452" s="11"/>
      <c r="BD452" s="11"/>
      <c r="BE452" s="11"/>
      <c r="BF452" s="11"/>
      <c r="BG452" s="11"/>
      <c r="BH452" s="11"/>
      <c r="BI452" s="11"/>
      <c r="BJ452" s="11"/>
      <c r="BK452" s="11"/>
      <c r="BL452" s="11"/>
      <c r="BM452" s="11"/>
      <c r="BN452" s="11"/>
    </row>
    <row r="453" spans="1:66" s="2" customFormat="1" ht="12.75" x14ac:dyDescent="0.25">
      <c r="A453" s="9">
        <f>IF(G450&gt;0,1,0)</f>
        <v>1</v>
      </c>
      <c r="B453" s="6"/>
      <c r="C453" s="6"/>
      <c r="D453" s="24"/>
      <c r="E453" s="12"/>
      <c r="F453" s="25"/>
      <c r="G453" s="12" t="s">
        <v>1371</v>
      </c>
      <c r="H453" s="12"/>
      <c r="I453" s="12"/>
      <c r="J453" s="12"/>
      <c r="K453" s="12"/>
      <c r="L453" s="13"/>
      <c r="M453" s="13"/>
      <c r="N453" s="12"/>
      <c r="O453" s="12"/>
      <c r="P453" s="12"/>
      <c r="Q453" s="14"/>
      <c r="R453" s="15"/>
      <c r="S453" s="16">
        <v>3981022.7299999995</v>
      </c>
      <c r="T453" s="15"/>
      <c r="U453" s="16"/>
      <c r="V453" s="15"/>
      <c r="W453" s="16"/>
      <c r="X453" s="15"/>
      <c r="Y453" s="16"/>
      <c r="Z453" s="15"/>
      <c r="AA453" s="16"/>
      <c r="AB453" s="15"/>
      <c r="AC453" s="16"/>
      <c r="AD453" s="15"/>
      <c r="AE453" s="16"/>
      <c r="AF453" s="15"/>
      <c r="AG453" s="16"/>
      <c r="AH453" s="15"/>
      <c r="AI453" s="15" t="s">
        <v>1372</v>
      </c>
      <c r="AJ453" s="14"/>
      <c r="AK453" s="17"/>
      <c r="AL453" s="18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14"/>
      <c r="AX453" s="14"/>
      <c r="AY453" s="14"/>
      <c r="AZ453" s="14"/>
      <c r="BA453" s="11"/>
      <c r="BB453" s="11"/>
      <c r="BC453" s="11"/>
      <c r="BD453" s="11"/>
      <c r="BE453" s="11"/>
      <c r="BF453" s="11"/>
      <c r="BG453" s="11"/>
      <c r="BH453" s="11"/>
      <c r="BI453" s="11"/>
      <c r="BJ453" s="11"/>
      <c r="BK453" s="11"/>
      <c r="BL453" s="11"/>
      <c r="BM453" s="11"/>
      <c r="BN453" s="11"/>
    </row>
    <row r="454" spans="1:66" s="2" customFormat="1" ht="12.75" x14ac:dyDescent="0.25">
      <c r="A454" s="9">
        <f>IF(G451&gt;0,1,0)</f>
        <v>1</v>
      </c>
      <c r="B454" s="6"/>
      <c r="C454" s="6"/>
      <c r="D454" s="24"/>
      <c r="E454" s="12"/>
      <c r="F454" s="25"/>
      <c r="G454" s="12" t="s">
        <v>1373</v>
      </c>
      <c r="H454" s="12"/>
      <c r="I454" s="12"/>
      <c r="J454" s="12"/>
      <c r="K454" s="12"/>
      <c r="L454" s="13"/>
      <c r="M454" s="13"/>
      <c r="N454" s="12"/>
      <c r="O454" s="12"/>
      <c r="P454" s="12"/>
      <c r="Q454" s="14"/>
      <c r="R454" s="15"/>
      <c r="S454" s="16">
        <v>235178.84999999998</v>
      </c>
      <c r="T454" s="15"/>
      <c r="U454" s="16"/>
      <c r="V454" s="15"/>
      <c r="W454" s="16"/>
      <c r="X454" s="15"/>
      <c r="Y454" s="16"/>
      <c r="Z454" s="15"/>
      <c r="AA454" s="16"/>
      <c r="AB454" s="15"/>
      <c r="AC454" s="16"/>
      <c r="AD454" s="15"/>
      <c r="AE454" s="16"/>
      <c r="AF454" s="15"/>
      <c r="AG454" s="16"/>
      <c r="AH454" s="15"/>
      <c r="AI454" s="15" t="s">
        <v>1374</v>
      </c>
      <c r="AJ454" s="14"/>
      <c r="AK454" s="17"/>
      <c r="AL454" s="18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14"/>
      <c r="AX454" s="14"/>
      <c r="AY454" s="14"/>
      <c r="AZ454" s="14"/>
      <c r="BA454" s="11"/>
      <c r="BB454" s="11"/>
      <c r="BC454" s="11"/>
      <c r="BD454" s="11"/>
      <c r="BE454" s="11"/>
      <c r="BF454" s="11"/>
      <c r="BG454" s="11"/>
      <c r="BH454" s="11"/>
      <c r="BI454" s="11"/>
      <c r="BJ454" s="11"/>
      <c r="BK454" s="11"/>
      <c r="BL454" s="11"/>
      <c r="BM454" s="11"/>
      <c r="BN454" s="11"/>
    </row>
    <row r="455" spans="1:66" s="2" customFormat="1" ht="12.75" x14ac:dyDescent="0.25">
      <c r="A455" s="9">
        <f>IF(G452&gt;0,1,0)</f>
        <v>1</v>
      </c>
      <c r="B455" s="6"/>
      <c r="C455" s="6"/>
      <c r="D455" s="24"/>
      <c r="E455" s="12"/>
      <c r="F455" s="25"/>
      <c r="G455" s="12" t="s">
        <v>1375</v>
      </c>
      <c r="H455" s="12"/>
      <c r="I455" s="12"/>
      <c r="J455" s="12"/>
      <c r="K455" s="12"/>
      <c r="L455" s="13"/>
      <c r="M455" s="13"/>
      <c r="N455" s="12"/>
      <c r="O455" s="12"/>
      <c r="P455" s="12"/>
      <c r="Q455" s="14"/>
      <c r="R455" s="15"/>
      <c r="S455" s="16">
        <v>5855229.6399999997</v>
      </c>
      <c r="T455" s="15"/>
      <c r="U455" s="16"/>
      <c r="V455" s="15"/>
      <c r="W455" s="16"/>
      <c r="X455" s="15"/>
      <c r="Y455" s="16"/>
      <c r="Z455" s="15"/>
      <c r="AA455" s="16"/>
      <c r="AB455" s="15"/>
      <c r="AC455" s="16"/>
      <c r="AD455" s="15"/>
      <c r="AE455" s="16"/>
      <c r="AF455" s="15"/>
      <c r="AG455" s="16"/>
      <c r="AH455" s="15"/>
      <c r="AI455" s="15" t="s">
        <v>1376</v>
      </c>
      <c r="AJ455" s="14"/>
      <c r="AK455" s="17"/>
      <c r="AL455" s="18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14"/>
      <c r="AX455" s="14"/>
      <c r="AY455" s="14"/>
      <c r="AZ455" s="14"/>
      <c r="BA455" s="11"/>
      <c r="BB455" s="11"/>
      <c r="BC455" s="11"/>
      <c r="BD455" s="11"/>
      <c r="BE455" s="11"/>
      <c r="BF455" s="11"/>
      <c r="BG455" s="11"/>
      <c r="BH455" s="11"/>
      <c r="BI455" s="11"/>
      <c r="BJ455" s="11"/>
      <c r="BK455" s="11"/>
      <c r="BL455" s="11"/>
      <c r="BM455" s="11"/>
      <c r="BN455" s="11"/>
    </row>
    <row r="456" spans="1:66" s="2" customFormat="1" ht="12.75" x14ac:dyDescent="0.25">
      <c r="A456" s="9">
        <f>IF(G466&gt;0,1,0)</f>
        <v>1</v>
      </c>
      <c r="B456" s="6"/>
      <c r="C456" s="6"/>
      <c r="D456" s="24"/>
      <c r="E456" s="12"/>
      <c r="F456" s="25"/>
      <c r="G456" s="12" t="s">
        <v>1377</v>
      </c>
      <c r="H456" s="12"/>
      <c r="I456" s="12"/>
      <c r="J456" s="12"/>
      <c r="K456" s="12"/>
      <c r="L456" s="13"/>
      <c r="M456" s="13"/>
      <c r="N456" s="12"/>
      <c r="O456" s="12"/>
      <c r="P456" s="12"/>
      <c r="Q456" s="14"/>
      <c r="R456" s="15"/>
      <c r="S456" s="16">
        <v>12886975.800000001</v>
      </c>
      <c r="T456" s="15"/>
      <c r="U456" s="16"/>
      <c r="V456" s="15"/>
      <c r="W456" s="16"/>
      <c r="X456" s="15"/>
      <c r="Y456" s="16"/>
      <c r="Z456" s="15"/>
      <c r="AA456" s="16"/>
      <c r="AB456" s="15"/>
      <c r="AC456" s="16"/>
      <c r="AD456" s="15"/>
      <c r="AE456" s="16"/>
      <c r="AF456" s="15"/>
      <c r="AG456" s="16"/>
      <c r="AH456" s="15"/>
      <c r="AI456" s="15" t="s">
        <v>1378</v>
      </c>
      <c r="AJ456" s="14"/>
      <c r="AK456" s="17"/>
      <c r="AL456" s="18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14"/>
      <c r="AX456" s="14"/>
      <c r="AY456" s="14"/>
      <c r="AZ456" s="14"/>
      <c r="BA456" s="11"/>
      <c r="BB456" s="11"/>
      <c r="BC456" s="11"/>
      <c r="BD456" s="11"/>
      <c r="BE456" s="11"/>
      <c r="BF456" s="11"/>
      <c r="BG456" s="11"/>
      <c r="BH456" s="11"/>
      <c r="BI456" s="11"/>
      <c r="BJ456" s="11"/>
      <c r="BK456" s="11"/>
      <c r="BL456" s="11"/>
      <c r="BM456" s="11"/>
      <c r="BN456" s="11"/>
    </row>
    <row r="457" spans="1:66" s="2" customFormat="1" ht="12.75" x14ac:dyDescent="0.25">
      <c r="A457" s="9">
        <f>IF(G453&gt;0,1,0)</f>
        <v>1</v>
      </c>
      <c r="B457" s="6"/>
      <c r="C457" s="6"/>
      <c r="D457" s="24"/>
      <c r="E457" s="12"/>
      <c r="F457" s="25"/>
      <c r="G457" s="12" t="s">
        <v>1379</v>
      </c>
      <c r="H457" s="12"/>
      <c r="I457" s="12"/>
      <c r="J457" s="12"/>
      <c r="K457" s="12"/>
      <c r="L457" s="13"/>
      <c r="M457" s="13"/>
      <c r="N457" s="12"/>
      <c r="O457" s="12"/>
      <c r="P457" s="12"/>
      <c r="Q457" s="14"/>
      <c r="R457" s="15"/>
      <c r="S457" s="16">
        <v>24143640.269999996</v>
      </c>
      <c r="T457" s="15"/>
      <c r="U457" s="16"/>
      <c r="V457" s="15"/>
      <c r="W457" s="16"/>
      <c r="X457" s="15"/>
      <c r="Y457" s="16"/>
      <c r="Z457" s="15"/>
      <c r="AA457" s="16"/>
      <c r="AB457" s="15"/>
      <c r="AC457" s="16"/>
      <c r="AD457" s="15"/>
      <c r="AE457" s="16"/>
      <c r="AF457" s="15"/>
      <c r="AG457" s="16"/>
      <c r="AH457" s="15"/>
      <c r="AI457" s="15" t="s">
        <v>1380</v>
      </c>
      <c r="AJ457" s="14"/>
      <c r="AK457" s="17"/>
      <c r="AL457" s="18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14"/>
      <c r="AX457" s="14"/>
      <c r="AY457" s="14"/>
      <c r="AZ457" s="14"/>
      <c r="BA457" s="11"/>
      <c r="BB457" s="11"/>
      <c r="BC457" s="11"/>
      <c r="BD457" s="11"/>
      <c r="BE457" s="11"/>
      <c r="BF457" s="11"/>
      <c r="BG457" s="11"/>
      <c r="BH457" s="11"/>
      <c r="BI457" s="11"/>
      <c r="BJ457" s="11"/>
      <c r="BK457" s="11"/>
      <c r="BL457" s="11"/>
      <c r="BM457" s="11"/>
      <c r="BN457" s="11"/>
    </row>
    <row r="458" spans="1:66" s="2" customFormat="1" ht="12.75" x14ac:dyDescent="0.25">
      <c r="A458" s="9">
        <f>IF(G464&gt;0,1,0)</f>
        <v>1</v>
      </c>
      <c r="B458" s="6"/>
      <c r="C458" s="6"/>
      <c r="D458" s="24"/>
      <c r="E458" s="12"/>
      <c r="F458" s="25"/>
      <c r="G458" s="12" t="s">
        <v>1381</v>
      </c>
      <c r="H458" s="12"/>
      <c r="I458" s="12"/>
      <c r="J458" s="12"/>
      <c r="K458" s="12"/>
      <c r="L458" s="13"/>
      <c r="M458" s="13"/>
      <c r="N458" s="12"/>
      <c r="O458" s="12"/>
      <c r="P458" s="12"/>
      <c r="Q458" s="14"/>
      <c r="R458" s="15"/>
      <c r="S458" s="16">
        <v>23192495.27</v>
      </c>
      <c r="T458" s="15"/>
      <c r="U458" s="16"/>
      <c r="V458" s="15"/>
      <c r="W458" s="16"/>
      <c r="X458" s="15"/>
      <c r="Y458" s="16"/>
      <c r="Z458" s="15"/>
      <c r="AA458" s="16"/>
      <c r="AB458" s="15"/>
      <c r="AC458" s="16"/>
      <c r="AD458" s="15"/>
      <c r="AE458" s="16"/>
      <c r="AF458" s="15"/>
      <c r="AG458" s="16"/>
      <c r="AH458" s="15"/>
      <c r="AI458" s="15" t="s">
        <v>1382</v>
      </c>
      <c r="AJ458" s="14"/>
      <c r="AK458" s="17"/>
      <c r="AL458" s="18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14"/>
      <c r="AX458" s="14"/>
      <c r="AY458" s="14"/>
      <c r="AZ458" s="14"/>
      <c r="BA458" s="11"/>
      <c r="BB458" s="11"/>
      <c r="BC458" s="11"/>
      <c r="BD458" s="11"/>
      <c r="BE458" s="11"/>
      <c r="BF458" s="11"/>
      <c r="BG458" s="11"/>
      <c r="BH458" s="11"/>
      <c r="BI458" s="11"/>
      <c r="BJ458" s="11"/>
      <c r="BK458" s="11"/>
      <c r="BL458" s="11"/>
      <c r="BM458" s="11"/>
      <c r="BN458" s="11"/>
    </row>
    <row r="459" spans="1:66" s="2" customFormat="1" ht="12.75" x14ac:dyDescent="0.25">
      <c r="A459" s="9">
        <f>IF(G454&gt;0,1,0)</f>
        <v>1</v>
      </c>
      <c r="B459" s="6"/>
      <c r="C459" s="6"/>
      <c r="D459" s="24"/>
      <c r="E459" s="12"/>
      <c r="F459" s="25"/>
      <c r="G459" s="12" t="s">
        <v>1383</v>
      </c>
      <c r="H459" s="12"/>
      <c r="I459" s="12"/>
      <c r="J459" s="12"/>
      <c r="K459" s="12"/>
      <c r="L459" s="13"/>
      <c r="M459" s="13"/>
      <c r="N459" s="12"/>
      <c r="O459" s="12"/>
      <c r="P459" s="12"/>
      <c r="Q459" s="14"/>
      <c r="R459" s="15"/>
      <c r="S459" s="16">
        <v>15620498.009999998</v>
      </c>
      <c r="T459" s="15"/>
      <c r="U459" s="16"/>
      <c r="V459" s="15"/>
      <c r="W459" s="16"/>
      <c r="X459" s="15"/>
      <c r="Y459" s="16"/>
      <c r="Z459" s="15"/>
      <c r="AA459" s="16"/>
      <c r="AB459" s="15"/>
      <c r="AC459" s="16"/>
      <c r="AD459" s="15"/>
      <c r="AE459" s="16"/>
      <c r="AF459" s="15"/>
      <c r="AG459" s="16"/>
      <c r="AH459" s="15"/>
      <c r="AI459" s="15" t="s">
        <v>1384</v>
      </c>
      <c r="AJ459" s="14"/>
      <c r="AK459" s="17"/>
      <c r="AL459" s="18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14"/>
      <c r="AX459" s="14"/>
      <c r="AY459" s="14"/>
      <c r="AZ459" s="14"/>
      <c r="BA459" s="11"/>
      <c r="BB459" s="11"/>
      <c r="BC459" s="11"/>
      <c r="BD459" s="11"/>
      <c r="BE459" s="11"/>
      <c r="BF459" s="11"/>
      <c r="BG459" s="11"/>
      <c r="BH459" s="11"/>
      <c r="BI459" s="11"/>
      <c r="BJ459" s="11"/>
      <c r="BK459" s="11"/>
      <c r="BL459" s="11"/>
      <c r="BM459" s="11"/>
      <c r="BN459" s="11"/>
    </row>
    <row r="460" spans="1:66" s="2" customFormat="1" ht="12.75" x14ac:dyDescent="0.25">
      <c r="A460" s="9">
        <f t="shared" ref="A460" si="8">IF(G455&gt;0,1,0)</f>
        <v>1</v>
      </c>
      <c r="B460" s="6"/>
      <c r="C460" s="6"/>
      <c r="D460" s="24"/>
      <c r="E460" s="12"/>
      <c r="F460" s="25"/>
      <c r="G460" s="12" t="s">
        <v>1385</v>
      </c>
      <c r="H460" s="12"/>
      <c r="I460" s="12"/>
      <c r="J460" s="12"/>
      <c r="K460" s="12"/>
      <c r="L460" s="13"/>
      <c r="M460" s="13"/>
      <c r="N460" s="12"/>
      <c r="O460" s="12"/>
      <c r="P460" s="12"/>
      <c r="Q460" s="14"/>
      <c r="R460" s="15"/>
      <c r="S460" s="16">
        <v>15920906.999999996</v>
      </c>
      <c r="T460" s="15"/>
      <c r="U460" s="16"/>
      <c r="V460" s="15"/>
      <c r="W460" s="16"/>
      <c r="X460" s="15"/>
      <c r="Y460" s="16"/>
      <c r="Z460" s="15"/>
      <c r="AA460" s="16"/>
      <c r="AB460" s="15"/>
      <c r="AC460" s="16"/>
      <c r="AD460" s="15"/>
      <c r="AE460" s="16"/>
      <c r="AF460" s="15"/>
      <c r="AG460" s="16"/>
      <c r="AH460" s="15"/>
      <c r="AI460" s="15" t="s">
        <v>1386</v>
      </c>
      <c r="AJ460" s="14"/>
      <c r="AK460" s="17"/>
      <c r="AL460" s="18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14"/>
      <c r="AX460" s="14"/>
      <c r="AY460" s="14"/>
      <c r="AZ460" s="14"/>
      <c r="BA460" s="11"/>
      <c r="BB460" s="11"/>
      <c r="BC460" s="11"/>
      <c r="BD460" s="11"/>
      <c r="BE460" s="11"/>
      <c r="BF460" s="11"/>
      <c r="BG460" s="11"/>
      <c r="BH460" s="11"/>
      <c r="BI460" s="11"/>
      <c r="BJ460" s="11"/>
      <c r="BK460" s="11"/>
      <c r="BL460" s="11"/>
      <c r="BM460" s="11"/>
      <c r="BN460" s="11"/>
    </row>
    <row r="461" spans="1:66" s="2" customFormat="1" ht="12.75" x14ac:dyDescent="0.25">
      <c r="A461" s="9">
        <f t="shared" ref="A461" si="9">IF(G456&gt;0,1,0)</f>
        <v>1</v>
      </c>
      <c r="B461" s="6"/>
      <c r="C461" s="6"/>
      <c r="D461" s="24"/>
      <c r="E461" s="12"/>
      <c r="F461" s="25"/>
      <c r="G461" s="12" t="s">
        <v>1387</v>
      </c>
      <c r="H461" s="12"/>
      <c r="I461" s="12"/>
      <c r="J461" s="12"/>
      <c r="K461" s="12"/>
      <c r="L461" s="13"/>
      <c r="M461" s="13"/>
      <c r="N461" s="12"/>
      <c r="O461" s="12">
        <v>6236106.8100000005</v>
      </c>
      <c r="P461" s="12"/>
      <c r="Q461" s="14"/>
      <c r="R461" s="15"/>
      <c r="S461" s="16">
        <v>6637347.4799999986</v>
      </c>
      <c r="T461" s="15"/>
      <c r="U461" s="16"/>
      <c r="V461" s="15"/>
      <c r="W461" s="16"/>
      <c r="X461" s="15"/>
      <c r="Y461" s="16"/>
      <c r="Z461" s="15" t="s">
        <v>1493</v>
      </c>
      <c r="AA461" s="16"/>
      <c r="AB461" s="15"/>
      <c r="AC461" s="16"/>
      <c r="AD461" s="15"/>
      <c r="AE461" s="16"/>
      <c r="AF461" s="15"/>
      <c r="AG461" s="16"/>
      <c r="AH461" s="15"/>
      <c r="AI461" s="15" t="s">
        <v>1388</v>
      </c>
      <c r="AJ461" s="14"/>
      <c r="AK461" s="17"/>
      <c r="AL461" s="18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14"/>
      <c r="AX461" s="14"/>
      <c r="AY461" s="14"/>
      <c r="AZ461" s="14"/>
      <c r="BA461" s="11"/>
      <c r="BB461" s="11"/>
      <c r="BC461" s="11"/>
      <c r="BD461" s="11"/>
      <c r="BE461" s="11"/>
      <c r="BF461" s="11"/>
      <c r="BG461" s="11"/>
      <c r="BH461" s="11"/>
      <c r="BI461" s="11"/>
      <c r="BJ461" s="11"/>
      <c r="BK461" s="11"/>
      <c r="BL461" s="11"/>
      <c r="BM461" s="11"/>
      <c r="BN461" s="11"/>
    </row>
    <row r="462" spans="1:66" s="2" customFormat="1" ht="12.75" x14ac:dyDescent="0.25">
      <c r="A462" s="9">
        <f t="shared" ref="A462" si="10">IF(G457&gt;0,1,0)</f>
        <v>1</v>
      </c>
      <c r="B462" s="6"/>
      <c r="C462" s="6"/>
      <c r="D462" s="24"/>
      <c r="E462" s="12"/>
      <c r="F462" s="25"/>
      <c r="G462" s="12" t="s">
        <v>1359</v>
      </c>
      <c r="H462" s="12"/>
      <c r="I462" s="12"/>
      <c r="J462" s="12"/>
      <c r="K462" s="12"/>
      <c r="L462" s="13"/>
      <c r="M462" s="13"/>
      <c r="N462" s="12"/>
      <c r="O462" s="12">
        <v>8142758.2700000005</v>
      </c>
      <c r="P462" s="12"/>
      <c r="Q462" s="14"/>
      <c r="R462" s="15"/>
      <c r="S462" s="16">
        <v>8636670.9300000016</v>
      </c>
      <c r="T462" s="15"/>
      <c r="U462" s="16"/>
      <c r="V462" s="15"/>
      <c r="W462" s="16"/>
      <c r="X462" s="15"/>
      <c r="Y462" s="16"/>
      <c r="Z462" s="15" t="s">
        <v>1493</v>
      </c>
      <c r="AA462" s="16"/>
      <c r="AB462" s="15"/>
      <c r="AC462" s="16"/>
      <c r="AD462" s="15"/>
      <c r="AE462" s="16"/>
      <c r="AF462" s="15"/>
      <c r="AG462" s="16"/>
      <c r="AH462" s="15"/>
      <c r="AI462" s="15" t="s">
        <v>1360</v>
      </c>
      <c r="AJ462" s="14"/>
      <c r="AK462" s="17"/>
      <c r="AL462" s="18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14"/>
      <c r="AX462" s="14"/>
      <c r="AY462" s="14"/>
      <c r="AZ462" s="14"/>
      <c r="BA462" s="11"/>
      <c r="BB462" s="11"/>
      <c r="BC462" s="11"/>
      <c r="BD462" s="11"/>
      <c r="BE462" s="11"/>
      <c r="BF462" s="11"/>
      <c r="BG462" s="11"/>
      <c r="BH462" s="11"/>
      <c r="BI462" s="11"/>
      <c r="BJ462" s="11"/>
      <c r="BK462" s="11"/>
      <c r="BL462" s="11"/>
      <c r="BM462" s="11"/>
      <c r="BN462" s="11"/>
    </row>
    <row r="463" spans="1:66" s="2" customFormat="1" ht="12.75" x14ac:dyDescent="0.25">
      <c r="A463" s="9">
        <f t="shared" ref="A463" si="11">IF(G458&gt;0,1,0)</f>
        <v>1</v>
      </c>
      <c r="B463" s="6"/>
      <c r="C463" s="6"/>
      <c r="D463" s="24"/>
      <c r="E463" s="12"/>
      <c r="F463" s="25"/>
      <c r="G463" s="12" t="s">
        <v>1355</v>
      </c>
      <c r="H463" s="12"/>
      <c r="I463" s="12"/>
      <c r="J463" s="12"/>
      <c r="K463" s="12"/>
      <c r="L463" s="13"/>
      <c r="M463" s="13"/>
      <c r="N463" s="12"/>
      <c r="O463" s="12">
        <v>7704453.4900000002</v>
      </c>
      <c r="P463" s="12"/>
      <c r="Q463" s="14"/>
      <c r="R463" s="15"/>
      <c r="S463" s="16">
        <v>8363160.6700000018</v>
      </c>
      <c r="T463" s="15"/>
      <c r="U463" s="16"/>
      <c r="V463" s="15"/>
      <c r="W463" s="16"/>
      <c r="X463" s="15"/>
      <c r="Y463" s="16"/>
      <c r="Z463" s="15" t="s">
        <v>1493</v>
      </c>
      <c r="AA463" s="16"/>
      <c r="AB463" s="15"/>
      <c r="AC463" s="16"/>
      <c r="AD463" s="15"/>
      <c r="AE463" s="16"/>
      <c r="AF463" s="15"/>
      <c r="AG463" s="16"/>
      <c r="AH463" s="15"/>
      <c r="AI463" s="15" t="s">
        <v>1356</v>
      </c>
      <c r="AJ463" s="14"/>
      <c r="AK463" s="17"/>
      <c r="AL463" s="18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14"/>
      <c r="AX463" s="14"/>
      <c r="AY463" s="14"/>
      <c r="AZ463" s="14"/>
      <c r="BA463" s="11"/>
      <c r="BB463" s="11"/>
      <c r="BC463" s="11"/>
      <c r="BD463" s="11"/>
      <c r="BE463" s="11"/>
      <c r="BF463" s="11"/>
      <c r="BG463" s="11"/>
      <c r="BH463" s="11"/>
      <c r="BI463" s="11"/>
      <c r="BJ463" s="11"/>
      <c r="BK463" s="11"/>
      <c r="BL463" s="11"/>
      <c r="BM463" s="11"/>
      <c r="BN463" s="11"/>
    </row>
    <row r="464" spans="1:66" s="2" customFormat="1" ht="12.75" x14ac:dyDescent="0.25">
      <c r="A464" s="9">
        <f t="shared" ref="A464" si="12">IF(G459&gt;0,1,0)</f>
        <v>1</v>
      </c>
      <c r="B464" s="6"/>
      <c r="C464" s="6"/>
      <c r="D464" s="24"/>
      <c r="E464" s="12"/>
      <c r="F464" s="25"/>
      <c r="G464" s="12" t="s">
        <v>1369</v>
      </c>
      <c r="H464" s="12"/>
      <c r="I464" s="12"/>
      <c r="J464" s="12"/>
      <c r="K464" s="12"/>
      <c r="L464" s="13"/>
      <c r="M464" s="13"/>
      <c r="N464" s="12"/>
      <c r="O464" s="12">
        <v>1056383.67</v>
      </c>
      <c r="P464" s="12"/>
      <c r="Q464" s="14"/>
      <c r="R464" s="15"/>
      <c r="S464" s="16">
        <v>1306874.8900000001</v>
      </c>
      <c r="T464" s="15"/>
      <c r="U464" s="16"/>
      <c r="V464" s="15"/>
      <c r="W464" s="16"/>
      <c r="X464" s="15"/>
      <c r="Y464" s="16"/>
      <c r="Z464" s="15"/>
      <c r="AA464" s="16"/>
      <c r="AB464" s="15"/>
      <c r="AC464" s="16"/>
      <c r="AD464" s="15"/>
      <c r="AE464" s="16"/>
      <c r="AF464" s="15"/>
      <c r="AG464" s="16"/>
      <c r="AH464" s="15"/>
      <c r="AI464" s="15" t="s">
        <v>1370</v>
      </c>
      <c r="AJ464" s="14"/>
      <c r="AK464" s="17"/>
      <c r="AL464" s="18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14"/>
      <c r="AX464" s="14"/>
      <c r="AY464" s="14"/>
      <c r="AZ464" s="14"/>
      <c r="BA464" s="11"/>
      <c r="BB464" s="11"/>
      <c r="BC464" s="11"/>
      <c r="BD464" s="11"/>
      <c r="BE464" s="11"/>
      <c r="BF464" s="11"/>
      <c r="BG464" s="11"/>
      <c r="BH464" s="11"/>
      <c r="BI464" s="11"/>
      <c r="BJ464" s="11"/>
      <c r="BK464" s="11"/>
      <c r="BL464" s="11"/>
      <c r="BM464" s="11"/>
      <c r="BN464" s="11"/>
    </row>
    <row r="465" spans="1:66" s="2" customFormat="1" ht="12.75" x14ac:dyDescent="0.25">
      <c r="A465" s="9">
        <f t="shared" ref="A465" si="13">IF(G460&gt;0,1,0)</f>
        <v>1</v>
      </c>
      <c r="B465" s="6"/>
      <c r="C465" s="6"/>
      <c r="D465" s="24"/>
      <c r="E465" s="12"/>
      <c r="F465" s="25"/>
      <c r="G465" s="12" t="s">
        <v>1357</v>
      </c>
      <c r="H465" s="12"/>
      <c r="I465" s="12"/>
      <c r="J465" s="12"/>
      <c r="K465" s="12"/>
      <c r="L465" s="13"/>
      <c r="M465" s="13"/>
      <c r="N465" s="12"/>
      <c r="O465" s="12">
        <v>10490240.34</v>
      </c>
      <c r="P465" s="12"/>
      <c r="Q465" s="14"/>
      <c r="R465" s="15"/>
      <c r="S465" s="16">
        <v>11155316.83</v>
      </c>
      <c r="T465" s="15"/>
      <c r="U465" s="16"/>
      <c r="V465" s="15"/>
      <c r="W465" s="16"/>
      <c r="X465" s="15"/>
      <c r="Y465" s="16"/>
      <c r="Z465" s="15"/>
      <c r="AA465" s="16"/>
      <c r="AB465" s="15"/>
      <c r="AC465" s="16"/>
      <c r="AD465" s="15"/>
      <c r="AE465" s="16"/>
      <c r="AF465" s="15"/>
      <c r="AG465" s="16"/>
      <c r="AH465" s="15"/>
      <c r="AI465" s="15" t="s">
        <v>1358</v>
      </c>
      <c r="AJ465" s="14"/>
      <c r="AK465" s="17"/>
      <c r="AL465" s="18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14"/>
      <c r="AX465" s="14"/>
      <c r="AY465" s="14"/>
      <c r="AZ465" s="14"/>
      <c r="BA465" s="11"/>
      <c r="BB465" s="11"/>
      <c r="BC465" s="11"/>
      <c r="BD465" s="11"/>
      <c r="BE465" s="11"/>
      <c r="BF465" s="11"/>
      <c r="BG465" s="11"/>
      <c r="BH465" s="11"/>
      <c r="BI465" s="11"/>
      <c r="BJ465" s="11"/>
      <c r="BK465" s="11"/>
      <c r="BL465" s="11"/>
      <c r="BM465" s="11"/>
      <c r="BN465" s="11"/>
    </row>
    <row r="466" spans="1:66" s="2" customFormat="1" ht="12.75" x14ac:dyDescent="0.25">
      <c r="A466" s="9">
        <f>IF(G461&gt;0,1,0)</f>
        <v>1</v>
      </c>
      <c r="B466" s="6"/>
      <c r="C466" s="6"/>
      <c r="D466" s="24"/>
      <c r="E466" s="12"/>
      <c r="F466" s="25"/>
      <c r="G466" s="12" t="s">
        <v>1367</v>
      </c>
      <c r="H466" s="12"/>
      <c r="I466" s="12"/>
      <c r="J466" s="12"/>
      <c r="K466" s="12"/>
      <c r="L466" s="13"/>
      <c r="M466" s="13"/>
      <c r="N466" s="12"/>
      <c r="O466" s="12">
        <v>1338720.73</v>
      </c>
      <c r="P466" s="12"/>
      <c r="Q466" s="14"/>
      <c r="R466" s="15"/>
      <c r="S466" s="16">
        <v>1627922.32</v>
      </c>
      <c r="T466" s="15"/>
      <c r="U466" s="16"/>
      <c r="V466" s="15"/>
      <c r="W466" s="16"/>
      <c r="X466" s="15"/>
      <c r="Y466" s="16"/>
      <c r="Z466" s="15"/>
      <c r="AA466" s="16"/>
      <c r="AB466" s="15"/>
      <c r="AC466" s="16"/>
      <c r="AD466" s="15"/>
      <c r="AE466" s="16"/>
      <c r="AF466" s="15"/>
      <c r="AG466" s="16"/>
      <c r="AH466" s="15"/>
      <c r="AI466" s="15" t="s">
        <v>1368</v>
      </c>
      <c r="AJ466" s="14"/>
      <c r="AK466" s="17"/>
      <c r="AL466" s="18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14"/>
      <c r="AX466" s="14"/>
      <c r="AY466" s="14"/>
      <c r="AZ466" s="14"/>
      <c r="BA466" s="11"/>
      <c r="BB466" s="11"/>
      <c r="BC466" s="11"/>
      <c r="BD466" s="11"/>
      <c r="BE466" s="11"/>
      <c r="BF466" s="11"/>
      <c r="BG466" s="11"/>
      <c r="BH466" s="11"/>
      <c r="BI466" s="11"/>
      <c r="BJ466" s="11"/>
      <c r="BK466" s="11"/>
      <c r="BL466" s="11"/>
      <c r="BM466" s="11"/>
      <c r="BN466" s="11"/>
    </row>
    <row r="467" spans="1:66" s="2" customFormat="1" ht="12.75" x14ac:dyDescent="0.25">
      <c r="A467" s="9">
        <f>IF(G467&gt;0,1,0)</f>
        <v>1</v>
      </c>
      <c r="B467" s="6"/>
      <c r="C467" s="6"/>
      <c r="D467" s="24"/>
      <c r="E467" s="12"/>
      <c r="F467" s="25"/>
      <c r="G467" s="12" t="s">
        <v>1389</v>
      </c>
      <c r="H467" s="12"/>
      <c r="I467" s="12"/>
      <c r="J467" s="12"/>
      <c r="K467" s="12"/>
      <c r="L467" s="13"/>
      <c r="M467" s="13"/>
      <c r="N467" s="12"/>
      <c r="O467" s="12"/>
      <c r="P467" s="12"/>
      <c r="Q467" s="14"/>
      <c r="R467" s="15"/>
      <c r="S467" s="16">
        <v>10269122.990000002</v>
      </c>
      <c r="T467" s="15"/>
      <c r="U467" s="16"/>
      <c r="V467" s="15"/>
      <c r="W467" s="16"/>
      <c r="X467" s="15"/>
      <c r="Y467" s="16"/>
      <c r="Z467" s="15"/>
      <c r="AA467" s="16"/>
      <c r="AB467" s="15"/>
      <c r="AC467" s="16"/>
      <c r="AD467" s="15"/>
      <c r="AE467" s="16"/>
      <c r="AF467" s="15"/>
      <c r="AG467" s="16"/>
      <c r="AH467" s="15"/>
      <c r="AI467" s="15" t="s">
        <v>1390</v>
      </c>
      <c r="AJ467" s="14"/>
      <c r="AK467" s="17"/>
      <c r="AL467" s="18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14"/>
      <c r="AX467" s="14"/>
      <c r="AY467" s="14"/>
      <c r="AZ467" s="14"/>
      <c r="BA467" s="11"/>
      <c r="BB467" s="11"/>
      <c r="BC467" s="11"/>
      <c r="BD467" s="11"/>
      <c r="BE467" s="11"/>
      <c r="BF467" s="11"/>
      <c r="BG467" s="11"/>
      <c r="BH467" s="11"/>
      <c r="BI467" s="11"/>
      <c r="BJ467" s="11"/>
      <c r="BK467" s="11"/>
      <c r="BL467" s="11"/>
      <c r="BM467" s="11"/>
      <c r="BN467" s="11"/>
    </row>
    <row r="468" spans="1:66" s="2" customFormat="1" ht="12.75" x14ac:dyDescent="0.25">
      <c r="A468" s="9">
        <f>IF(G468&gt;0,1,0)</f>
        <v>1</v>
      </c>
      <c r="B468" s="6"/>
      <c r="C468" s="6"/>
      <c r="D468" s="24"/>
      <c r="E468" s="12"/>
      <c r="F468" s="25"/>
      <c r="G468" s="12" t="s">
        <v>1391</v>
      </c>
      <c r="H468" s="12"/>
      <c r="I468" s="12"/>
      <c r="J468" s="12"/>
      <c r="K468" s="12"/>
      <c r="L468" s="13"/>
      <c r="M468" s="13"/>
      <c r="N468" s="12"/>
      <c r="O468" s="12"/>
      <c r="P468" s="12"/>
      <c r="Q468" s="14"/>
      <c r="R468" s="15"/>
      <c r="S468" s="16">
        <v>1960966.3199999998</v>
      </c>
      <c r="T468" s="15"/>
      <c r="U468" s="16"/>
      <c r="V468" s="15"/>
      <c r="W468" s="16"/>
      <c r="X468" s="15"/>
      <c r="Y468" s="16"/>
      <c r="Z468" s="15"/>
      <c r="AA468" s="16"/>
      <c r="AB468" s="15"/>
      <c r="AC468" s="16"/>
      <c r="AD468" s="15"/>
      <c r="AE468" s="16"/>
      <c r="AF468" s="15"/>
      <c r="AG468" s="16"/>
      <c r="AH468" s="15"/>
      <c r="AI468" s="15" t="s">
        <v>1392</v>
      </c>
      <c r="AJ468" s="14"/>
      <c r="AK468" s="17"/>
      <c r="AL468" s="18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14"/>
      <c r="AX468" s="14"/>
      <c r="AY468" s="14"/>
      <c r="AZ468" s="14"/>
      <c r="BA468" s="11"/>
      <c r="BB468" s="11"/>
      <c r="BC468" s="11"/>
      <c r="BD468" s="11"/>
      <c r="BE468" s="11"/>
      <c r="BF468" s="11"/>
      <c r="BG468" s="11"/>
      <c r="BH468" s="11"/>
      <c r="BI468" s="11"/>
      <c r="BJ468" s="11"/>
      <c r="BK468" s="11"/>
      <c r="BL468" s="11"/>
      <c r="BM468" s="11"/>
      <c r="BN468" s="11"/>
    </row>
    <row r="469" spans="1:66" s="2" customFormat="1" ht="12.75" x14ac:dyDescent="0.25">
      <c r="A469" s="9">
        <f>IF(G469&gt;0,1,0)</f>
        <v>1</v>
      </c>
      <c r="B469" s="6"/>
      <c r="C469" s="6"/>
      <c r="D469" s="24"/>
      <c r="E469" s="12"/>
      <c r="F469" s="25"/>
      <c r="G469" s="12" t="s">
        <v>1393</v>
      </c>
      <c r="H469" s="12"/>
      <c r="I469" s="12"/>
      <c r="J469" s="12"/>
      <c r="K469" s="12"/>
      <c r="L469" s="13"/>
      <c r="M469" s="13"/>
      <c r="N469" s="12"/>
      <c r="O469" s="12"/>
      <c r="P469" s="12"/>
      <c r="Q469" s="14"/>
      <c r="R469" s="15"/>
      <c r="S469" s="16">
        <v>1922119.4199999997</v>
      </c>
      <c r="T469" s="15"/>
      <c r="U469" s="16"/>
      <c r="V469" s="15"/>
      <c r="W469" s="16"/>
      <c r="X469" s="15"/>
      <c r="Y469" s="16"/>
      <c r="Z469" s="15"/>
      <c r="AA469" s="16"/>
      <c r="AB469" s="15"/>
      <c r="AC469" s="16"/>
      <c r="AD469" s="15"/>
      <c r="AE469" s="16"/>
      <c r="AF469" s="15"/>
      <c r="AG469" s="16"/>
      <c r="AH469" s="15"/>
      <c r="AI469" s="15" t="s">
        <v>1394</v>
      </c>
      <c r="AJ469" s="14"/>
      <c r="AK469" s="17"/>
      <c r="AL469" s="18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14"/>
      <c r="AX469" s="14"/>
      <c r="AY469" s="14"/>
      <c r="AZ469" s="14"/>
      <c r="BA469" s="11"/>
      <c r="BB469" s="11"/>
      <c r="BC469" s="11"/>
      <c r="BD469" s="11"/>
      <c r="BE469" s="11"/>
      <c r="BF469" s="11"/>
      <c r="BG469" s="11"/>
      <c r="BH469" s="11"/>
      <c r="BI469" s="11"/>
      <c r="BJ469" s="11"/>
      <c r="BK469" s="11"/>
      <c r="BL469" s="11"/>
      <c r="BM469" s="11"/>
      <c r="BN469" s="11"/>
    </row>
    <row r="470" spans="1:66" s="2" customFormat="1" ht="12.75" x14ac:dyDescent="0.25">
      <c r="A470" s="9">
        <f>IF(G470&gt;0,1,0)</f>
        <v>1</v>
      </c>
      <c r="B470" s="6"/>
      <c r="C470" s="6"/>
      <c r="D470" s="24"/>
      <c r="E470" s="12"/>
      <c r="F470" s="25"/>
      <c r="G470" s="12" t="s">
        <v>1395</v>
      </c>
      <c r="H470" s="12"/>
      <c r="I470" s="12"/>
      <c r="J470" s="12"/>
      <c r="K470" s="12"/>
      <c r="L470" s="13"/>
      <c r="M470" s="13"/>
      <c r="N470" s="12"/>
      <c r="O470" s="12"/>
      <c r="P470" s="12"/>
      <c r="Q470" s="14"/>
      <c r="R470" s="15"/>
      <c r="S470" s="16">
        <v>707579.96</v>
      </c>
      <c r="T470" s="15"/>
      <c r="U470" s="16"/>
      <c r="V470" s="15"/>
      <c r="W470" s="16"/>
      <c r="X470" s="15"/>
      <c r="Y470" s="16"/>
      <c r="Z470" s="15"/>
      <c r="AA470" s="16"/>
      <c r="AB470" s="15"/>
      <c r="AC470" s="16"/>
      <c r="AD470" s="15"/>
      <c r="AE470" s="16"/>
      <c r="AF470" s="15"/>
      <c r="AG470" s="16"/>
      <c r="AH470" s="15"/>
      <c r="AI470" s="15" t="s">
        <v>1396</v>
      </c>
      <c r="AJ470" s="14"/>
      <c r="AK470" s="17"/>
      <c r="AL470" s="18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14"/>
      <c r="AX470" s="14"/>
      <c r="AY470" s="14"/>
      <c r="AZ470" s="14"/>
      <c r="BA470" s="11"/>
      <c r="BB470" s="11"/>
      <c r="BC470" s="11"/>
      <c r="BD470" s="11"/>
      <c r="BE470" s="11"/>
      <c r="BF470" s="11"/>
      <c r="BG470" s="11"/>
      <c r="BH470" s="11"/>
      <c r="BI470" s="11"/>
      <c r="BJ470" s="11"/>
      <c r="BK470" s="11"/>
      <c r="BL470" s="11"/>
      <c r="BM470" s="11"/>
      <c r="BN470" s="11"/>
    </row>
    <row r="471" spans="1:66" s="2" customFormat="1" ht="12.75" x14ac:dyDescent="0.25">
      <c r="A471" s="9">
        <f>IF(G492&gt;0,1,0)</f>
        <v>1</v>
      </c>
      <c r="B471" s="6"/>
      <c r="C471" s="6"/>
      <c r="D471" s="24"/>
      <c r="E471" s="12"/>
      <c r="F471" s="25"/>
      <c r="G471" s="12" t="s">
        <v>1403</v>
      </c>
      <c r="H471" s="12"/>
      <c r="I471" s="12"/>
      <c r="J471" s="12"/>
      <c r="K471" s="12"/>
      <c r="L471" s="13"/>
      <c r="M471" s="13"/>
      <c r="N471" s="12"/>
      <c r="O471" s="12"/>
      <c r="P471" s="12"/>
      <c r="Q471" s="14"/>
      <c r="R471" s="15"/>
      <c r="S471" s="16">
        <v>143267</v>
      </c>
      <c r="T471" s="15"/>
      <c r="U471" s="16"/>
      <c r="V471" s="15"/>
      <c r="W471" s="16"/>
      <c r="X471" s="15"/>
      <c r="Y471" s="16"/>
      <c r="Z471" s="15"/>
      <c r="AA471" s="16"/>
      <c r="AB471" s="15"/>
      <c r="AC471" s="16"/>
      <c r="AD471" s="15"/>
      <c r="AE471" s="16"/>
      <c r="AF471" s="15"/>
      <c r="AG471" s="16"/>
      <c r="AH471" s="15"/>
      <c r="AI471" s="15" t="s">
        <v>1404</v>
      </c>
      <c r="AJ471" s="14"/>
      <c r="AK471" s="17"/>
      <c r="AL471" s="18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14"/>
      <c r="AX471" s="14"/>
      <c r="AY471" s="14"/>
      <c r="AZ471" s="14"/>
      <c r="BA471" s="11"/>
      <c r="BB471" s="11"/>
      <c r="BC471" s="11"/>
      <c r="BD471" s="11"/>
      <c r="BE471" s="11"/>
      <c r="BF471" s="11"/>
      <c r="BG471" s="11"/>
      <c r="BH471" s="11"/>
      <c r="BI471" s="11"/>
      <c r="BJ471" s="11"/>
      <c r="BK471" s="11"/>
      <c r="BL471" s="11"/>
      <c r="BM471" s="11"/>
      <c r="BN471" s="11"/>
    </row>
    <row r="472" spans="1:66" s="2" customFormat="1" ht="12.75" x14ac:dyDescent="0.25">
      <c r="A472" s="9">
        <f>IF(G493&gt;0,1,0)</f>
        <v>1</v>
      </c>
      <c r="B472" s="6"/>
      <c r="C472" s="6"/>
      <c r="D472" s="24"/>
      <c r="E472" s="12"/>
      <c r="F472" s="25"/>
      <c r="G472" s="12" t="s">
        <v>1409</v>
      </c>
      <c r="H472" s="12"/>
      <c r="I472" s="12"/>
      <c r="J472" s="12"/>
      <c r="K472" s="12"/>
      <c r="L472" s="13"/>
      <c r="M472" s="13"/>
      <c r="N472" s="12"/>
      <c r="O472" s="12">
        <v>179298.09000000003</v>
      </c>
      <c r="P472" s="12"/>
      <c r="Q472" s="14"/>
      <c r="R472" s="15"/>
      <c r="S472" s="16">
        <v>179298.09000000003</v>
      </c>
      <c r="T472" s="15"/>
      <c r="U472" s="16"/>
      <c r="V472" s="15"/>
      <c r="W472" s="16"/>
      <c r="X472" s="15"/>
      <c r="Y472" s="16"/>
      <c r="Z472" s="15" t="s">
        <v>1458</v>
      </c>
      <c r="AA472" s="16"/>
      <c r="AB472" s="15"/>
      <c r="AC472" s="16"/>
      <c r="AD472" s="15"/>
      <c r="AE472" s="16"/>
      <c r="AF472" s="15"/>
      <c r="AG472" s="16"/>
      <c r="AH472" s="15"/>
      <c r="AI472" s="15" t="s">
        <v>1410</v>
      </c>
      <c r="AJ472" s="14"/>
      <c r="AK472" s="17"/>
      <c r="AL472" s="18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14"/>
      <c r="AX472" s="14"/>
      <c r="AY472" s="14"/>
      <c r="AZ472" s="14"/>
      <c r="BA472" s="11"/>
      <c r="BB472" s="11"/>
      <c r="BC472" s="11"/>
      <c r="BD472" s="11"/>
      <c r="BE472" s="11"/>
      <c r="BF472" s="11"/>
      <c r="BG472" s="11"/>
      <c r="BH472" s="11"/>
      <c r="BI472" s="11"/>
      <c r="BJ472" s="11"/>
      <c r="BK472" s="11"/>
      <c r="BL472" s="11"/>
      <c r="BM472" s="11"/>
      <c r="BN472" s="11"/>
    </row>
    <row r="473" spans="1:66" s="2" customFormat="1" ht="12.75" x14ac:dyDescent="0.25">
      <c r="A473" s="9">
        <f>IF(G494&gt;0,1,0)</f>
        <v>1</v>
      </c>
      <c r="B473" s="6"/>
      <c r="C473" s="6"/>
      <c r="D473" s="24"/>
      <c r="E473" s="12"/>
      <c r="F473" s="25"/>
      <c r="G473" s="12" t="s">
        <v>1454</v>
      </c>
      <c r="H473" s="12"/>
      <c r="I473" s="12"/>
      <c r="J473" s="12"/>
      <c r="K473" s="12"/>
      <c r="L473" s="13"/>
      <c r="M473" s="13"/>
      <c r="N473" s="12"/>
      <c r="O473" s="12">
        <v>9429.4</v>
      </c>
      <c r="P473" s="12"/>
      <c r="Q473" s="14"/>
      <c r="R473" s="15"/>
      <c r="S473" s="16">
        <v>9429.4</v>
      </c>
      <c r="T473" s="15"/>
      <c r="U473" s="16"/>
      <c r="V473" s="15"/>
      <c r="W473" s="16"/>
      <c r="X473" s="15"/>
      <c r="Y473" s="16"/>
      <c r="Z473" s="15" t="s">
        <v>1458</v>
      </c>
      <c r="AA473" s="16"/>
      <c r="AB473" s="15"/>
      <c r="AC473" s="16"/>
      <c r="AD473" s="15"/>
      <c r="AE473" s="16"/>
      <c r="AF473" s="15"/>
      <c r="AG473" s="16"/>
      <c r="AH473" s="15"/>
      <c r="AI473" s="15" t="s">
        <v>1455</v>
      </c>
      <c r="AJ473" s="14"/>
      <c r="AK473" s="17"/>
      <c r="AL473" s="18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14"/>
      <c r="AX473" s="14"/>
      <c r="AY473" s="14"/>
      <c r="AZ473" s="14"/>
      <c r="BA473" s="11"/>
      <c r="BB473" s="11"/>
      <c r="BC473" s="11"/>
      <c r="BD473" s="11"/>
      <c r="BE473" s="11"/>
      <c r="BF473" s="11"/>
      <c r="BG473" s="11"/>
      <c r="BH473" s="11"/>
      <c r="BI473" s="11"/>
      <c r="BJ473" s="11"/>
      <c r="BK473" s="11"/>
      <c r="BL473" s="11"/>
      <c r="BM473" s="11"/>
      <c r="BN473" s="11"/>
    </row>
    <row r="474" spans="1:66" s="2" customFormat="1" ht="12.75" x14ac:dyDescent="0.25">
      <c r="A474" s="9">
        <f>IF(G471&gt;0,1,0)</f>
        <v>1</v>
      </c>
      <c r="B474" s="6"/>
      <c r="C474" s="6"/>
      <c r="D474" s="24"/>
      <c r="E474" s="12"/>
      <c r="F474" s="25"/>
      <c r="G474" s="12" t="s">
        <v>1411</v>
      </c>
      <c r="H474" s="12"/>
      <c r="I474" s="12"/>
      <c r="J474" s="12"/>
      <c r="K474" s="12"/>
      <c r="L474" s="13"/>
      <c r="M474" s="13"/>
      <c r="N474" s="12"/>
      <c r="O474" s="12">
        <v>160206.97</v>
      </c>
      <c r="P474" s="12"/>
      <c r="Q474" s="14"/>
      <c r="R474" s="15"/>
      <c r="S474" s="16">
        <v>160206.97</v>
      </c>
      <c r="T474" s="15"/>
      <c r="U474" s="16"/>
      <c r="V474" s="15"/>
      <c r="W474" s="16"/>
      <c r="X474" s="15"/>
      <c r="Y474" s="16"/>
      <c r="Z474" s="15" t="s">
        <v>1458</v>
      </c>
      <c r="AA474" s="16"/>
      <c r="AB474" s="15"/>
      <c r="AC474" s="16"/>
      <c r="AD474" s="15"/>
      <c r="AE474" s="16"/>
      <c r="AF474" s="15"/>
      <c r="AG474" s="16"/>
      <c r="AH474" s="15"/>
      <c r="AI474" s="15" t="s">
        <v>1412</v>
      </c>
      <c r="AJ474" s="14"/>
      <c r="AK474" s="17"/>
      <c r="AL474" s="18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14"/>
      <c r="AX474" s="14"/>
      <c r="AY474" s="14"/>
      <c r="AZ474" s="14"/>
      <c r="BA474" s="11"/>
      <c r="BB474" s="11"/>
      <c r="BC474" s="11"/>
      <c r="BD474" s="11"/>
      <c r="BE474" s="11"/>
      <c r="BF474" s="11"/>
      <c r="BG474" s="11"/>
      <c r="BH474" s="11"/>
      <c r="BI474" s="11"/>
      <c r="BJ474" s="11"/>
      <c r="BK474" s="11"/>
      <c r="BL474" s="11"/>
      <c r="BM474" s="11"/>
      <c r="BN474" s="11"/>
    </row>
    <row r="475" spans="1:66" s="2" customFormat="1" ht="12.75" x14ac:dyDescent="0.25">
      <c r="A475" s="9">
        <f>IF(G495&gt;0,1,0)</f>
        <v>1</v>
      </c>
      <c r="B475" s="6"/>
      <c r="C475" s="6"/>
      <c r="D475" s="24"/>
      <c r="E475" s="12"/>
      <c r="F475" s="25"/>
      <c r="G475" s="12" t="s">
        <v>1456</v>
      </c>
      <c r="H475" s="12"/>
      <c r="I475" s="12"/>
      <c r="J475" s="12"/>
      <c r="K475" s="12"/>
      <c r="L475" s="13"/>
      <c r="M475" s="13"/>
      <c r="N475" s="12"/>
      <c r="O475" s="12">
        <v>18858.8</v>
      </c>
      <c r="P475" s="12"/>
      <c r="Q475" s="14"/>
      <c r="R475" s="15"/>
      <c r="S475" s="16">
        <v>18858.8</v>
      </c>
      <c r="T475" s="15"/>
      <c r="U475" s="16"/>
      <c r="V475" s="15"/>
      <c r="W475" s="16"/>
      <c r="X475" s="15"/>
      <c r="Y475" s="16"/>
      <c r="Z475" s="15" t="s">
        <v>1458</v>
      </c>
      <c r="AA475" s="16"/>
      <c r="AB475" s="15"/>
      <c r="AC475" s="16"/>
      <c r="AD475" s="15"/>
      <c r="AE475" s="16"/>
      <c r="AF475" s="15"/>
      <c r="AG475" s="16"/>
      <c r="AH475" s="15"/>
      <c r="AI475" s="15" t="s">
        <v>1457</v>
      </c>
      <c r="AJ475" s="14"/>
      <c r="AK475" s="17"/>
      <c r="AL475" s="18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14"/>
      <c r="AX475" s="14"/>
      <c r="AY475" s="14"/>
      <c r="AZ475" s="14"/>
      <c r="BA475" s="11"/>
      <c r="BB475" s="11"/>
      <c r="BC475" s="11"/>
      <c r="BD475" s="11"/>
      <c r="BE475" s="11"/>
      <c r="BF475" s="11"/>
      <c r="BG475" s="11"/>
      <c r="BH475" s="11"/>
      <c r="BI475" s="11"/>
      <c r="BJ475" s="11"/>
      <c r="BK475" s="11"/>
      <c r="BL475" s="11"/>
      <c r="BM475" s="11"/>
      <c r="BN475" s="11"/>
    </row>
    <row r="476" spans="1:66" s="2" customFormat="1" ht="12.75" x14ac:dyDescent="0.25">
      <c r="A476" s="9">
        <f>IF(G496&gt;0,1,0)</f>
        <v>1</v>
      </c>
      <c r="B476" s="6"/>
      <c r="C476" s="6"/>
      <c r="D476" s="24"/>
      <c r="E476" s="12"/>
      <c r="F476" s="25"/>
      <c r="G476" s="12" t="s">
        <v>1413</v>
      </c>
      <c r="H476" s="12"/>
      <c r="I476" s="12"/>
      <c r="J476" s="12"/>
      <c r="K476" s="12"/>
      <c r="L476" s="13"/>
      <c r="M476" s="13"/>
      <c r="N476" s="12"/>
      <c r="O476" s="12"/>
      <c r="P476" s="12"/>
      <c r="Q476" s="14"/>
      <c r="R476" s="15"/>
      <c r="S476" s="16">
        <v>17353324.719999988</v>
      </c>
      <c r="T476" s="15"/>
      <c r="U476" s="16"/>
      <c r="V476" s="15"/>
      <c r="W476" s="16"/>
      <c r="X476" s="15"/>
      <c r="Y476" s="16"/>
      <c r="Z476" s="15"/>
      <c r="AA476" s="16"/>
      <c r="AB476" s="15"/>
      <c r="AC476" s="16"/>
      <c r="AD476" s="15"/>
      <c r="AE476" s="16"/>
      <c r="AF476" s="15"/>
      <c r="AG476" s="16"/>
      <c r="AH476" s="15"/>
      <c r="AI476" s="15" t="s">
        <v>1414</v>
      </c>
      <c r="AJ476" s="14"/>
      <c r="AK476" s="17"/>
      <c r="AL476" s="18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14"/>
      <c r="AX476" s="14"/>
      <c r="AY476" s="14"/>
      <c r="AZ476" s="14"/>
      <c r="BA476" s="11"/>
      <c r="BB476" s="11"/>
      <c r="BC476" s="11"/>
      <c r="BD476" s="11"/>
      <c r="BE476" s="11"/>
      <c r="BF476" s="11"/>
      <c r="BG476" s="11"/>
      <c r="BH476" s="11"/>
      <c r="BI476" s="11"/>
      <c r="BJ476" s="11"/>
      <c r="BK476" s="11"/>
      <c r="BL476" s="11"/>
      <c r="BM476" s="11"/>
      <c r="BN476" s="11"/>
    </row>
    <row r="477" spans="1:66" s="2" customFormat="1" ht="12.75" x14ac:dyDescent="0.25">
      <c r="A477" s="9">
        <f>IF(G472&gt;0,1,0)</f>
        <v>1</v>
      </c>
      <c r="B477" s="6"/>
      <c r="C477" s="6"/>
      <c r="D477" s="24"/>
      <c r="E477" s="12"/>
      <c r="F477" s="25"/>
      <c r="G477" s="12" t="s">
        <v>1415</v>
      </c>
      <c r="H477" s="12"/>
      <c r="I477" s="12"/>
      <c r="J477" s="12"/>
      <c r="K477" s="12"/>
      <c r="L477" s="13"/>
      <c r="M477" s="13"/>
      <c r="N477" s="12"/>
      <c r="O477" s="12"/>
      <c r="P477" s="12"/>
      <c r="Q477" s="14"/>
      <c r="R477" s="15"/>
      <c r="S477" s="16">
        <v>74572.889999999985</v>
      </c>
      <c r="T477" s="15"/>
      <c r="U477" s="16"/>
      <c r="V477" s="15"/>
      <c r="W477" s="16"/>
      <c r="X477" s="15"/>
      <c r="Y477" s="16"/>
      <c r="Z477" s="15"/>
      <c r="AA477" s="16"/>
      <c r="AB477" s="15"/>
      <c r="AC477" s="16"/>
      <c r="AD477" s="15"/>
      <c r="AE477" s="16"/>
      <c r="AF477" s="15"/>
      <c r="AG477" s="16"/>
      <c r="AH477" s="15"/>
      <c r="AI477" s="15" t="s">
        <v>1416</v>
      </c>
      <c r="AJ477" s="14"/>
      <c r="AK477" s="17"/>
      <c r="AL477" s="18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14"/>
      <c r="AX477" s="14"/>
      <c r="AY477" s="14"/>
      <c r="AZ477" s="14"/>
      <c r="BA477" s="11"/>
      <c r="BB477" s="11"/>
      <c r="BC477" s="11"/>
      <c r="BD477" s="11"/>
      <c r="BE477" s="11"/>
      <c r="BF477" s="11"/>
      <c r="BG477" s="11"/>
      <c r="BH477" s="11"/>
      <c r="BI477" s="11"/>
      <c r="BJ477" s="11"/>
      <c r="BK477" s="11"/>
      <c r="BL477" s="11"/>
      <c r="BM477" s="11"/>
      <c r="BN477" s="11"/>
    </row>
    <row r="478" spans="1:66" s="2" customFormat="1" ht="12.75" x14ac:dyDescent="0.25">
      <c r="A478" s="9">
        <f t="shared" ref="A478" si="14">IF(G474&gt;0,1,0)</f>
        <v>1</v>
      </c>
      <c r="B478" s="6"/>
      <c r="C478" s="6"/>
      <c r="D478" s="24"/>
      <c r="E478" s="12"/>
      <c r="F478" s="25"/>
      <c r="G478" s="12" t="s">
        <v>1417</v>
      </c>
      <c r="H478" s="12"/>
      <c r="I478" s="12"/>
      <c r="J478" s="12"/>
      <c r="K478" s="12"/>
      <c r="L478" s="13"/>
      <c r="M478" s="13"/>
      <c r="N478" s="12"/>
      <c r="O478" s="12"/>
      <c r="P478" s="12"/>
      <c r="Q478" s="14"/>
      <c r="R478" s="15"/>
      <c r="S478" s="16">
        <v>16537378.330000004</v>
      </c>
      <c r="T478" s="15"/>
      <c r="U478" s="16"/>
      <c r="V478" s="15"/>
      <c r="W478" s="16"/>
      <c r="X478" s="15"/>
      <c r="Y478" s="16"/>
      <c r="Z478" s="15"/>
      <c r="AA478" s="16"/>
      <c r="AB478" s="15"/>
      <c r="AC478" s="16"/>
      <c r="AD478" s="15"/>
      <c r="AE478" s="16"/>
      <c r="AF478" s="15"/>
      <c r="AG478" s="16"/>
      <c r="AH478" s="15"/>
      <c r="AI478" s="15" t="s">
        <v>1418</v>
      </c>
      <c r="AJ478" s="14"/>
      <c r="AK478" s="17"/>
      <c r="AL478" s="18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14"/>
      <c r="AX478" s="14"/>
      <c r="AY478" s="14"/>
      <c r="AZ478" s="14"/>
      <c r="BA478" s="11"/>
      <c r="BB478" s="11"/>
      <c r="BC478" s="11"/>
      <c r="BD478" s="11"/>
      <c r="BE478" s="11"/>
      <c r="BF478" s="11"/>
      <c r="BG478" s="11"/>
      <c r="BH478" s="11"/>
      <c r="BI478" s="11"/>
      <c r="BJ478" s="11"/>
      <c r="BK478" s="11"/>
      <c r="BL478" s="11"/>
      <c r="BM478" s="11"/>
      <c r="BN478" s="11"/>
    </row>
    <row r="479" spans="1:66" s="2" customFormat="1" ht="12.75" x14ac:dyDescent="0.25">
      <c r="A479" s="9">
        <f>IF(G473&gt;0,1,0)</f>
        <v>1</v>
      </c>
      <c r="B479" s="6"/>
      <c r="C479" s="6"/>
      <c r="D479" s="24"/>
      <c r="E479" s="12"/>
      <c r="F479" s="25"/>
      <c r="G479" s="12" t="s">
        <v>1419</v>
      </c>
      <c r="H479" s="12"/>
      <c r="I479" s="12"/>
      <c r="J479" s="12"/>
      <c r="K479" s="12"/>
      <c r="L479" s="13"/>
      <c r="M479" s="13"/>
      <c r="N479" s="12"/>
      <c r="O479" s="12"/>
      <c r="P479" s="12"/>
      <c r="Q479" s="14"/>
      <c r="R479" s="15"/>
      <c r="S479" s="16">
        <v>6205637.3200000003</v>
      </c>
      <c r="T479" s="15"/>
      <c r="U479" s="16"/>
      <c r="V479" s="15"/>
      <c r="W479" s="16"/>
      <c r="X479" s="15"/>
      <c r="Y479" s="16"/>
      <c r="Z479" s="15"/>
      <c r="AA479" s="16"/>
      <c r="AB479" s="15"/>
      <c r="AC479" s="16"/>
      <c r="AD479" s="15"/>
      <c r="AE479" s="16"/>
      <c r="AF479" s="15"/>
      <c r="AG479" s="16"/>
      <c r="AH479" s="15"/>
      <c r="AI479" s="15" t="s">
        <v>1420</v>
      </c>
      <c r="AJ479" s="14"/>
      <c r="AK479" s="17"/>
      <c r="AL479" s="18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14"/>
      <c r="AX479" s="14"/>
      <c r="AY479" s="14"/>
      <c r="AZ479" s="14"/>
      <c r="BA479" s="11"/>
      <c r="BB479" s="11"/>
      <c r="BC479" s="11"/>
      <c r="BD479" s="11"/>
      <c r="BE479" s="11"/>
      <c r="BF479" s="11"/>
      <c r="BG479" s="11"/>
      <c r="BH479" s="11"/>
      <c r="BI479" s="11"/>
      <c r="BJ479" s="11"/>
      <c r="BK479" s="11"/>
      <c r="BL479" s="11"/>
      <c r="BM479" s="11"/>
      <c r="BN479" s="11"/>
    </row>
    <row r="480" spans="1:66" s="2" customFormat="1" ht="12.75" x14ac:dyDescent="0.25">
      <c r="A480" s="9">
        <f t="shared" ref="A480" si="15">IF(G475&gt;0,1,0)</f>
        <v>1</v>
      </c>
      <c r="B480" s="6"/>
      <c r="C480" s="6"/>
      <c r="D480" s="24"/>
      <c r="E480" s="12"/>
      <c r="F480" s="25"/>
      <c r="G480" s="12" t="s">
        <v>1421</v>
      </c>
      <c r="H480" s="12"/>
      <c r="I480" s="12"/>
      <c r="J480" s="12"/>
      <c r="K480" s="12"/>
      <c r="L480" s="13"/>
      <c r="M480" s="13"/>
      <c r="N480" s="12"/>
      <c r="O480" s="12"/>
      <c r="P480" s="12"/>
      <c r="Q480" s="14"/>
      <c r="R480" s="15"/>
      <c r="S480" s="16">
        <v>8000</v>
      </c>
      <c r="T480" s="15"/>
      <c r="U480" s="16"/>
      <c r="V480" s="15"/>
      <c r="W480" s="16"/>
      <c r="X480" s="15"/>
      <c r="Y480" s="16"/>
      <c r="Z480" s="15"/>
      <c r="AA480" s="16"/>
      <c r="AB480" s="15"/>
      <c r="AC480" s="16"/>
      <c r="AD480" s="15"/>
      <c r="AE480" s="16"/>
      <c r="AF480" s="15"/>
      <c r="AG480" s="16"/>
      <c r="AH480" s="15"/>
      <c r="AI480" s="15" t="s">
        <v>1422</v>
      </c>
      <c r="AJ480" s="14"/>
      <c r="AK480" s="17"/>
      <c r="AL480" s="18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14"/>
      <c r="AX480" s="14"/>
      <c r="AY480" s="14"/>
      <c r="AZ480" s="14"/>
      <c r="BA480" s="11"/>
      <c r="BB480" s="11"/>
      <c r="BC480" s="11"/>
      <c r="BD480" s="11"/>
      <c r="BE480" s="11"/>
      <c r="BF480" s="11"/>
      <c r="BG480" s="11"/>
      <c r="BH480" s="11"/>
      <c r="BI480" s="11"/>
      <c r="BJ480" s="11"/>
      <c r="BK480" s="11"/>
      <c r="BL480" s="11"/>
      <c r="BM480" s="11"/>
      <c r="BN480" s="11"/>
    </row>
    <row r="481" spans="1:66" s="2" customFormat="1" ht="12.75" x14ac:dyDescent="0.25">
      <c r="A481" s="9">
        <f t="shared" ref="A481" si="16">IF(G476&gt;0,1,0)</f>
        <v>1</v>
      </c>
      <c r="B481" s="6"/>
      <c r="C481" s="6"/>
      <c r="D481" s="24"/>
      <c r="E481" s="12"/>
      <c r="F481" s="25"/>
      <c r="G481" s="12" t="s">
        <v>1423</v>
      </c>
      <c r="H481" s="12"/>
      <c r="I481" s="12"/>
      <c r="J481" s="12"/>
      <c r="K481" s="12"/>
      <c r="L481" s="13"/>
      <c r="M481" s="13"/>
      <c r="N481" s="12"/>
      <c r="O481" s="12"/>
      <c r="P481" s="12"/>
      <c r="Q481" s="14"/>
      <c r="R481" s="15"/>
      <c r="S481" s="16">
        <v>6532771.3000000007</v>
      </c>
      <c r="T481" s="15"/>
      <c r="U481" s="16"/>
      <c r="V481" s="15"/>
      <c r="W481" s="16"/>
      <c r="X481" s="15"/>
      <c r="Y481" s="16"/>
      <c r="Z481" s="15"/>
      <c r="AA481" s="16"/>
      <c r="AB481" s="15"/>
      <c r="AC481" s="16"/>
      <c r="AD481" s="15"/>
      <c r="AE481" s="16"/>
      <c r="AF481" s="15"/>
      <c r="AG481" s="16"/>
      <c r="AH481" s="15"/>
      <c r="AI481" s="15" t="s">
        <v>1424</v>
      </c>
      <c r="AJ481" s="14"/>
      <c r="AK481" s="17"/>
      <c r="AL481" s="18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  <c r="AX481" s="14"/>
      <c r="AY481" s="14"/>
      <c r="AZ481" s="14"/>
      <c r="BA481" s="11"/>
      <c r="BB481" s="11"/>
      <c r="BC481" s="11"/>
      <c r="BD481" s="11"/>
      <c r="BE481" s="11"/>
      <c r="BF481" s="11"/>
      <c r="BG481" s="11"/>
      <c r="BH481" s="11"/>
      <c r="BI481" s="11"/>
      <c r="BJ481" s="11"/>
      <c r="BK481" s="11"/>
      <c r="BL481" s="11"/>
      <c r="BM481" s="11"/>
      <c r="BN481" s="11"/>
    </row>
    <row r="482" spans="1:66" s="2" customFormat="1" ht="12.75" x14ac:dyDescent="0.25">
      <c r="A482" s="9">
        <f t="shared" ref="A482" si="17">IF(G477&gt;0,1,0)</f>
        <v>1</v>
      </c>
      <c r="B482" s="6"/>
      <c r="C482" s="6"/>
      <c r="D482" s="24"/>
      <c r="E482" s="12"/>
      <c r="F482" s="25"/>
      <c r="G482" s="12" t="s">
        <v>1425</v>
      </c>
      <c r="H482" s="12"/>
      <c r="I482" s="12"/>
      <c r="J482" s="12"/>
      <c r="K482" s="12"/>
      <c r="L482" s="13"/>
      <c r="M482" s="13"/>
      <c r="N482" s="12"/>
      <c r="O482" s="12"/>
      <c r="P482" s="12"/>
      <c r="Q482" s="14"/>
      <c r="R482" s="15"/>
      <c r="S482" s="16">
        <v>6532771.3000000007</v>
      </c>
      <c r="T482" s="15"/>
      <c r="U482" s="16"/>
      <c r="V482" s="15"/>
      <c r="W482" s="16"/>
      <c r="X482" s="15"/>
      <c r="Y482" s="16"/>
      <c r="Z482" s="15"/>
      <c r="AA482" s="16"/>
      <c r="AB482" s="15"/>
      <c r="AC482" s="16"/>
      <c r="AD482" s="15"/>
      <c r="AE482" s="16"/>
      <c r="AF482" s="15"/>
      <c r="AG482" s="16"/>
      <c r="AH482" s="15"/>
      <c r="AI482" s="15" t="s">
        <v>1426</v>
      </c>
      <c r="AJ482" s="14"/>
      <c r="AK482" s="17"/>
      <c r="AL482" s="18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14"/>
      <c r="AX482" s="14"/>
      <c r="AY482" s="14"/>
      <c r="AZ482" s="14"/>
      <c r="BA482" s="11"/>
      <c r="BB482" s="11"/>
      <c r="BC482" s="11"/>
      <c r="BD482" s="11"/>
      <c r="BE482" s="11"/>
      <c r="BF482" s="11"/>
      <c r="BG482" s="11"/>
      <c r="BH482" s="11"/>
      <c r="BI482" s="11"/>
      <c r="BJ482" s="11"/>
      <c r="BK482" s="11"/>
      <c r="BL482" s="11"/>
      <c r="BM482" s="11"/>
      <c r="BN482" s="11"/>
    </row>
    <row r="483" spans="1:66" s="2" customFormat="1" ht="12.75" x14ac:dyDescent="0.25">
      <c r="A483" s="9">
        <f t="shared" ref="A483" si="18">IF(G478&gt;0,1,0)</f>
        <v>1</v>
      </c>
      <c r="B483" s="6"/>
      <c r="C483" s="6"/>
      <c r="D483" s="24"/>
      <c r="E483" s="12"/>
      <c r="F483" s="25"/>
      <c r="G483" s="12" t="s">
        <v>1427</v>
      </c>
      <c r="H483" s="12"/>
      <c r="I483" s="12"/>
      <c r="J483" s="12"/>
      <c r="K483" s="12"/>
      <c r="L483" s="13"/>
      <c r="M483" s="13"/>
      <c r="N483" s="12"/>
      <c r="O483" s="12"/>
      <c r="P483" s="12"/>
      <c r="Q483" s="14"/>
      <c r="R483" s="15"/>
      <c r="S483" s="16">
        <v>6532771.3000000007</v>
      </c>
      <c r="T483" s="15"/>
      <c r="U483" s="16"/>
      <c r="V483" s="15"/>
      <c r="W483" s="16"/>
      <c r="X483" s="15"/>
      <c r="Y483" s="16"/>
      <c r="Z483" s="15"/>
      <c r="AA483" s="16"/>
      <c r="AB483" s="15"/>
      <c r="AC483" s="16"/>
      <c r="AD483" s="15"/>
      <c r="AE483" s="16"/>
      <c r="AF483" s="15"/>
      <c r="AG483" s="16"/>
      <c r="AH483" s="15"/>
      <c r="AI483" s="15" t="s">
        <v>1428</v>
      </c>
      <c r="AJ483" s="14"/>
      <c r="AK483" s="17"/>
      <c r="AL483" s="18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14"/>
      <c r="AX483" s="14"/>
      <c r="AY483" s="14"/>
      <c r="AZ483" s="14"/>
      <c r="BA483" s="11"/>
      <c r="BB483" s="11"/>
      <c r="BC483" s="11"/>
      <c r="BD483" s="11"/>
      <c r="BE483" s="11"/>
      <c r="BF483" s="11"/>
      <c r="BG483" s="11"/>
      <c r="BH483" s="11"/>
      <c r="BI483" s="11"/>
      <c r="BJ483" s="11"/>
      <c r="BK483" s="11"/>
      <c r="BL483" s="11"/>
      <c r="BM483" s="11"/>
      <c r="BN483" s="11"/>
    </row>
    <row r="484" spans="1:66" s="2" customFormat="1" ht="12.75" x14ac:dyDescent="0.25">
      <c r="A484" s="9">
        <f t="shared" ref="A484" si="19">IF(G479&gt;0,1,0)</f>
        <v>1</v>
      </c>
      <c r="B484" s="6"/>
      <c r="C484" s="6"/>
      <c r="D484" s="24"/>
      <c r="E484" s="12"/>
      <c r="F484" s="25"/>
      <c r="G484" s="12" t="s">
        <v>1429</v>
      </c>
      <c r="H484" s="12"/>
      <c r="I484" s="12"/>
      <c r="J484" s="12"/>
      <c r="K484" s="12"/>
      <c r="L484" s="13"/>
      <c r="M484" s="13"/>
      <c r="N484" s="12"/>
      <c r="O484" s="12"/>
      <c r="P484" s="12"/>
      <c r="Q484" s="14"/>
      <c r="R484" s="15"/>
      <c r="S484" s="16">
        <v>4590254.8199999994</v>
      </c>
      <c r="T484" s="15"/>
      <c r="U484" s="16"/>
      <c r="V484" s="15"/>
      <c r="W484" s="16"/>
      <c r="X484" s="15"/>
      <c r="Y484" s="16"/>
      <c r="Z484" s="15"/>
      <c r="AA484" s="16"/>
      <c r="AB484" s="15"/>
      <c r="AC484" s="16"/>
      <c r="AD484" s="15"/>
      <c r="AE484" s="16"/>
      <c r="AF484" s="15"/>
      <c r="AG484" s="16"/>
      <c r="AH484" s="15"/>
      <c r="AI484" s="15" t="s">
        <v>1430</v>
      </c>
      <c r="AJ484" s="14"/>
      <c r="AK484" s="17"/>
      <c r="AL484" s="18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14"/>
      <c r="AX484" s="14"/>
      <c r="AY484" s="14"/>
      <c r="AZ484" s="14"/>
      <c r="BA484" s="11"/>
      <c r="BB484" s="11"/>
      <c r="BC484" s="11"/>
      <c r="BD484" s="11"/>
      <c r="BE484" s="11"/>
      <c r="BF484" s="11"/>
      <c r="BG484" s="11"/>
      <c r="BH484" s="11"/>
      <c r="BI484" s="11"/>
      <c r="BJ484" s="11"/>
      <c r="BK484" s="11"/>
      <c r="BL484" s="11"/>
      <c r="BM484" s="11"/>
      <c r="BN484" s="11"/>
    </row>
    <row r="485" spans="1:66" s="2" customFormat="1" ht="12.75" x14ac:dyDescent="0.25">
      <c r="A485" s="9">
        <f t="shared" ref="A485" si="20">IF(G480&gt;0,1,0)</f>
        <v>1</v>
      </c>
      <c r="B485" s="6"/>
      <c r="C485" s="6"/>
      <c r="D485" s="24"/>
      <c r="E485" s="12"/>
      <c r="F485" s="25"/>
      <c r="G485" s="12" t="s">
        <v>1431</v>
      </c>
      <c r="H485" s="12"/>
      <c r="I485" s="12"/>
      <c r="J485" s="12"/>
      <c r="K485" s="12"/>
      <c r="L485" s="13"/>
      <c r="M485" s="13"/>
      <c r="N485" s="12"/>
      <c r="O485" s="12"/>
      <c r="P485" s="12"/>
      <c r="Q485" s="14"/>
      <c r="R485" s="15"/>
      <c r="S485" s="16">
        <v>4917388.8</v>
      </c>
      <c r="T485" s="15"/>
      <c r="U485" s="16"/>
      <c r="V485" s="15"/>
      <c r="W485" s="16"/>
      <c r="X485" s="15"/>
      <c r="Y485" s="16"/>
      <c r="Z485" s="15"/>
      <c r="AA485" s="16"/>
      <c r="AB485" s="15"/>
      <c r="AC485" s="16"/>
      <c r="AD485" s="15"/>
      <c r="AE485" s="16"/>
      <c r="AF485" s="15"/>
      <c r="AG485" s="16"/>
      <c r="AH485" s="15"/>
      <c r="AI485" s="15" t="s">
        <v>1432</v>
      </c>
      <c r="AJ485" s="14"/>
      <c r="AK485" s="17"/>
      <c r="AL485" s="18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14"/>
      <c r="AX485" s="14"/>
      <c r="AY485" s="14"/>
      <c r="AZ485" s="14"/>
      <c r="BA485" s="11"/>
      <c r="BB485" s="11"/>
      <c r="BC485" s="11"/>
      <c r="BD485" s="11"/>
      <c r="BE485" s="11"/>
      <c r="BF485" s="11"/>
      <c r="BG485" s="11"/>
      <c r="BH485" s="11"/>
      <c r="BI485" s="11"/>
      <c r="BJ485" s="11"/>
      <c r="BK485" s="11"/>
      <c r="BL485" s="11"/>
      <c r="BM485" s="11"/>
      <c r="BN485" s="11"/>
    </row>
    <row r="486" spans="1:66" s="2" customFormat="1" ht="12.75" x14ac:dyDescent="0.25">
      <c r="A486" s="9">
        <f t="shared" ref="A486" si="21">IF(G481&gt;0,1,0)</f>
        <v>1</v>
      </c>
      <c r="B486" s="6"/>
      <c r="C486" s="6"/>
      <c r="D486" s="24"/>
      <c r="E486" s="12"/>
      <c r="F486" s="25"/>
      <c r="G486" s="12" t="s">
        <v>1433</v>
      </c>
      <c r="H486" s="12"/>
      <c r="I486" s="12"/>
      <c r="J486" s="12"/>
      <c r="K486" s="12"/>
      <c r="L486" s="13"/>
      <c r="M486" s="13"/>
      <c r="N486" s="12"/>
      <c r="O486" s="12"/>
      <c r="P486" s="12"/>
      <c r="Q486" s="14"/>
      <c r="R486" s="15"/>
      <c r="S486" s="16">
        <v>4917388.8</v>
      </c>
      <c r="T486" s="15"/>
      <c r="U486" s="16"/>
      <c r="V486" s="15"/>
      <c r="W486" s="16"/>
      <c r="X486" s="15"/>
      <c r="Y486" s="16"/>
      <c r="Z486" s="15"/>
      <c r="AA486" s="16"/>
      <c r="AB486" s="15"/>
      <c r="AC486" s="16"/>
      <c r="AD486" s="15"/>
      <c r="AE486" s="16"/>
      <c r="AF486" s="15"/>
      <c r="AG486" s="16"/>
      <c r="AH486" s="15"/>
      <c r="AI486" s="15" t="s">
        <v>1434</v>
      </c>
      <c r="AJ486" s="14"/>
      <c r="AK486" s="17"/>
      <c r="AL486" s="18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14"/>
      <c r="AX486" s="14"/>
      <c r="AY486" s="14"/>
      <c r="AZ486" s="14"/>
      <c r="BA486" s="11"/>
      <c r="BB486" s="11"/>
      <c r="BC486" s="11"/>
      <c r="BD486" s="11"/>
      <c r="BE486" s="11"/>
      <c r="BF486" s="11"/>
      <c r="BG486" s="11"/>
      <c r="BH486" s="11"/>
      <c r="BI486" s="11"/>
      <c r="BJ486" s="11"/>
      <c r="BK486" s="11"/>
      <c r="BL486" s="11"/>
      <c r="BM486" s="11"/>
      <c r="BN486" s="11"/>
    </row>
    <row r="487" spans="1:66" s="2" customFormat="1" ht="12.75" x14ac:dyDescent="0.25">
      <c r="A487" s="9">
        <f t="shared" ref="A487" si="22">IF(G482&gt;0,1,0)</f>
        <v>1</v>
      </c>
      <c r="B487" s="6"/>
      <c r="C487" s="6"/>
      <c r="D487" s="24"/>
      <c r="E487" s="12"/>
      <c r="F487" s="25"/>
      <c r="G487" s="12" t="s">
        <v>1435</v>
      </c>
      <c r="H487" s="12"/>
      <c r="I487" s="12"/>
      <c r="J487" s="12"/>
      <c r="K487" s="12"/>
      <c r="L487" s="13"/>
      <c r="M487" s="13"/>
      <c r="N487" s="12"/>
      <c r="O487" s="12"/>
      <c r="P487" s="12"/>
      <c r="Q487" s="14"/>
      <c r="R487" s="15"/>
      <c r="S487" s="16">
        <v>4917388.8</v>
      </c>
      <c r="T487" s="15"/>
      <c r="U487" s="16"/>
      <c r="V487" s="15"/>
      <c r="W487" s="16"/>
      <c r="X487" s="15"/>
      <c r="Y487" s="16"/>
      <c r="Z487" s="15"/>
      <c r="AA487" s="16"/>
      <c r="AB487" s="15"/>
      <c r="AC487" s="16"/>
      <c r="AD487" s="15"/>
      <c r="AE487" s="16"/>
      <c r="AF487" s="15"/>
      <c r="AG487" s="16"/>
      <c r="AH487" s="15"/>
      <c r="AI487" s="15" t="s">
        <v>1436</v>
      </c>
      <c r="AJ487" s="14"/>
      <c r="AK487" s="17"/>
      <c r="AL487" s="18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14"/>
      <c r="AX487" s="14"/>
      <c r="AY487" s="14"/>
      <c r="AZ487" s="14"/>
      <c r="BA487" s="11"/>
      <c r="BB487" s="11"/>
      <c r="BC487" s="11"/>
      <c r="BD487" s="11"/>
      <c r="BE487" s="11"/>
      <c r="BF487" s="11"/>
      <c r="BG487" s="11"/>
      <c r="BH487" s="11"/>
      <c r="BI487" s="11"/>
      <c r="BJ487" s="11"/>
      <c r="BK487" s="11"/>
      <c r="BL487" s="11"/>
      <c r="BM487" s="11"/>
      <c r="BN487" s="11"/>
    </row>
    <row r="488" spans="1:66" s="2" customFormat="1" ht="12.75" x14ac:dyDescent="0.25">
      <c r="A488" s="9">
        <f t="shared" ref="A488" si="23">IF(G483&gt;0,1,0)</f>
        <v>1</v>
      </c>
      <c r="B488" s="6"/>
      <c r="C488" s="6"/>
      <c r="D488" s="24"/>
      <c r="E488" s="12"/>
      <c r="F488" s="25"/>
      <c r="G488" s="12" t="s">
        <v>1437</v>
      </c>
      <c r="H488" s="12"/>
      <c r="I488" s="12"/>
      <c r="J488" s="12"/>
      <c r="K488" s="12"/>
      <c r="L488" s="13"/>
      <c r="M488" s="13"/>
      <c r="N488" s="12"/>
      <c r="O488" s="12"/>
      <c r="P488" s="12"/>
      <c r="Q488" s="14"/>
      <c r="R488" s="15"/>
      <c r="S488" s="16">
        <v>12478313.400000002</v>
      </c>
      <c r="T488" s="15"/>
      <c r="U488" s="16"/>
      <c r="V488" s="15"/>
      <c r="W488" s="16"/>
      <c r="X488" s="15"/>
      <c r="Y488" s="16"/>
      <c r="Z488" s="15"/>
      <c r="AA488" s="16"/>
      <c r="AB488" s="15"/>
      <c r="AC488" s="16"/>
      <c r="AD488" s="15"/>
      <c r="AE488" s="16"/>
      <c r="AF488" s="15"/>
      <c r="AG488" s="16"/>
      <c r="AH488" s="15"/>
      <c r="AI488" s="15" t="s">
        <v>1438</v>
      </c>
      <c r="AJ488" s="14"/>
      <c r="AK488" s="17"/>
      <c r="AL488" s="18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14"/>
      <c r="AX488" s="14"/>
      <c r="AY488" s="14"/>
      <c r="AZ488" s="14"/>
      <c r="BA488" s="11"/>
      <c r="BB488" s="11"/>
      <c r="BC488" s="11"/>
      <c r="BD488" s="11"/>
      <c r="BE488" s="11"/>
      <c r="BF488" s="11"/>
      <c r="BG488" s="11"/>
      <c r="BH488" s="11"/>
      <c r="BI488" s="11"/>
      <c r="BJ488" s="11"/>
      <c r="BK488" s="11"/>
      <c r="BL488" s="11"/>
      <c r="BM488" s="11"/>
      <c r="BN488" s="11"/>
    </row>
    <row r="489" spans="1:66" s="2" customFormat="1" ht="12.75" x14ac:dyDescent="0.25">
      <c r="A489" s="9">
        <f>IF(G484&gt;0,1,0)</f>
        <v>1</v>
      </c>
      <c r="B489" s="6"/>
      <c r="C489" s="6"/>
      <c r="D489" s="24"/>
      <c r="E489" s="12"/>
      <c r="F489" s="25"/>
      <c r="G489" s="12" t="s">
        <v>1441</v>
      </c>
      <c r="H489" s="12"/>
      <c r="I489" s="12"/>
      <c r="J489" s="12"/>
      <c r="K489" s="12"/>
      <c r="L489" s="13"/>
      <c r="M489" s="13"/>
      <c r="N489" s="12"/>
      <c r="O489" s="12">
        <v>18795898.820000004</v>
      </c>
      <c r="P489" s="12"/>
      <c r="Q489" s="14"/>
      <c r="R489" s="15"/>
      <c r="S489" s="16">
        <v>18820328.660000011</v>
      </c>
      <c r="T489" s="15"/>
      <c r="U489" s="16"/>
      <c r="V489" s="15"/>
      <c r="W489" s="16"/>
      <c r="X489" s="15"/>
      <c r="Y489" s="16"/>
      <c r="Z489" s="15" t="s">
        <v>1493</v>
      </c>
      <c r="AA489" s="16"/>
      <c r="AB489" s="15"/>
      <c r="AC489" s="16"/>
      <c r="AD489" s="15"/>
      <c r="AE489" s="16"/>
      <c r="AF489" s="15"/>
      <c r="AG489" s="16"/>
      <c r="AH489" s="15"/>
      <c r="AI489" s="15" t="s">
        <v>1442</v>
      </c>
      <c r="AJ489" s="14"/>
      <c r="AK489" s="17"/>
      <c r="AL489" s="18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14"/>
      <c r="AX489" s="14"/>
      <c r="AY489" s="14"/>
      <c r="AZ489" s="14"/>
      <c r="BA489" s="11"/>
      <c r="BB489" s="11"/>
      <c r="BC489" s="11"/>
      <c r="BD489" s="11"/>
      <c r="BE489" s="11"/>
      <c r="BF489" s="11"/>
      <c r="BG489" s="11"/>
      <c r="BH489" s="11"/>
      <c r="BI489" s="11"/>
      <c r="BJ489" s="11"/>
      <c r="BK489" s="11"/>
      <c r="BL489" s="11"/>
      <c r="BM489" s="11"/>
      <c r="BN489" s="11"/>
    </row>
    <row r="490" spans="1:66" s="2" customFormat="1" ht="12.75" x14ac:dyDescent="0.25">
      <c r="A490" s="9">
        <f>IF(G485&gt;0,1,0)</f>
        <v>1</v>
      </c>
      <c r="B490" s="6"/>
      <c r="C490" s="6"/>
      <c r="D490" s="24"/>
      <c r="E490" s="12"/>
      <c r="F490" s="25"/>
      <c r="G490" s="12" t="s">
        <v>1443</v>
      </c>
      <c r="H490" s="12"/>
      <c r="I490" s="12"/>
      <c r="J490" s="12"/>
      <c r="K490" s="12"/>
      <c r="L490" s="13"/>
      <c r="M490" s="13"/>
      <c r="N490" s="12"/>
      <c r="O490" s="12">
        <v>29894</v>
      </c>
      <c r="P490" s="12"/>
      <c r="Q490" s="14"/>
      <c r="R490" s="15"/>
      <c r="S490" s="16">
        <v>29894</v>
      </c>
      <c r="T490" s="15"/>
      <c r="U490" s="16"/>
      <c r="V490" s="15"/>
      <c r="W490" s="16"/>
      <c r="X490" s="15"/>
      <c r="Y490" s="16"/>
      <c r="Z490" s="15" t="s">
        <v>1493</v>
      </c>
      <c r="AA490" s="16"/>
      <c r="AB490" s="15"/>
      <c r="AC490" s="16"/>
      <c r="AD490" s="15"/>
      <c r="AE490" s="16"/>
      <c r="AF490" s="15"/>
      <c r="AG490" s="16"/>
      <c r="AH490" s="15"/>
      <c r="AI490" s="15" t="s">
        <v>1444</v>
      </c>
      <c r="AJ490" s="14"/>
      <c r="AK490" s="17"/>
      <c r="AL490" s="18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14"/>
      <c r="AX490" s="14"/>
      <c r="AY490" s="14"/>
      <c r="AZ490" s="14"/>
      <c r="BA490" s="11"/>
      <c r="BB490" s="11"/>
      <c r="BC490" s="11"/>
      <c r="BD490" s="11"/>
      <c r="BE490" s="11"/>
      <c r="BF490" s="11"/>
      <c r="BG490" s="11"/>
      <c r="BH490" s="11"/>
      <c r="BI490" s="11"/>
      <c r="BJ490" s="11"/>
      <c r="BK490" s="11"/>
      <c r="BL490" s="11"/>
      <c r="BM490" s="11"/>
      <c r="BN490" s="11"/>
    </row>
    <row r="491" spans="1:66" s="2" customFormat="1" ht="12.75" x14ac:dyDescent="0.25">
      <c r="A491" s="9">
        <f>IF(G486&gt;0,1,0)</f>
        <v>1</v>
      </c>
      <c r="B491" s="6"/>
      <c r="C491" s="6"/>
      <c r="D491" s="24"/>
      <c r="E491" s="12"/>
      <c r="F491" s="25"/>
      <c r="G491" s="12" t="s">
        <v>1447</v>
      </c>
      <c r="H491" s="12"/>
      <c r="I491" s="12"/>
      <c r="J491" s="12"/>
      <c r="K491" s="12"/>
      <c r="L491" s="13"/>
      <c r="M491" s="13"/>
      <c r="N491" s="12"/>
      <c r="O491" s="12"/>
      <c r="P491" s="12"/>
      <c r="Q491" s="14"/>
      <c r="R491" s="15"/>
      <c r="S491" s="16">
        <v>18852</v>
      </c>
      <c r="T491" s="15"/>
      <c r="U491" s="16"/>
      <c r="V491" s="15"/>
      <c r="W491" s="16"/>
      <c r="X491" s="15"/>
      <c r="Y491" s="16"/>
      <c r="Z491" s="15"/>
      <c r="AA491" s="16"/>
      <c r="AB491" s="15"/>
      <c r="AC491" s="16"/>
      <c r="AD491" s="15"/>
      <c r="AE491" s="16"/>
      <c r="AF491" s="15"/>
      <c r="AG491" s="16"/>
      <c r="AH491" s="15"/>
      <c r="AI491" s="15" t="s">
        <v>1448</v>
      </c>
      <c r="AJ491" s="14"/>
      <c r="AK491" s="17"/>
      <c r="AL491" s="18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14"/>
      <c r="AX491" s="14"/>
      <c r="AY491" s="14"/>
      <c r="AZ491" s="14"/>
      <c r="BA491" s="11"/>
      <c r="BB491" s="11"/>
      <c r="BC491" s="11"/>
      <c r="BD491" s="11"/>
      <c r="BE491" s="11"/>
      <c r="BF491" s="11"/>
      <c r="BG491" s="11"/>
      <c r="BH491" s="11"/>
      <c r="BI491" s="11"/>
      <c r="BJ491" s="11"/>
      <c r="BK491" s="11"/>
      <c r="BL491" s="11"/>
      <c r="BM491" s="11"/>
      <c r="BN491" s="11"/>
    </row>
    <row r="492" spans="1:66" s="2" customFormat="1" ht="12.75" x14ac:dyDescent="0.25">
      <c r="A492" s="9">
        <f>IF(G487&gt;0,1,0)</f>
        <v>1</v>
      </c>
      <c r="B492" s="6"/>
      <c r="C492" s="6"/>
      <c r="D492" s="24"/>
      <c r="E492" s="12"/>
      <c r="F492" s="25"/>
      <c r="G492" s="12" t="s">
        <v>1397</v>
      </c>
      <c r="H492" s="12"/>
      <c r="I492" s="12"/>
      <c r="J492" s="12"/>
      <c r="K492" s="12"/>
      <c r="L492" s="13"/>
      <c r="M492" s="13"/>
      <c r="N492" s="12"/>
      <c r="O492" s="12">
        <v>0</v>
      </c>
      <c r="P492" s="12"/>
      <c r="Q492" s="14"/>
      <c r="R492" s="15"/>
      <c r="S492" s="16">
        <v>2305044.4899999993</v>
      </c>
      <c r="T492" s="15"/>
      <c r="U492" s="16"/>
      <c r="V492" s="15"/>
      <c r="W492" s="16"/>
      <c r="X492" s="15"/>
      <c r="Y492" s="16"/>
      <c r="Z492" s="15" t="s">
        <v>1450</v>
      </c>
      <c r="AA492" s="16"/>
      <c r="AB492" s="15"/>
      <c r="AC492" s="16"/>
      <c r="AD492" s="15"/>
      <c r="AE492" s="16"/>
      <c r="AF492" s="15"/>
      <c r="AG492" s="16"/>
      <c r="AH492" s="15"/>
      <c r="AI492" s="15" t="s">
        <v>1398</v>
      </c>
      <c r="AJ492" s="14"/>
      <c r="AK492" s="17"/>
      <c r="AL492" s="18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14"/>
      <c r="AX492" s="14"/>
      <c r="AY492" s="14"/>
      <c r="AZ492" s="14"/>
      <c r="BA492" s="11"/>
      <c r="BB492" s="11"/>
      <c r="BC492" s="11"/>
      <c r="BD492" s="11"/>
      <c r="BE492" s="11"/>
      <c r="BF492" s="11"/>
      <c r="BG492" s="11"/>
      <c r="BH492" s="11"/>
      <c r="BI492" s="11"/>
      <c r="BJ492" s="11"/>
      <c r="BK492" s="11"/>
      <c r="BL492" s="11"/>
      <c r="BM492" s="11"/>
      <c r="BN492" s="11"/>
    </row>
    <row r="493" spans="1:66" s="2" customFormat="1" ht="12.75" x14ac:dyDescent="0.25">
      <c r="A493" s="9">
        <f>IF(G488&gt;0,1,0)</f>
        <v>1</v>
      </c>
      <c r="B493" s="6"/>
      <c r="C493" s="6"/>
      <c r="D493" s="24"/>
      <c r="E493" s="12"/>
      <c r="F493" s="25"/>
      <c r="G493" s="12" t="s">
        <v>1399</v>
      </c>
      <c r="H493" s="12"/>
      <c r="I493" s="12"/>
      <c r="J493" s="12"/>
      <c r="K493" s="12"/>
      <c r="L493" s="13"/>
      <c r="M493" s="13"/>
      <c r="N493" s="12"/>
      <c r="O493" s="12">
        <v>0</v>
      </c>
      <c r="P493" s="12"/>
      <c r="Q493" s="14"/>
      <c r="R493" s="15"/>
      <c r="S493" s="16">
        <v>24795429.79000001</v>
      </c>
      <c r="T493" s="15"/>
      <c r="U493" s="16"/>
      <c r="V493" s="15"/>
      <c r="W493" s="16"/>
      <c r="X493" s="15"/>
      <c r="Y493" s="16"/>
      <c r="Z493" s="15" t="s">
        <v>1450</v>
      </c>
      <c r="AA493" s="16"/>
      <c r="AB493" s="15"/>
      <c r="AC493" s="16"/>
      <c r="AD493" s="15"/>
      <c r="AE493" s="16"/>
      <c r="AF493" s="15"/>
      <c r="AG493" s="16"/>
      <c r="AH493" s="15"/>
      <c r="AI493" s="15" t="s">
        <v>1400</v>
      </c>
      <c r="AJ493" s="14"/>
      <c r="AK493" s="17"/>
      <c r="AL493" s="18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14"/>
      <c r="AX493" s="14"/>
      <c r="AY493" s="14"/>
      <c r="AZ493" s="14"/>
      <c r="BA493" s="11"/>
      <c r="BB493" s="11"/>
      <c r="BC493" s="11"/>
      <c r="BD493" s="11"/>
      <c r="BE493" s="11"/>
      <c r="BF493" s="11"/>
      <c r="BG493" s="11"/>
      <c r="BH493" s="11"/>
      <c r="BI493" s="11"/>
      <c r="BJ493" s="11"/>
      <c r="BK493" s="11"/>
      <c r="BL493" s="11"/>
      <c r="BM493" s="11"/>
      <c r="BN493" s="11"/>
    </row>
    <row r="494" spans="1:66" s="2" customFormat="1" ht="12.75" x14ac:dyDescent="0.25">
      <c r="A494" s="9">
        <f>IF(G497&gt;0,1,0)</f>
        <v>1</v>
      </c>
      <c r="B494" s="6"/>
      <c r="C494" s="6"/>
      <c r="D494" s="24"/>
      <c r="E494" s="12"/>
      <c r="F494" s="25"/>
      <c r="G494" s="12" t="s">
        <v>1401</v>
      </c>
      <c r="H494" s="12"/>
      <c r="I494" s="12"/>
      <c r="J494" s="12"/>
      <c r="K494" s="12"/>
      <c r="L494" s="13"/>
      <c r="M494" s="13"/>
      <c r="N494" s="12"/>
      <c r="O494" s="12">
        <v>0</v>
      </c>
      <c r="P494" s="12"/>
      <c r="Q494" s="14"/>
      <c r="R494" s="15"/>
      <c r="S494" s="16">
        <v>27100474.279999986</v>
      </c>
      <c r="T494" s="15"/>
      <c r="U494" s="16"/>
      <c r="V494" s="15"/>
      <c r="W494" s="16"/>
      <c r="X494" s="15"/>
      <c r="Y494" s="16"/>
      <c r="Z494" s="15" t="s">
        <v>1450</v>
      </c>
      <c r="AA494" s="16"/>
      <c r="AB494" s="15"/>
      <c r="AC494" s="16"/>
      <c r="AD494" s="15"/>
      <c r="AE494" s="16"/>
      <c r="AF494" s="15"/>
      <c r="AG494" s="16"/>
      <c r="AH494" s="15"/>
      <c r="AI494" s="15" t="s">
        <v>1402</v>
      </c>
      <c r="AJ494" s="14"/>
      <c r="AK494" s="17"/>
      <c r="AL494" s="18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14"/>
      <c r="AX494" s="14"/>
      <c r="AY494" s="14"/>
      <c r="AZ494" s="14"/>
      <c r="BA494" s="11"/>
      <c r="BB494" s="11"/>
      <c r="BC494" s="11"/>
      <c r="BD494" s="11"/>
      <c r="BE494" s="11"/>
      <c r="BF494" s="11"/>
      <c r="BG494" s="11"/>
      <c r="BH494" s="11"/>
      <c r="BI494" s="11"/>
      <c r="BJ494" s="11"/>
      <c r="BK494" s="11"/>
      <c r="BL494" s="11"/>
      <c r="BM494" s="11"/>
      <c r="BN494" s="11"/>
    </row>
    <row r="495" spans="1:66" s="2" customFormat="1" ht="12.75" x14ac:dyDescent="0.25">
      <c r="A495" s="9">
        <f>IF(G489&gt;0,1,0)</f>
        <v>1</v>
      </c>
      <c r="B495" s="6"/>
      <c r="C495" s="6"/>
      <c r="D495" s="24"/>
      <c r="E495" s="12"/>
      <c r="F495" s="25"/>
      <c r="G495" s="12" t="s">
        <v>1405</v>
      </c>
      <c r="H495" s="12"/>
      <c r="I495" s="12"/>
      <c r="J495" s="12"/>
      <c r="K495" s="12"/>
      <c r="L495" s="13"/>
      <c r="M495" s="13"/>
      <c r="N495" s="12"/>
      <c r="O495" s="12">
        <v>1491233.8900000001</v>
      </c>
      <c r="P495" s="12"/>
      <c r="Q495" s="14"/>
      <c r="R495" s="15"/>
      <c r="S495" s="16">
        <v>1579579.49</v>
      </c>
      <c r="T495" s="15"/>
      <c r="U495" s="16"/>
      <c r="V495" s="15"/>
      <c r="W495" s="16"/>
      <c r="X495" s="15"/>
      <c r="Y495" s="16"/>
      <c r="Z495" s="15" t="s">
        <v>1450</v>
      </c>
      <c r="AA495" s="16"/>
      <c r="AB495" s="15"/>
      <c r="AC495" s="16"/>
      <c r="AD495" s="15"/>
      <c r="AE495" s="16"/>
      <c r="AF495" s="15"/>
      <c r="AG495" s="16"/>
      <c r="AH495" s="15"/>
      <c r="AI495" s="15" t="s">
        <v>1406</v>
      </c>
      <c r="AJ495" s="14"/>
      <c r="AK495" s="17"/>
      <c r="AL495" s="18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14"/>
      <c r="AX495" s="14"/>
      <c r="AY495" s="14"/>
      <c r="AZ495" s="14"/>
      <c r="BA495" s="11"/>
      <c r="BB495" s="11"/>
      <c r="BC495" s="11"/>
      <c r="BD495" s="11"/>
      <c r="BE495" s="11"/>
      <c r="BF495" s="11"/>
      <c r="BG495" s="11"/>
      <c r="BH495" s="11"/>
      <c r="BI495" s="11"/>
      <c r="BJ495" s="11"/>
      <c r="BK495" s="11"/>
      <c r="BL495" s="11"/>
      <c r="BM495" s="11"/>
      <c r="BN495" s="11"/>
    </row>
    <row r="496" spans="1:66" s="2" customFormat="1" ht="12.75" x14ac:dyDescent="0.25">
      <c r="A496" s="9">
        <f>IF(G490&gt;0,1,0)</f>
        <v>1</v>
      </c>
      <c r="B496" s="6"/>
      <c r="C496" s="6"/>
      <c r="D496" s="24"/>
      <c r="E496" s="12"/>
      <c r="F496" s="25"/>
      <c r="G496" s="12" t="s">
        <v>1407</v>
      </c>
      <c r="H496" s="12"/>
      <c r="I496" s="12"/>
      <c r="J496" s="12"/>
      <c r="K496" s="12"/>
      <c r="L496" s="13"/>
      <c r="M496" s="13"/>
      <c r="N496" s="12"/>
      <c r="O496" s="12">
        <v>1750042.25</v>
      </c>
      <c r="P496" s="12"/>
      <c r="Q496" s="14"/>
      <c r="R496" s="15"/>
      <c r="S496" s="16">
        <v>1919876.2500000002</v>
      </c>
      <c r="T496" s="15"/>
      <c r="U496" s="16"/>
      <c r="V496" s="15"/>
      <c r="W496" s="16"/>
      <c r="X496" s="15"/>
      <c r="Y496" s="16"/>
      <c r="Z496" s="15" t="s">
        <v>1450</v>
      </c>
      <c r="AA496" s="16"/>
      <c r="AB496" s="15"/>
      <c r="AC496" s="16"/>
      <c r="AD496" s="15"/>
      <c r="AE496" s="16"/>
      <c r="AF496" s="15"/>
      <c r="AG496" s="16"/>
      <c r="AH496" s="15"/>
      <c r="AI496" s="15" t="s">
        <v>1408</v>
      </c>
      <c r="AJ496" s="14"/>
      <c r="AK496" s="17"/>
      <c r="AL496" s="18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14"/>
      <c r="AX496" s="14"/>
      <c r="AY496" s="14"/>
      <c r="AZ496" s="14"/>
      <c r="BA496" s="11"/>
      <c r="BB496" s="11"/>
      <c r="BC496" s="11"/>
      <c r="BD496" s="11"/>
      <c r="BE496" s="11"/>
      <c r="BF496" s="11"/>
      <c r="BG496" s="11"/>
      <c r="BH496" s="11"/>
      <c r="BI496" s="11"/>
      <c r="BJ496" s="11"/>
      <c r="BK496" s="11"/>
      <c r="BL496" s="11"/>
      <c r="BM496" s="11"/>
      <c r="BN496" s="11"/>
    </row>
    <row r="497" spans="1:66" s="2" customFormat="1" ht="12.75" x14ac:dyDescent="0.25">
      <c r="A497" s="9">
        <f>IF(G513&gt;0,1,0)</f>
        <v>1</v>
      </c>
      <c r="B497" s="6"/>
      <c r="C497" s="6"/>
      <c r="D497" s="24"/>
      <c r="E497" s="12"/>
      <c r="F497" s="25"/>
      <c r="G497" s="12" t="s">
        <v>1439</v>
      </c>
      <c r="H497" s="12"/>
      <c r="I497" s="12"/>
      <c r="J497" s="12"/>
      <c r="K497" s="12"/>
      <c r="L497" s="13"/>
      <c r="M497" s="13"/>
      <c r="N497" s="12"/>
      <c r="O497" s="12">
        <v>15965868.24</v>
      </c>
      <c r="P497" s="12"/>
      <c r="Q497" s="14"/>
      <c r="R497" s="15"/>
      <c r="S497" s="16">
        <v>16004462.380000003</v>
      </c>
      <c r="T497" s="15"/>
      <c r="U497" s="16"/>
      <c r="V497" s="15"/>
      <c r="W497" s="16"/>
      <c r="X497" s="15"/>
      <c r="Y497" s="16"/>
      <c r="Z497" s="15" t="s">
        <v>1493</v>
      </c>
      <c r="AA497" s="16"/>
      <c r="AB497" s="15"/>
      <c r="AC497" s="16"/>
      <c r="AD497" s="15"/>
      <c r="AE497" s="16"/>
      <c r="AF497" s="15"/>
      <c r="AG497" s="16"/>
      <c r="AH497" s="15"/>
      <c r="AI497" s="15" t="s">
        <v>1440</v>
      </c>
      <c r="AJ497" s="14"/>
      <c r="AK497" s="17"/>
      <c r="AL497" s="18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14"/>
      <c r="AX497" s="14"/>
      <c r="AY497" s="14"/>
      <c r="AZ497" s="14"/>
      <c r="BA497" s="11"/>
      <c r="BB497" s="11"/>
      <c r="BC497" s="11"/>
      <c r="BD497" s="11"/>
      <c r="BE497" s="11"/>
      <c r="BF497" s="11"/>
      <c r="BG497" s="11"/>
      <c r="BH497" s="11"/>
      <c r="BI497" s="11"/>
      <c r="BJ497" s="11"/>
      <c r="BK497" s="11"/>
      <c r="BL497" s="11"/>
      <c r="BM497" s="11"/>
      <c r="BN497" s="11"/>
    </row>
    <row r="498" spans="1:66" s="2" customFormat="1" ht="12.75" x14ac:dyDescent="0.25">
      <c r="A498" s="9">
        <f>IF(G491&gt;0,1,0)</f>
        <v>1</v>
      </c>
      <c r="B498" s="6"/>
      <c r="C498" s="6"/>
      <c r="D498" s="24"/>
      <c r="E498" s="12"/>
      <c r="F498" s="25"/>
      <c r="G498" s="12" t="s">
        <v>1451</v>
      </c>
      <c r="H498" s="12"/>
      <c r="I498" s="12"/>
      <c r="J498" s="12"/>
      <c r="K498" s="12"/>
      <c r="L498" s="13"/>
      <c r="M498" s="13"/>
      <c r="N498" s="12"/>
      <c r="O498" s="12">
        <v>0</v>
      </c>
      <c r="P498" s="12"/>
      <c r="Q498" s="14"/>
      <c r="R498" s="15"/>
      <c r="S498" s="16">
        <v>10649</v>
      </c>
      <c r="T498" s="15"/>
      <c r="U498" s="16"/>
      <c r="V498" s="15"/>
      <c r="W498" s="16"/>
      <c r="X498" s="15"/>
      <c r="Y498" s="16"/>
      <c r="Z498" s="15" t="s">
        <v>1450</v>
      </c>
      <c r="AA498" s="16"/>
      <c r="AB498" s="15"/>
      <c r="AC498" s="16"/>
      <c r="AD498" s="15"/>
      <c r="AE498" s="16"/>
      <c r="AF498" s="15"/>
      <c r="AG498" s="16"/>
      <c r="AH498" s="15"/>
      <c r="AI498" s="15" t="s">
        <v>1452</v>
      </c>
      <c r="AJ498" s="14"/>
      <c r="AK498" s="17"/>
      <c r="AL498" s="18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14"/>
      <c r="AX498" s="14"/>
      <c r="AY498" s="14"/>
      <c r="AZ498" s="14"/>
      <c r="BA498" s="11"/>
      <c r="BB498" s="11"/>
      <c r="BC498" s="11"/>
      <c r="BD498" s="11"/>
      <c r="BE498" s="11"/>
      <c r="BF498" s="11"/>
      <c r="BG498" s="11"/>
      <c r="BH498" s="11"/>
      <c r="BI498" s="11"/>
      <c r="BJ498" s="11"/>
      <c r="BK498" s="11"/>
      <c r="BL498" s="11"/>
      <c r="BM498" s="11"/>
      <c r="BN498" s="11"/>
    </row>
    <row r="499" spans="1:66" s="2" customFormat="1" ht="12.75" x14ac:dyDescent="0.25">
      <c r="A499" s="9">
        <f>IF(G498&gt;0,1,0)</f>
        <v>1</v>
      </c>
      <c r="B499" s="6"/>
      <c r="C499" s="6"/>
      <c r="D499" s="24"/>
      <c r="E499" s="12"/>
      <c r="F499" s="25"/>
      <c r="G499" s="12" t="s">
        <v>1459</v>
      </c>
      <c r="H499" s="12"/>
      <c r="I499" s="12"/>
      <c r="J499" s="12"/>
      <c r="K499" s="12"/>
      <c r="L499" s="13"/>
      <c r="M499" s="13"/>
      <c r="N499" s="12"/>
      <c r="O499" s="12">
        <v>0</v>
      </c>
      <c r="P499" s="12"/>
      <c r="Q499" s="14"/>
      <c r="R499" s="15"/>
      <c r="S499" s="16">
        <v>1686831.54</v>
      </c>
      <c r="T499" s="15"/>
      <c r="U499" s="16"/>
      <c r="V499" s="15"/>
      <c r="W499" s="16"/>
      <c r="X499" s="15"/>
      <c r="Y499" s="16"/>
      <c r="Z499" s="15" t="s">
        <v>1450</v>
      </c>
      <c r="AA499" s="16"/>
      <c r="AB499" s="15"/>
      <c r="AC499" s="16"/>
      <c r="AD499" s="15"/>
      <c r="AE499" s="16"/>
      <c r="AF499" s="15"/>
      <c r="AG499" s="16"/>
      <c r="AH499" s="15"/>
      <c r="AI499" s="15" t="s">
        <v>1460</v>
      </c>
      <c r="AJ499" s="14"/>
      <c r="AK499" s="17"/>
      <c r="AL499" s="18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14"/>
      <c r="AX499" s="14"/>
      <c r="AY499" s="14"/>
      <c r="AZ499" s="14"/>
      <c r="BA499" s="11"/>
      <c r="BB499" s="11"/>
      <c r="BC499" s="11"/>
      <c r="BD499" s="11"/>
      <c r="BE499" s="11"/>
      <c r="BF499" s="11"/>
      <c r="BG499" s="11"/>
      <c r="BH499" s="11"/>
      <c r="BI499" s="11"/>
      <c r="BJ499" s="11"/>
      <c r="BK499" s="11"/>
      <c r="BL499" s="11"/>
      <c r="BM499" s="11"/>
      <c r="BN499" s="11"/>
    </row>
    <row r="500" spans="1:66" s="2" customFormat="1" ht="12.75" x14ac:dyDescent="0.25">
      <c r="A500" s="9">
        <f>IF(G499&gt;0,1,0)</f>
        <v>1</v>
      </c>
      <c r="B500" s="6"/>
      <c r="C500" s="6"/>
      <c r="D500" s="24"/>
      <c r="E500" s="12"/>
      <c r="F500" s="25"/>
      <c r="G500" s="12" t="s">
        <v>1461</v>
      </c>
      <c r="H500" s="12"/>
      <c r="I500" s="12"/>
      <c r="J500" s="12"/>
      <c r="K500" s="12"/>
      <c r="L500" s="13"/>
      <c r="M500" s="13"/>
      <c r="N500" s="12"/>
      <c r="O500" s="12">
        <v>0</v>
      </c>
      <c r="P500" s="12"/>
      <c r="Q500" s="14"/>
      <c r="R500" s="15"/>
      <c r="S500" s="16">
        <v>4471403.29</v>
      </c>
      <c r="T500" s="15"/>
      <c r="U500" s="16"/>
      <c r="V500" s="15"/>
      <c r="W500" s="16"/>
      <c r="X500" s="15"/>
      <c r="Y500" s="16"/>
      <c r="Z500" s="15" t="s">
        <v>1450</v>
      </c>
      <c r="AA500" s="16"/>
      <c r="AB500" s="15"/>
      <c r="AC500" s="16"/>
      <c r="AD500" s="15"/>
      <c r="AE500" s="16"/>
      <c r="AF500" s="15"/>
      <c r="AG500" s="16"/>
      <c r="AH500" s="15"/>
      <c r="AI500" s="15" t="s">
        <v>1462</v>
      </c>
      <c r="AJ500" s="14"/>
      <c r="AK500" s="17"/>
      <c r="AL500" s="18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14"/>
      <c r="AX500" s="14"/>
      <c r="AY500" s="14"/>
      <c r="AZ500" s="14"/>
      <c r="BA500" s="11"/>
      <c r="BB500" s="11"/>
      <c r="BC500" s="11"/>
      <c r="BD500" s="11"/>
      <c r="BE500" s="11"/>
      <c r="BF500" s="11"/>
      <c r="BG500" s="11"/>
      <c r="BH500" s="11"/>
      <c r="BI500" s="11"/>
      <c r="BJ500" s="11"/>
      <c r="BK500" s="11"/>
      <c r="BL500" s="11"/>
      <c r="BM500" s="11"/>
      <c r="BN500" s="11"/>
    </row>
    <row r="501" spans="1:66" s="2" customFormat="1" ht="12.75" x14ac:dyDescent="0.25">
      <c r="A501" s="9">
        <f>IF(G501&gt;0,1,0)</f>
        <v>1</v>
      </c>
      <c r="B501" s="6"/>
      <c r="C501" s="6"/>
      <c r="D501" s="24"/>
      <c r="E501" s="12"/>
      <c r="F501" s="25"/>
      <c r="G501" s="12" t="s">
        <v>1463</v>
      </c>
      <c r="H501" s="12"/>
      <c r="I501" s="12"/>
      <c r="J501" s="12"/>
      <c r="K501" s="12"/>
      <c r="L501" s="13"/>
      <c r="M501" s="13"/>
      <c r="N501" s="12"/>
      <c r="O501" s="12">
        <v>0</v>
      </c>
      <c r="P501" s="12"/>
      <c r="Q501" s="14"/>
      <c r="R501" s="15"/>
      <c r="S501" s="16">
        <v>4813996.03</v>
      </c>
      <c r="T501" s="15"/>
      <c r="U501" s="16"/>
      <c r="V501" s="15"/>
      <c r="W501" s="16"/>
      <c r="X501" s="15"/>
      <c r="Y501" s="16"/>
      <c r="Z501" s="15" t="s">
        <v>1450</v>
      </c>
      <c r="AA501" s="16"/>
      <c r="AB501" s="15"/>
      <c r="AC501" s="16"/>
      <c r="AD501" s="15"/>
      <c r="AE501" s="16"/>
      <c r="AF501" s="15"/>
      <c r="AG501" s="16"/>
      <c r="AH501" s="15"/>
      <c r="AI501" s="15" t="s">
        <v>1464</v>
      </c>
      <c r="AJ501" s="14"/>
      <c r="AK501" s="17"/>
      <c r="AL501" s="18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14"/>
      <c r="AX501" s="14"/>
      <c r="AY501" s="14"/>
      <c r="AZ501" s="14"/>
      <c r="BA501" s="11"/>
      <c r="BB501" s="11"/>
      <c r="BC501" s="11"/>
      <c r="BD501" s="11"/>
      <c r="BE501" s="11"/>
      <c r="BF501" s="11"/>
      <c r="BG501" s="11"/>
      <c r="BH501" s="11"/>
      <c r="BI501" s="11"/>
      <c r="BJ501" s="11"/>
      <c r="BK501" s="11"/>
      <c r="BL501" s="11"/>
      <c r="BM501" s="11"/>
      <c r="BN501" s="11"/>
    </row>
    <row r="502" spans="1:66" s="2" customFormat="1" ht="12.75" x14ac:dyDescent="0.25">
      <c r="A502" s="9">
        <f>IF(G500&gt;0,1,0)</f>
        <v>1</v>
      </c>
      <c r="B502" s="6"/>
      <c r="C502" s="6"/>
      <c r="D502" s="24"/>
      <c r="E502" s="12"/>
      <c r="F502" s="25"/>
      <c r="G502" s="12" t="s">
        <v>1467</v>
      </c>
      <c r="H502" s="12"/>
      <c r="I502" s="12"/>
      <c r="J502" s="12"/>
      <c r="K502" s="12"/>
      <c r="L502" s="13"/>
      <c r="M502" s="13"/>
      <c r="N502" s="12"/>
      <c r="O502" s="12">
        <v>0</v>
      </c>
      <c r="P502" s="12"/>
      <c r="Q502" s="14"/>
      <c r="R502" s="15"/>
      <c r="S502" s="16">
        <v>4813996.03</v>
      </c>
      <c r="T502" s="15"/>
      <c r="U502" s="16"/>
      <c r="V502" s="15"/>
      <c r="W502" s="16"/>
      <c r="X502" s="15"/>
      <c r="Y502" s="16"/>
      <c r="Z502" s="15" t="s">
        <v>1450</v>
      </c>
      <c r="AA502" s="16"/>
      <c r="AB502" s="15"/>
      <c r="AC502" s="16"/>
      <c r="AD502" s="15"/>
      <c r="AE502" s="16"/>
      <c r="AF502" s="15"/>
      <c r="AG502" s="16"/>
      <c r="AH502" s="15"/>
      <c r="AI502" s="15" t="s">
        <v>1468</v>
      </c>
      <c r="AJ502" s="14"/>
      <c r="AK502" s="17"/>
      <c r="AL502" s="18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14"/>
      <c r="AX502" s="14"/>
      <c r="AY502" s="14"/>
      <c r="AZ502" s="14"/>
      <c r="BA502" s="11"/>
      <c r="BB502" s="11"/>
      <c r="BC502" s="11"/>
      <c r="BD502" s="11"/>
      <c r="BE502" s="11"/>
      <c r="BF502" s="11"/>
      <c r="BG502" s="11"/>
      <c r="BH502" s="11"/>
      <c r="BI502" s="11"/>
      <c r="BJ502" s="11"/>
      <c r="BK502" s="11"/>
      <c r="BL502" s="11"/>
      <c r="BM502" s="11"/>
      <c r="BN502" s="11"/>
    </row>
    <row r="503" spans="1:66" s="2" customFormat="1" ht="12.75" x14ac:dyDescent="0.25">
      <c r="A503" s="9">
        <f>IF(G503&gt;0,1,0)</f>
        <v>1</v>
      </c>
      <c r="B503" s="6"/>
      <c r="C503" s="6"/>
      <c r="D503" s="24"/>
      <c r="E503" s="12"/>
      <c r="F503" s="25"/>
      <c r="G503" s="12" t="s">
        <v>1465</v>
      </c>
      <c r="H503" s="12"/>
      <c r="I503" s="12"/>
      <c r="J503" s="12"/>
      <c r="K503" s="12"/>
      <c r="L503" s="13"/>
      <c r="M503" s="13"/>
      <c r="N503" s="12"/>
      <c r="O503" s="12">
        <v>0</v>
      </c>
      <c r="P503" s="12"/>
      <c r="Q503" s="14"/>
      <c r="R503" s="15"/>
      <c r="S503" s="16">
        <v>4813996.03</v>
      </c>
      <c r="T503" s="15"/>
      <c r="U503" s="16"/>
      <c r="V503" s="15"/>
      <c r="W503" s="16"/>
      <c r="X503" s="15"/>
      <c r="Y503" s="16"/>
      <c r="Z503" s="15" t="s">
        <v>1450</v>
      </c>
      <c r="AA503" s="16"/>
      <c r="AB503" s="15"/>
      <c r="AC503" s="16"/>
      <c r="AD503" s="15"/>
      <c r="AE503" s="16"/>
      <c r="AF503" s="15"/>
      <c r="AG503" s="16"/>
      <c r="AH503" s="15"/>
      <c r="AI503" s="15" t="s">
        <v>1466</v>
      </c>
      <c r="AJ503" s="14"/>
      <c r="AK503" s="17"/>
      <c r="AL503" s="18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14"/>
      <c r="AX503" s="14"/>
      <c r="AY503" s="14"/>
      <c r="AZ503" s="14"/>
      <c r="BA503" s="11"/>
      <c r="BB503" s="11"/>
      <c r="BC503" s="11"/>
      <c r="BD503" s="11"/>
      <c r="BE503" s="11"/>
      <c r="BF503" s="11"/>
      <c r="BG503" s="11"/>
      <c r="BH503" s="11"/>
      <c r="BI503" s="11"/>
      <c r="BJ503" s="11"/>
      <c r="BK503" s="11"/>
      <c r="BL503" s="11"/>
      <c r="BM503" s="11"/>
      <c r="BN503" s="11"/>
    </row>
    <row r="504" spans="1:66" s="2" customFormat="1" ht="12.75" x14ac:dyDescent="0.25">
      <c r="A504" s="9">
        <f>IF(G502&gt;0,1,0)</f>
        <v>1</v>
      </c>
      <c r="B504" s="6"/>
      <c r="C504" s="6"/>
      <c r="D504" s="24"/>
      <c r="E504" s="12"/>
      <c r="F504" s="25"/>
      <c r="G504" s="12" t="s">
        <v>1469</v>
      </c>
      <c r="H504" s="12"/>
      <c r="I504" s="12"/>
      <c r="J504" s="12"/>
      <c r="K504" s="12"/>
      <c r="L504" s="13"/>
      <c r="M504" s="13"/>
      <c r="N504" s="12"/>
      <c r="O504" s="12">
        <v>0</v>
      </c>
      <c r="P504" s="12"/>
      <c r="Q504" s="14"/>
      <c r="R504" s="15"/>
      <c r="S504" s="16">
        <v>1060914.51</v>
      </c>
      <c r="T504" s="15"/>
      <c r="U504" s="16"/>
      <c r="V504" s="15"/>
      <c r="W504" s="16"/>
      <c r="X504" s="15"/>
      <c r="Y504" s="16"/>
      <c r="Z504" s="15" t="s">
        <v>1450</v>
      </c>
      <c r="AA504" s="16"/>
      <c r="AB504" s="15"/>
      <c r="AC504" s="16"/>
      <c r="AD504" s="15"/>
      <c r="AE504" s="16"/>
      <c r="AF504" s="15"/>
      <c r="AG504" s="16"/>
      <c r="AH504" s="15"/>
      <c r="AI504" s="15" t="s">
        <v>1470</v>
      </c>
      <c r="AJ504" s="14"/>
      <c r="AK504" s="17"/>
      <c r="AL504" s="18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14"/>
      <c r="AX504" s="14"/>
      <c r="AY504" s="14"/>
      <c r="AZ504" s="14"/>
      <c r="BA504" s="11"/>
      <c r="BB504" s="11"/>
      <c r="BC504" s="11"/>
      <c r="BD504" s="11"/>
      <c r="BE504" s="11"/>
      <c r="BF504" s="11"/>
      <c r="BG504" s="11"/>
      <c r="BH504" s="11"/>
      <c r="BI504" s="11"/>
      <c r="BJ504" s="11"/>
      <c r="BK504" s="11"/>
      <c r="BL504" s="11"/>
      <c r="BM504" s="11"/>
      <c r="BN504" s="11"/>
    </row>
    <row r="505" spans="1:66" s="2" customFormat="1" ht="12.75" x14ac:dyDescent="0.25">
      <c r="A505" s="9">
        <f>IF(G504&gt;0,1,0)</f>
        <v>1</v>
      </c>
      <c r="B505" s="6"/>
      <c r="C505" s="6"/>
      <c r="D505" s="24"/>
      <c r="E505" s="12"/>
      <c r="F505" s="25"/>
      <c r="G505" s="12" t="s">
        <v>1471</v>
      </c>
      <c r="H505" s="12"/>
      <c r="I505" s="12"/>
      <c r="J505" s="12"/>
      <c r="K505" s="12"/>
      <c r="L505" s="13"/>
      <c r="M505" s="13"/>
      <c r="N505" s="12"/>
      <c r="O505" s="12">
        <v>0</v>
      </c>
      <c r="P505" s="12"/>
      <c r="Q505" s="14"/>
      <c r="R505" s="15"/>
      <c r="S505" s="16">
        <v>89514.9</v>
      </c>
      <c r="T505" s="15"/>
      <c r="U505" s="16"/>
      <c r="V505" s="15"/>
      <c r="W505" s="16"/>
      <c r="X505" s="15"/>
      <c r="Y505" s="16"/>
      <c r="Z505" s="15" t="s">
        <v>1450</v>
      </c>
      <c r="AA505" s="16"/>
      <c r="AB505" s="15"/>
      <c r="AC505" s="16"/>
      <c r="AD505" s="15"/>
      <c r="AE505" s="16"/>
      <c r="AF505" s="15"/>
      <c r="AG505" s="16"/>
      <c r="AH505" s="15"/>
      <c r="AI505" s="15" t="s">
        <v>1472</v>
      </c>
      <c r="AJ505" s="14"/>
      <c r="AK505" s="17"/>
      <c r="AL505" s="18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14"/>
      <c r="AX505" s="14"/>
      <c r="AY505" s="14"/>
      <c r="AZ505" s="14"/>
      <c r="BA505" s="11"/>
      <c r="BB505" s="11"/>
      <c r="BC505" s="11"/>
      <c r="BD505" s="11"/>
      <c r="BE505" s="11"/>
      <c r="BF505" s="11"/>
      <c r="BG505" s="11"/>
      <c r="BH505" s="11"/>
      <c r="BI505" s="11"/>
      <c r="BJ505" s="11"/>
      <c r="BK505" s="11"/>
      <c r="BL505" s="11"/>
      <c r="BM505" s="11"/>
      <c r="BN505" s="11"/>
    </row>
    <row r="506" spans="1:66" s="2" customFormat="1" x14ac:dyDescent="0.25">
      <c r="A506" s="9">
        <f>IF(G505&gt;0,1,0)</f>
        <v>1</v>
      </c>
      <c r="B506" s="6"/>
      <c r="C506" s="6"/>
      <c r="D506" s="19"/>
      <c r="E506" s="19"/>
      <c r="F506" s="19"/>
      <c r="G506" s="19" t="s">
        <v>1475</v>
      </c>
      <c r="H506" s="19"/>
      <c r="I506" s="19"/>
      <c r="J506" s="19"/>
      <c r="K506" s="19"/>
      <c r="L506" s="19"/>
      <c r="M506" s="19"/>
      <c r="N506" s="19"/>
      <c r="O506" s="19">
        <v>0</v>
      </c>
      <c r="P506" s="19"/>
      <c r="Q506" s="19"/>
      <c r="R506" s="19"/>
      <c r="S506" s="19">
        <v>21912</v>
      </c>
      <c r="T506" s="19"/>
      <c r="U506" s="19"/>
      <c r="V506" s="19"/>
      <c r="W506" s="19"/>
      <c r="X506" s="19"/>
      <c r="Y506" s="19"/>
      <c r="Z506" s="19" t="s">
        <v>1450</v>
      </c>
      <c r="AA506" s="19"/>
      <c r="AB506" s="19"/>
      <c r="AC506" s="19"/>
      <c r="AD506" s="19"/>
      <c r="AE506" s="19"/>
      <c r="AF506" s="19"/>
      <c r="AG506" s="19"/>
      <c r="AH506" s="19"/>
      <c r="AI506" s="19" t="s">
        <v>1476</v>
      </c>
      <c r="AJ506" s="19"/>
      <c r="AK506" s="19"/>
      <c r="AL506" s="19"/>
      <c r="AM506" s="19"/>
      <c r="AN506" s="19"/>
      <c r="AO506" s="19"/>
      <c r="AP506" s="19"/>
      <c r="AQ506" s="19"/>
      <c r="AR506" s="19"/>
      <c r="AS506" s="19"/>
      <c r="AT506" s="19"/>
      <c r="AU506" s="19"/>
      <c r="AV506" s="19"/>
      <c r="AW506" s="19"/>
      <c r="AX506" s="19"/>
      <c r="AY506" s="19"/>
      <c r="AZ506" s="19"/>
      <c r="BA506" s="4"/>
      <c r="BB506" s="11"/>
      <c r="BC506" s="11"/>
      <c r="BD506" s="11"/>
      <c r="BE506" s="11"/>
      <c r="BF506" s="11"/>
      <c r="BG506" s="11"/>
      <c r="BH506" s="11"/>
      <c r="BI506" s="11"/>
      <c r="BJ506" s="11"/>
      <c r="BK506" s="11"/>
      <c r="BL506" s="11"/>
      <c r="BM506" s="11"/>
      <c r="BN506" s="11"/>
    </row>
    <row r="507" spans="1:66" x14ac:dyDescent="0.25">
      <c r="A507" s="9">
        <f>IF(G507&gt;0,1,0)</f>
        <v>1</v>
      </c>
      <c r="G507" s="19" t="s">
        <v>1473</v>
      </c>
      <c r="O507" s="19">
        <v>33112.5</v>
      </c>
      <c r="S507" s="19">
        <v>33112.5</v>
      </c>
      <c r="Z507" s="19" t="s">
        <v>1450</v>
      </c>
      <c r="AI507" s="19" t="s">
        <v>1474</v>
      </c>
    </row>
    <row r="508" spans="1:66" x14ac:dyDescent="0.25">
      <c r="A508" s="9">
        <f>IF(G508&gt;0,1,0)</f>
        <v>1</v>
      </c>
      <c r="G508" s="19" t="s">
        <v>1477</v>
      </c>
      <c r="O508" s="19">
        <v>90978.450000000012</v>
      </c>
      <c r="S508" s="19">
        <v>90978.450000000012</v>
      </c>
      <c r="Z508" s="19" t="s">
        <v>1450</v>
      </c>
      <c r="AI508" s="19" t="s">
        <v>1478</v>
      </c>
    </row>
    <row r="509" spans="1:66" x14ac:dyDescent="0.25">
      <c r="A509" s="9">
        <f>IF(G506&gt;0,1,0)</f>
        <v>1</v>
      </c>
      <c r="G509" s="19" t="s">
        <v>1479</v>
      </c>
      <c r="O509" s="19">
        <v>0</v>
      </c>
      <c r="S509" s="19">
        <v>346418</v>
      </c>
      <c r="Z509" s="19" t="s">
        <v>1450</v>
      </c>
      <c r="AI509" s="19" t="s">
        <v>1480</v>
      </c>
    </row>
    <row r="510" spans="1:66" x14ac:dyDescent="0.25">
      <c r="A510" s="9">
        <f t="shared" ref="A510" si="24">IF(G509&gt;0,1,0)</f>
        <v>1</v>
      </c>
      <c r="G510" s="19" t="s">
        <v>1481</v>
      </c>
      <c r="O510" s="19">
        <v>0</v>
      </c>
      <c r="S510" s="19">
        <v>660935.05000000005</v>
      </c>
      <c r="Z510" s="19" t="s">
        <v>1450</v>
      </c>
      <c r="AI510" s="19" t="s">
        <v>1482</v>
      </c>
    </row>
    <row r="511" spans="1:66" x14ac:dyDescent="0.25">
      <c r="A511" s="9">
        <f>IF(G511&gt;0,1,0)</f>
        <v>1</v>
      </c>
      <c r="G511" s="19" t="s">
        <v>1483</v>
      </c>
      <c r="O511" s="19">
        <v>0</v>
      </c>
      <c r="S511" s="19">
        <v>17544591.750000004</v>
      </c>
      <c r="Z511" s="19" t="s">
        <v>1493</v>
      </c>
      <c r="AI511" s="19" t="s">
        <v>1484</v>
      </c>
    </row>
    <row r="512" spans="1:66" x14ac:dyDescent="0.25">
      <c r="A512" s="9">
        <f>IF(G510&gt;0,1,0)</f>
        <v>1</v>
      </c>
      <c r="G512" s="19" t="s">
        <v>1485</v>
      </c>
      <c r="O512" s="19">
        <v>0</v>
      </c>
      <c r="S512" s="19">
        <v>46908.17</v>
      </c>
      <c r="Z512" s="19" t="s">
        <v>1450</v>
      </c>
      <c r="AI512" s="19" t="s">
        <v>1486</v>
      </c>
    </row>
    <row r="513" spans="1:53" x14ac:dyDescent="0.25">
      <c r="A513" s="9">
        <f t="shared" ref="A513" si="25">IF(G512&gt;0,1,0)</f>
        <v>1</v>
      </c>
      <c r="D513" s="24"/>
      <c r="E513" s="12"/>
      <c r="F513" s="25"/>
      <c r="G513" s="12" t="s">
        <v>1445</v>
      </c>
      <c r="H513" s="12"/>
      <c r="I513" s="12"/>
      <c r="J513" s="12"/>
      <c r="K513" s="12"/>
      <c r="L513" s="13"/>
      <c r="M513" s="13"/>
      <c r="N513" s="12"/>
      <c r="O513" s="12">
        <v>0</v>
      </c>
      <c r="P513" s="12"/>
      <c r="Q513" s="14"/>
      <c r="R513" s="15"/>
      <c r="S513" s="16">
        <v>5077707.4400000013</v>
      </c>
      <c r="T513" s="15"/>
      <c r="U513" s="16"/>
      <c r="V513" s="15"/>
      <c r="W513" s="16"/>
      <c r="X513" s="15"/>
      <c r="Y513" s="16"/>
      <c r="Z513" s="15" t="s">
        <v>1493</v>
      </c>
      <c r="AA513" s="16"/>
      <c r="AB513" s="15"/>
      <c r="AC513" s="16"/>
      <c r="AD513" s="15"/>
      <c r="AE513" s="16"/>
      <c r="AF513" s="15"/>
      <c r="AG513" s="16"/>
      <c r="AH513" s="15"/>
      <c r="AI513" s="15" t="s">
        <v>1446</v>
      </c>
      <c r="AJ513" s="14"/>
      <c r="AK513" s="17"/>
      <c r="AL513" s="18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14"/>
      <c r="AX513" s="14"/>
      <c r="AY513" s="14"/>
      <c r="AZ513" s="14"/>
      <c r="BA513" s="11"/>
    </row>
    <row r="514" spans="1:53" x14ac:dyDescent="0.25">
      <c r="A514" s="9">
        <f t="shared" ref="A514:A523" si="26">IF(G514&gt;0,1,0)</f>
        <v>1</v>
      </c>
      <c r="G514" s="19" t="s">
        <v>1487</v>
      </c>
      <c r="O514" s="19">
        <v>0</v>
      </c>
      <c r="S514" s="19">
        <v>4996838.6400000006</v>
      </c>
      <c r="Z514" s="19" t="s">
        <v>1493</v>
      </c>
      <c r="AI514" s="19" t="s">
        <v>1488</v>
      </c>
    </row>
    <row r="515" spans="1:53" x14ac:dyDescent="0.25">
      <c r="A515" s="9">
        <f t="shared" si="26"/>
        <v>1</v>
      </c>
      <c r="G515" s="19" t="s">
        <v>1489</v>
      </c>
      <c r="O515" s="19">
        <v>41043</v>
      </c>
      <c r="S515" s="19">
        <v>41043</v>
      </c>
      <c r="Z515" s="19" t="s">
        <v>1493</v>
      </c>
      <c r="AI515" s="19" t="s">
        <v>1490</v>
      </c>
    </row>
    <row r="516" spans="1:53" x14ac:dyDescent="0.25">
      <c r="A516" s="9">
        <f t="shared" si="26"/>
        <v>1</v>
      </c>
      <c r="G516" s="19" t="s">
        <v>1491</v>
      </c>
      <c r="O516" s="19">
        <v>0</v>
      </c>
      <c r="S516" s="19">
        <v>36554</v>
      </c>
      <c r="Z516" s="19" t="s">
        <v>1450</v>
      </c>
      <c r="AI516" s="19" t="s">
        <v>1492</v>
      </c>
    </row>
    <row r="517" spans="1:53" x14ac:dyDescent="0.25">
      <c r="A517" s="9">
        <f t="shared" si="26"/>
        <v>1</v>
      </c>
      <c r="G517" s="19" t="s">
        <v>1494</v>
      </c>
      <c r="O517" s="19">
        <v>2613206.9699999988</v>
      </c>
      <c r="S517" s="19">
        <v>2770218.6699999995</v>
      </c>
      <c r="Z517" s="19" t="s">
        <v>1493</v>
      </c>
      <c r="AI517" s="19" t="s">
        <v>1495</v>
      </c>
    </row>
    <row r="518" spans="1:53" x14ac:dyDescent="0.25">
      <c r="A518" s="9">
        <f t="shared" si="26"/>
        <v>1</v>
      </c>
      <c r="G518" s="19" t="s">
        <v>1496</v>
      </c>
      <c r="O518" s="19">
        <v>0</v>
      </c>
      <c r="S518" s="19">
        <v>2295903.1900000004</v>
      </c>
      <c r="Z518" s="19" t="s">
        <v>1493</v>
      </c>
      <c r="AI518" s="19" t="s">
        <v>1497</v>
      </c>
    </row>
    <row r="519" spans="1:53" x14ac:dyDescent="0.25">
      <c r="A519" s="9">
        <f t="shared" si="26"/>
        <v>1</v>
      </c>
      <c r="G519" s="19" t="s">
        <v>1498</v>
      </c>
      <c r="O519" s="19">
        <v>0</v>
      </c>
      <c r="S519" s="19">
        <v>0</v>
      </c>
      <c r="Z519" s="19" t="s">
        <v>1493</v>
      </c>
      <c r="AI519" s="19" t="s">
        <v>1499</v>
      </c>
    </row>
    <row r="520" spans="1:53" x14ac:dyDescent="0.25">
      <c r="A520" s="9">
        <f t="shared" si="26"/>
        <v>1</v>
      </c>
      <c r="G520" s="19" t="s">
        <v>1500</v>
      </c>
      <c r="O520" s="19">
        <v>12280117.689999998</v>
      </c>
      <c r="S520" s="19">
        <v>25320325.630000006</v>
      </c>
      <c r="Z520" s="19" t="s">
        <v>1493</v>
      </c>
      <c r="AI520" s="19" t="s">
        <v>1501</v>
      </c>
    </row>
    <row r="521" spans="1:53" x14ac:dyDescent="0.25">
      <c r="A521" s="9">
        <f t="shared" si="26"/>
        <v>1</v>
      </c>
      <c r="G521" s="19" t="s">
        <v>1502</v>
      </c>
      <c r="O521" s="19">
        <v>1736280.1300000004</v>
      </c>
      <c r="S521" s="19">
        <v>2151145.8800000004</v>
      </c>
      <c r="Z521" s="19" t="s">
        <v>1493</v>
      </c>
      <c r="AI521" s="19" t="s">
        <v>1503</v>
      </c>
    </row>
    <row r="522" spans="1:53" x14ac:dyDescent="0.25">
      <c r="A522" s="9">
        <f t="shared" si="26"/>
        <v>1</v>
      </c>
      <c r="G522" s="19" t="s">
        <v>1504</v>
      </c>
      <c r="O522" s="19">
        <v>0</v>
      </c>
      <c r="S522" s="19">
        <v>23748</v>
      </c>
      <c r="Z522" s="19" t="s">
        <v>1493</v>
      </c>
      <c r="AI522" s="19" t="s">
        <v>1505</v>
      </c>
    </row>
    <row r="523" spans="1:53" x14ac:dyDescent="0.25">
      <c r="A523" s="9">
        <f t="shared" si="26"/>
        <v>1</v>
      </c>
      <c r="G523" s="19" t="s">
        <v>1506</v>
      </c>
      <c r="O523" s="19">
        <v>0</v>
      </c>
      <c r="S523" s="19">
        <v>172752</v>
      </c>
      <c r="Z523" s="19" t="s">
        <v>1493</v>
      </c>
      <c r="AI523" s="19" t="s">
        <v>1507</v>
      </c>
    </row>
    <row r="524" spans="1:53" x14ac:dyDescent="0.25">
      <c r="A524" s="9">
        <f t="shared" ref="A524:A545" si="27">IF(G524&gt;0,1,0)</f>
        <v>1</v>
      </c>
      <c r="G524" s="19" t="s">
        <v>1508</v>
      </c>
      <c r="O524" s="19">
        <v>6513274.6000000006</v>
      </c>
      <c r="S524" s="19">
        <v>6556198.6000000006</v>
      </c>
      <c r="Z524" s="19" t="s">
        <v>1493</v>
      </c>
      <c r="AI524" s="19" t="s">
        <v>1509</v>
      </c>
    </row>
    <row r="525" spans="1:53" x14ac:dyDescent="0.25">
      <c r="A525" s="9">
        <f t="shared" si="27"/>
        <v>1</v>
      </c>
      <c r="G525" s="19" t="s">
        <v>1510</v>
      </c>
      <c r="O525" s="19">
        <v>30397.5</v>
      </c>
      <c r="S525" s="19">
        <v>30397.5</v>
      </c>
      <c r="Z525" s="19" t="s">
        <v>1493</v>
      </c>
      <c r="AI525" s="19" t="s">
        <v>1511</v>
      </c>
    </row>
    <row r="526" spans="1:53" x14ac:dyDescent="0.25">
      <c r="A526" s="9">
        <f t="shared" si="27"/>
        <v>1</v>
      </c>
      <c r="G526" s="19" t="s">
        <v>1512</v>
      </c>
      <c r="O526" s="19">
        <v>0</v>
      </c>
      <c r="S526" s="19">
        <v>7143585.25</v>
      </c>
      <c r="Z526" s="19" t="s">
        <v>1493</v>
      </c>
      <c r="AI526" s="19" t="s">
        <v>1513</v>
      </c>
    </row>
    <row r="527" spans="1:53" x14ac:dyDescent="0.25">
      <c r="A527" s="9">
        <f t="shared" si="27"/>
        <v>1</v>
      </c>
      <c r="G527" s="19" t="s">
        <v>1514</v>
      </c>
      <c r="O527" s="19">
        <v>694508.57000000007</v>
      </c>
      <c r="S527" s="19">
        <v>694508.57000000007</v>
      </c>
      <c r="Z527" s="19" t="s">
        <v>1493</v>
      </c>
      <c r="AI527" s="19" t="s">
        <v>1515</v>
      </c>
    </row>
    <row r="528" spans="1:53" x14ac:dyDescent="0.25">
      <c r="A528" s="9">
        <f t="shared" si="27"/>
        <v>1</v>
      </c>
      <c r="G528" s="19" t="s">
        <v>1516</v>
      </c>
      <c r="O528" s="19">
        <v>0</v>
      </c>
      <c r="S528" s="19">
        <v>64665.390000000007</v>
      </c>
      <c r="Z528" s="19" t="s">
        <v>1493</v>
      </c>
      <c r="AI528" s="19" t="s">
        <v>1517</v>
      </c>
    </row>
    <row r="529" spans="1:35" x14ac:dyDescent="0.25">
      <c r="A529" s="9">
        <f t="shared" si="27"/>
        <v>1</v>
      </c>
      <c r="G529" s="19" t="s">
        <v>1518</v>
      </c>
      <c r="O529" s="19">
        <v>47728.71</v>
      </c>
      <c r="S529" s="19">
        <v>47728.71</v>
      </c>
      <c r="Z529" s="19" t="s">
        <v>1493</v>
      </c>
      <c r="AI529" s="19" t="s">
        <v>1519</v>
      </c>
    </row>
    <row r="530" spans="1:35" x14ac:dyDescent="0.25">
      <c r="A530" s="9">
        <f t="shared" si="27"/>
        <v>1</v>
      </c>
      <c r="G530" s="19" t="s">
        <v>1520</v>
      </c>
      <c r="O530" s="19">
        <v>59803.24</v>
      </c>
      <c r="S530" s="19">
        <v>59803.24</v>
      </c>
      <c r="Z530" s="19" t="s">
        <v>1493</v>
      </c>
      <c r="AI530" s="19" t="s">
        <v>1521</v>
      </c>
    </row>
    <row r="531" spans="1:35" x14ac:dyDescent="0.25">
      <c r="A531" s="9">
        <f t="shared" si="27"/>
        <v>1</v>
      </c>
      <c r="G531" s="19" t="s">
        <v>1522</v>
      </c>
      <c r="O531" s="19">
        <v>74011.98</v>
      </c>
      <c r="S531" s="19">
        <v>74011.98</v>
      </c>
      <c r="Z531" s="19" t="s">
        <v>1493</v>
      </c>
      <c r="AI531" s="19" t="s">
        <v>1523</v>
      </c>
    </row>
    <row r="532" spans="1:35" x14ac:dyDescent="0.25">
      <c r="A532" s="9">
        <f t="shared" si="27"/>
        <v>1</v>
      </c>
      <c r="G532" s="19">
        <v>44615</v>
      </c>
      <c r="O532" s="19">
        <v>0</v>
      </c>
      <c r="S532" s="19">
        <v>5872680.7600000007</v>
      </c>
      <c r="Z532" s="19" t="s">
        <v>1493</v>
      </c>
      <c r="AI532" s="19" t="s">
        <v>1524</v>
      </c>
    </row>
    <row r="533" spans="1:35" x14ac:dyDescent="0.25">
      <c r="A533" s="9">
        <f t="shared" si="27"/>
        <v>1</v>
      </c>
      <c r="G533" s="19" t="s">
        <v>1525</v>
      </c>
      <c r="O533" s="19">
        <v>0</v>
      </c>
      <c r="S533" s="19">
        <v>6632954.0100000007</v>
      </c>
      <c r="Z533" s="19" t="s">
        <v>1493</v>
      </c>
      <c r="AI533" s="19" t="s">
        <v>1526</v>
      </c>
    </row>
    <row r="534" spans="1:35" x14ac:dyDescent="0.25">
      <c r="A534" s="9">
        <f t="shared" si="27"/>
        <v>1</v>
      </c>
      <c r="G534" s="19" t="s">
        <v>1527</v>
      </c>
      <c r="O534" s="19">
        <v>6435751.7999999998</v>
      </c>
      <c r="S534" s="19">
        <v>6613927.4500000002</v>
      </c>
      <c r="Z534" s="19" t="s">
        <v>1493</v>
      </c>
      <c r="AI534" s="19" t="s">
        <v>1528</v>
      </c>
    </row>
    <row r="535" spans="1:35" x14ac:dyDescent="0.25">
      <c r="A535" s="9">
        <f t="shared" si="27"/>
        <v>1</v>
      </c>
      <c r="G535" s="19" t="s">
        <v>1529</v>
      </c>
      <c r="O535" s="19">
        <v>9212.7000000000007</v>
      </c>
      <c r="S535" s="19">
        <v>9212.7000000000007</v>
      </c>
      <c r="Z535" s="19" t="s">
        <v>1493</v>
      </c>
      <c r="AI535" s="19" t="s">
        <v>1530</v>
      </c>
    </row>
    <row r="536" spans="1:35" x14ac:dyDescent="0.25">
      <c r="A536" s="9">
        <f t="shared" si="27"/>
        <v>1</v>
      </c>
      <c r="G536" s="19" t="s">
        <v>1531</v>
      </c>
      <c r="O536" s="19">
        <v>9212.7000000000007</v>
      </c>
      <c r="S536" s="19">
        <v>9212.7000000000007</v>
      </c>
      <c r="Z536" s="19" t="s">
        <v>1493</v>
      </c>
      <c r="AI536" s="19" t="s">
        <v>1532</v>
      </c>
    </row>
    <row r="537" spans="1:35" x14ac:dyDescent="0.25">
      <c r="A537" s="9">
        <f t="shared" si="27"/>
        <v>1</v>
      </c>
      <c r="G537" s="19" t="s">
        <v>1533</v>
      </c>
      <c r="O537" s="19">
        <v>18425.400000000001</v>
      </c>
      <c r="S537" s="19">
        <v>18425.400000000001</v>
      </c>
      <c r="Z537" s="19" t="s">
        <v>1493</v>
      </c>
      <c r="AI537" s="19" t="s">
        <v>1534</v>
      </c>
    </row>
    <row r="538" spans="1:35" x14ac:dyDescent="0.25">
      <c r="A538" s="9">
        <f t="shared" si="27"/>
        <v>1</v>
      </c>
      <c r="G538" s="19" t="s">
        <v>1535</v>
      </c>
      <c r="O538" s="19">
        <v>20978.82</v>
      </c>
      <c r="S538" s="19">
        <v>20978.82</v>
      </c>
      <c r="Z538" s="19" t="s">
        <v>1493</v>
      </c>
      <c r="AI538" s="19" t="s">
        <v>1536</v>
      </c>
    </row>
    <row r="539" spans="1:35" x14ac:dyDescent="0.25">
      <c r="A539" s="9">
        <f t="shared" si="27"/>
        <v>1</v>
      </c>
      <c r="G539" s="19" t="s">
        <v>1537</v>
      </c>
      <c r="O539" s="19">
        <v>0</v>
      </c>
      <c r="S539" s="19">
        <v>235003.16</v>
      </c>
      <c r="Z539" s="19" t="s">
        <v>1493</v>
      </c>
      <c r="AI539" s="19" t="s">
        <v>1538</v>
      </c>
    </row>
    <row r="540" spans="1:35" x14ac:dyDescent="0.25">
      <c r="A540" s="9">
        <f t="shared" si="27"/>
        <v>1</v>
      </c>
      <c r="G540" s="19" t="s">
        <v>1539</v>
      </c>
      <c r="O540" s="19">
        <v>0</v>
      </c>
      <c r="S540" s="19">
        <v>36210826.969999984</v>
      </c>
      <c r="Z540" s="19" t="s">
        <v>1493</v>
      </c>
      <c r="AI540" s="19" t="s">
        <v>1540</v>
      </c>
    </row>
    <row r="541" spans="1:35" x14ac:dyDescent="0.25">
      <c r="A541" s="9">
        <f t="shared" si="27"/>
        <v>1</v>
      </c>
      <c r="G541" s="19" t="s">
        <v>1541</v>
      </c>
      <c r="O541" s="19">
        <v>17197272.480000004</v>
      </c>
      <c r="S541" s="19">
        <v>17239404.780000005</v>
      </c>
      <c r="Z541" s="19" t="s">
        <v>1493</v>
      </c>
      <c r="AI541" s="19" t="s">
        <v>1542</v>
      </c>
    </row>
    <row r="542" spans="1:35" x14ac:dyDescent="0.25">
      <c r="A542" s="9">
        <f t="shared" si="27"/>
        <v>1</v>
      </c>
      <c r="G542" s="19" t="s">
        <v>1543</v>
      </c>
      <c r="O542" s="19">
        <v>0</v>
      </c>
      <c r="S542" s="19">
        <v>7450027.8599999985</v>
      </c>
      <c r="Z542" s="19" t="s">
        <v>1493</v>
      </c>
      <c r="AI542" s="19" t="s">
        <v>1544</v>
      </c>
    </row>
    <row r="543" spans="1:35" x14ac:dyDescent="0.25">
      <c r="A543" s="9">
        <f t="shared" si="27"/>
        <v>1</v>
      </c>
      <c r="G543" s="19" t="s">
        <v>1545</v>
      </c>
      <c r="O543" s="19">
        <v>298940.66000000003</v>
      </c>
      <c r="S543" s="19">
        <v>298940.66000000003</v>
      </c>
      <c r="Z543" s="19" t="s">
        <v>1493</v>
      </c>
      <c r="AI543" s="19" t="s">
        <v>1546</v>
      </c>
    </row>
    <row r="544" spans="1:35" x14ac:dyDescent="0.25">
      <c r="A544" s="9">
        <f t="shared" si="27"/>
        <v>1</v>
      </c>
      <c r="G544" s="19" t="s">
        <v>1547</v>
      </c>
      <c r="O544" s="19">
        <v>0</v>
      </c>
      <c r="S544" s="19">
        <v>1597485.13</v>
      </c>
      <c r="Z544" s="19" t="s">
        <v>1450</v>
      </c>
      <c r="AI544" s="19" t="s">
        <v>1548</v>
      </c>
    </row>
    <row r="545" spans="1:35" x14ac:dyDescent="0.25">
      <c r="A545" s="9">
        <f t="shared" si="27"/>
        <v>1</v>
      </c>
      <c r="G545" s="19" t="s">
        <v>1549</v>
      </c>
      <c r="O545" s="19">
        <v>0</v>
      </c>
      <c r="S545" s="19">
        <v>9099903.7599999998</v>
      </c>
      <c r="Z545" s="19" t="s">
        <v>1493</v>
      </c>
      <c r="AI545" s="19" t="s">
        <v>1550</v>
      </c>
    </row>
    <row r="546" spans="1:35" x14ac:dyDescent="0.25">
      <c r="A546" s="9">
        <f>IF(G547&gt;0,1,0)</f>
        <v>1</v>
      </c>
      <c r="G546" s="19" t="s">
        <v>1551</v>
      </c>
      <c r="O546" s="19">
        <v>0</v>
      </c>
      <c r="S546" s="19">
        <v>194549.86</v>
      </c>
      <c r="Z546" s="19" t="s">
        <v>1493</v>
      </c>
      <c r="AI546" s="19" t="s">
        <v>1552</v>
      </c>
    </row>
    <row r="547" spans="1:35" x14ac:dyDescent="0.25">
      <c r="A547" s="9">
        <f>IF(G546&gt;0,1,0)</f>
        <v>1</v>
      </c>
      <c r="G547" s="19" t="s">
        <v>1553</v>
      </c>
      <c r="O547" s="19">
        <v>98496.01</v>
      </c>
      <c r="S547" s="19">
        <v>98496.01</v>
      </c>
      <c r="Z547" s="19" t="s">
        <v>1493</v>
      </c>
      <c r="AI547" s="19" t="s">
        <v>1554</v>
      </c>
    </row>
    <row r="548" spans="1:35" x14ac:dyDescent="0.25">
      <c r="A548" s="9">
        <f t="shared" ref="A548:A557" si="28">IF(G548&gt;0,1,0)</f>
        <v>1</v>
      </c>
      <c r="G548" s="19" t="s">
        <v>1555</v>
      </c>
      <c r="O548" s="19">
        <v>0</v>
      </c>
      <c r="S548" s="19">
        <v>208810.80000000002</v>
      </c>
      <c r="Z548" s="19" t="s">
        <v>1493</v>
      </c>
      <c r="AI548" s="19" t="s">
        <v>1556</v>
      </c>
    </row>
    <row r="549" spans="1:35" x14ac:dyDescent="0.25">
      <c r="A549" s="9">
        <f t="shared" si="28"/>
        <v>1</v>
      </c>
      <c r="G549" s="19" t="s">
        <v>1557</v>
      </c>
      <c r="O549" s="19">
        <v>0</v>
      </c>
      <c r="S549" s="19">
        <v>220762.02000000002</v>
      </c>
      <c r="Z549" s="19" t="s">
        <v>1558</v>
      </c>
      <c r="AI549" s="19" t="s">
        <v>1559</v>
      </c>
    </row>
    <row r="550" spans="1:35" x14ac:dyDescent="0.25">
      <c r="A550" s="9">
        <f t="shared" si="28"/>
        <v>1</v>
      </c>
      <c r="G550" s="19" t="s">
        <v>1560</v>
      </c>
      <c r="O550" s="19">
        <v>0</v>
      </c>
      <c r="S550" s="19">
        <v>1014804.8299999998</v>
      </c>
      <c r="Z550" s="19" t="s">
        <v>1558</v>
      </c>
      <c r="AI550" s="19" t="s">
        <v>1561</v>
      </c>
    </row>
    <row r="551" spans="1:35" x14ac:dyDescent="0.25">
      <c r="A551" s="9">
        <f t="shared" si="28"/>
        <v>1</v>
      </c>
      <c r="G551" s="19" t="s">
        <v>1562</v>
      </c>
      <c r="O551" s="19">
        <v>0</v>
      </c>
      <c r="S551" s="19">
        <v>232814.54</v>
      </c>
      <c r="Z551" s="19" t="s">
        <v>1558</v>
      </c>
      <c r="AI551" s="19" t="s">
        <v>1563</v>
      </c>
    </row>
    <row r="552" spans="1:35" x14ac:dyDescent="0.25">
      <c r="A552" s="9">
        <f t="shared" si="28"/>
        <v>1</v>
      </c>
      <c r="G552" s="19" t="s">
        <v>1564</v>
      </c>
      <c r="O552" s="19">
        <v>14727235.109999999</v>
      </c>
      <c r="S552" s="19">
        <v>14790658.860000001</v>
      </c>
      <c r="Z552" s="19" t="s">
        <v>1558</v>
      </c>
      <c r="AI552" s="19" t="s">
        <v>1565</v>
      </c>
    </row>
    <row r="553" spans="1:35" x14ac:dyDescent="0.25">
      <c r="A553" s="9">
        <f t="shared" si="28"/>
        <v>1</v>
      </c>
      <c r="G553" s="19" t="s">
        <v>1566</v>
      </c>
      <c r="O553" s="19">
        <v>0</v>
      </c>
      <c r="S553" s="19">
        <v>26363024.620000001</v>
      </c>
      <c r="Z553" s="19" t="s">
        <v>1558</v>
      </c>
      <c r="AI553" s="19" t="s">
        <v>1567</v>
      </c>
    </row>
    <row r="554" spans="1:35" x14ac:dyDescent="0.25">
      <c r="A554" s="9">
        <f t="shared" si="28"/>
        <v>1</v>
      </c>
      <c r="G554" s="19" t="s">
        <v>1568</v>
      </c>
      <c r="O554" s="19">
        <v>0</v>
      </c>
      <c r="S554" s="19">
        <v>313834.71999999997</v>
      </c>
      <c r="Z554" s="19" t="s">
        <v>1558</v>
      </c>
      <c r="AI554" s="19" t="s">
        <v>1569</v>
      </c>
    </row>
    <row r="555" spans="1:35" x14ac:dyDescent="0.25">
      <c r="A555" s="9">
        <f t="shared" si="28"/>
        <v>1</v>
      </c>
      <c r="G555" s="19" t="s">
        <v>1570</v>
      </c>
      <c r="O555" s="19">
        <v>0</v>
      </c>
      <c r="S555" s="19">
        <v>507932</v>
      </c>
      <c r="Z555" s="19" t="s">
        <v>1558</v>
      </c>
      <c r="AI555" s="19" t="s">
        <v>1571</v>
      </c>
    </row>
    <row r="556" spans="1:35" x14ac:dyDescent="0.25">
      <c r="A556" s="9">
        <f t="shared" si="28"/>
        <v>1</v>
      </c>
      <c r="G556" s="19" t="s">
        <v>1572</v>
      </c>
      <c r="O556" s="19">
        <v>0</v>
      </c>
      <c r="S556" s="19">
        <v>162425.28</v>
      </c>
      <c r="Z556" s="19" t="s">
        <v>1558</v>
      </c>
      <c r="AI556" s="19" t="s">
        <v>1573</v>
      </c>
    </row>
    <row r="557" spans="1:35" x14ac:dyDescent="0.25">
      <c r="A557" s="9">
        <f t="shared" si="28"/>
        <v>1</v>
      </c>
      <c r="G557" s="19" t="s">
        <v>1574</v>
      </c>
      <c r="O557" s="19">
        <v>0</v>
      </c>
      <c r="S557" s="19">
        <v>234550.42</v>
      </c>
      <c r="Z557" s="19" t="s">
        <v>1558</v>
      </c>
      <c r="AI557" s="19" t="s">
        <v>1575</v>
      </c>
    </row>
    <row r="558" spans="1:35" x14ac:dyDescent="0.25">
      <c r="A558" s="9">
        <f>IF(G571&gt;0,1,0)</f>
        <v>1</v>
      </c>
      <c r="G558" s="19" t="s">
        <v>1576</v>
      </c>
      <c r="O558" s="19">
        <v>600000</v>
      </c>
      <c r="S558" s="19">
        <v>600000</v>
      </c>
      <c r="Z558" s="19" t="s">
        <v>1558</v>
      </c>
      <c r="AI558" s="19" t="s">
        <v>1577</v>
      </c>
    </row>
    <row r="559" spans="1:35" x14ac:dyDescent="0.25">
      <c r="A559" s="9">
        <f>IF(G569&gt;0,1,0)</f>
        <v>1</v>
      </c>
      <c r="G559" s="19" t="s">
        <v>1578</v>
      </c>
      <c r="O559" s="19">
        <v>0</v>
      </c>
      <c r="S559" s="19">
        <v>296880</v>
      </c>
      <c r="Z559" s="19" t="s">
        <v>1558</v>
      </c>
      <c r="AI559" s="19" t="s">
        <v>1579</v>
      </c>
    </row>
    <row r="560" spans="1:35" x14ac:dyDescent="0.25">
      <c r="A560" s="9">
        <f t="shared" ref="A560:A566" si="29">IF(G558&gt;0,1,0)</f>
        <v>1</v>
      </c>
      <c r="G560" s="19" t="s">
        <v>1580</v>
      </c>
      <c r="O560" s="19">
        <v>29133243.289999984</v>
      </c>
      <c r="S560" s="19">
        <v>29133243.28999998</v>
      </c>
      <c r="Z560" s="19" t="s">
        <v>1558</v>
      </c>
      <c r="AI560" s="19" t="s">
        <v>1581</v>
      </c>
    </row>
    <row r="561" spans="1:35" x14ac:dyDescent="0.25">
      <c r="A561" s="9">
        <f t="shared" si="29"/>
        <v>1</v>
      </c>
      <c r="G561" s="19" t="s">
        <v>1582</v>
      </c>
      <c r="O561" s="19">
        <v>0</v>
      </c>
      <c r="S561" s="19">
        <v>659143.58000000007</v>
      </c>
      <c r="Z561" s="19" t="s">
        <v>1558</v>
      </c>
      <c r="AI561" s="19" t="s">
        <v>1583</v>
      </c>
    </row>
    <row r="562" spans="1:35" x14ac:dyDescent="0.25">
      <c r="A562" s="9">
        <f t="shared" si="29"/>
        <v>1</v>
      </c>
      <c r="G562" s="19" t="s">
        <v>1584</v>
      </c>
      <c r="O562" s="19">
        <v>29777984.919999987</v>
      </c>
      <c r="S562" s="19">
        <v>29597910.099999979</v>
      </c>
      <c r="Z562" s="19" t="s">
        <v>1558</v>
      </c>
      <c r="AI562" s="19" t="s">
        <v>1585</v>
      </c>
    </row>
    <row r="563" spans="1:35" x14ac:dyDescent="0.25">
      <c r="A563" s="9">
        <f t="shared" si="29"/>
        <v>1</v>
      </c>
      <c r="G563" s="19" t="s">
        <v>1586</v>
      </c>
      <c r="O563" s="19">
        <v>29621328.919999994</v>
      </c>
      <c r="S563" s="19">
        <v>29621328.919999998</v>
      </c>
      <c r="Z563" s="19" t="s">
        <v>1558</v>
      </c>
      <c r="AI563" s="19" t="s">
        <v>1587</v>
      </c>
    </row>
    <row r="564" spans="1:35" x14ac:dyDescent="0.25">
      <c r="A564" s="9">
        <f t="shared" si="29"/>
        <v>1</v>
      </c>
      <c r="G564" s="19" t="s">
        <v>1588</v>
      </c>
      <c r="O564" s="19">
        <v>50000</v>
      </c>
      <c r="S564" s="19">
        <v>50000</v>
      </c>
      <c r="Z564" s="19" t="s">
        <v>1558</v>
      </c>
      <c r="AI564" s="19" t="s">
        <v>1589</v>
      </c>
    </row>
    <row r="565" spans="1:35" x14ac:dyDescent="0.25">
      <c r="A565" s="9">
        <f t="shared" si="29"/>
        <v>1</v>
      </c>
      <c r="G565" s="19" t="s">
        <v>1592</v>
      </c>
      <c r="O565" s="19">
        <v>488895.35</v>
      </c>
      <c r="S565" s="19">
        <v>488895.35</v>
      </c>
      <c r="Z565" s="19" t="s">
        <v>1558</v>
      </c>
      <c r="AI565" s="19" t="s">
        <v>1593</v>
      </c>
    </row>
    <row r="566" spans="1:35" x14ac:dyDescent="0.25">
      <c r="A566" s="9">
        <f t="shared" si="29"/>
        <v>1</v>
      </c>
      <c r="G566" s="19" t="s">
        <v>1594</v>
      </c>
      <c r="O566" s="19">
        <v>1460000</v>
      </c>
      <c r="S566" s="19">
        <v>1460000</v>
      </c>
      <c r="Z566" s="19" t="s">
        <v>1558</v>
      </c>
      <c r="AI566" s="19" t="s">
        <v>1595</v>
      </c>
    </row>
    <row r="567" spans="1:35" x14ac:dyDescent="0.25">
      <c r="A567" s="9">
        <f t="shared" ref="A567" si="30">IF(G572&gt;0,1,0)</f>
        <v>1</v>
      </c>
      <c r="G567" s="19" t="s">
        <v>1590</v>
      </c>
      <c r="O567" s="19">
        <v>1864672</v>
      </c>
      <c r="S567" s="19">
        <v>1864672</v>
      </c>
      <c r="Z567" s="19" t="s">
        <v>1558</v>
      </c>
      <c r="AI567" s="19" t="s">
        <v>1591</v>
      </c>
    </row>
    <row r="568" spans="1:35" x14ac:dyDescent="0.25">
      <c r="A568" s="9">
        <f>IF(G567&gt;0,1,0)</f>
        <v>1</v>
      </c>
      <c r="G568" s="19" t="s">
        <v>1596</v>
      </c>
      <c r="O568" s="19">
        <v>1849153</v>
      </c>
      <c r="S568" s="19">
        <v>1849153</v>
      </c>
      <c r="Z568" s="19" t="s">
        <v>1558</v>
      </c>
      <c r="AI568" s="19" t="s">
        <v>1597</v>
      </c>
    </row>
    <row r="569" spans="1:35" x14ac:dyDescent="0.25">
      <c r="A569" s="9">
        <f>IF(G570&gt;0,1,0)</f>
        <v>1</v>
      </c>
      <c r="G569" s="19" t="s">
        <v>1598</v>
      </c>
      <c r="O569" s="19">
        <v>0</v>
      </c>
      <c r="S569" s="19">
        <v>1460113.9</v>
      </c>
      <c r="Z569" s="19" t="s">
        <v>1558</v>
      </c>
      <c r="AI569" s="19" t="s">
        <v>1599</v>
      </c>
    </row>
    <row r="570" spans="1:35" x14ac:dyDescent="0.25">
      <c r="A570" s="9">
        <f>IF(G565&gt;0,1,0)</f>
        <v>1</v>
      </c>
      <c r="G570" s="19" t="s">
        <v>1600</v>
      </c>
      <c r="O570" s="19">
        <v>0</v>
      </c>
      <c r="S570" s="19">
        <v>3582055.1000000006</v>
      </c>
      <c r="Z570" s="19" t="s">
        <v>1558</v>
      </c>
      <c r="AI570" s="19" t="s">
        <v>1601</v>
      </c>
    </row>
    <row r="571" spans="1:35" x14ac:dyDescent="0.25">
      <c r="A571" s="9">
        <f>IF(G566&gt;0,1,0)</f>
        <v>1</v>
      </c>
      <c r="G571" s="19" t="s">
        <v>1602</v>
      </c>
      <c r="O571" s="19">
        <v>0</v>
      </c>
      <c r="S571" s="19">
        <v>356105.5</v>
      </c>
      <c r="Z571" s="19" t="s">
        <v>1558</v>
      </c>
      <c r="AI571" s="19" t="s">
        <v>1603</v>
      </c>
    </row>
    <row r="572" spans="1:35" x14ac:dyDescent="0.25">
      <c r="A572" s="9">
        <f>IF(G568&gt;0,1,0)</f>
        <v>1</v>
      </c>
      <c r="G572" s="19" t="s">
        <v>1604</v>
      </c>
      <c r="O572" s="19">
        <v>0</v>
      </c>
      <c r="S572" s="19">
        <v>347241.5</v>
      </c>
      <c r="Z572" s="19" t="s">
        <v>1558</v>
      </c>
      <c r="AI572" s="19" t="s">
        <v>1605</v>
      </c>
    </row>
    <row r="573" spans="1:35" x14ac:dyDescent="0.25">
      <c r="A573" s="9">
        <f t="shared" ref="A573:A587" si="31">IF(G573&gt;0,1,0)</f>
        <v>1</v>
      </c>
      <c r="G573" s="19" t="s">
        <v>1606</v>
      </c>
      <c r="O573" s="19">
        <v>0</v>
      </c>
      <c r="S573" s="19">
        <v>774350</v>
      </c>
      <c r="Z573" s="19" t="s">
        <v>1558</v>
      </c>
      <c r="AI573" s="19" t="s">
        <v>1607</v>
      </c>
    </row>
    <row r="574" spans="1:35" x14ac:dyDescent="0.25">
      <c r="A574" s="9">
        <f t="shared" si="31"/>
        <v>1</v>
      </c>
      <c r="G574" s="19" t="s">
        <v>1608</v>
      </c>
      <c r="O574" s="19">
        <v>0</v>
      </c>
      <c r="S574" s="19">
        <v>302720.5</v>
      </c>
      <c r="Z574" s="19" t="s">
        <v>1558</v>
      </c>
      <c r="AI574" s="19" t="s">
        <v>1609</v>
      </c>
    </row>
    <row r="575" spans="1:35" x14ac:dyDescent="0.25">
      <c r="A575" s="9">
        <f t="shared" si="31"/>
        <v>1</v>
      </c>
      <c r="G575" s="19" t="s">
        <v>1610</v>
      </c>
      <c r="O575" s="19">
        <v>0</v>
      </c>
      <c r="S575" s="19">
        <v>736771</v>
      </c>
      <c r="Z575" s="19" t="s">
        <v>1558</v>
      </c>
      <c r="AI575" s="19" t="s">
        <v>1611</v>
      </c>
    </row>
    <row r="576" spans="1:35" x14ac:dyDescent="0.25">
      <c r="A576" s="9">
        <f t="shared" si="31"/>
        <v>1</v>
      </c>
      <c r="G576" s="19" t="s">
        <v>1612</v>
      </c>
      <c r="O576" s="19">
        <v>0</v>
      </c>
      <c r="S576" s="19">
        <v>75024</v>
      </c>
      <c r="Z576" s="19" t="s">
        <v>1558</v>
      </c>
      <c r="AI576" s="19" t="s">
        <v>1613</v>
      </c>
    </row>
    <row r="577" spans="1:35" x14ac:dyDescent="0.25">
      <c r="A577" s="9">
        <f t="shared" si="31"/>
        <v>1</v>
      </c>
      <c r="G577" s="19" t="s">
        <v>1614</v>
      </c>
      <c r="O577" s="19">
        <v>0</v>
      </c>
      <c r="S577" s="19">
        <v>11340608.789999999</v>
      </c>
      <c r="Z577" s="19" t="s">
        <v>1558</v>
      </c>
      <c r="AI577" s="19" t="s">
        <v>1615</v>
      </c>
    </row>
    <row r="578" spans="1:35" x14ac:dyDescent="0.25">
      <c r="A578" s="9">
        <f t="shared" si="31"/>
        <v>1</v>
      </c>
      <c r="G578" s="19" t="s">
        <v>1616</v>
      </c>
      <c r="O578" s="19">
        <v>0</v>
      </c>
      <c r="S578" s="19">
        <v>7151103.3600000003</v>
      </c>
      <c r="Z578" s="19" t="s">
        <v>1558</v>
      </c>
      <c r="AI578" s="19" t="s">
        <v>1617</v>
      </c>
    </row>
    <row r="579" spans="1:35" x14ac:dyDescent="0.25">
      <c r="A579" s="9">
        <f t="shared" si="31"/>
        <v>1</v>
      </c>
      <c r="G579" s="19" t="s">
        <v>1618</v>
      </c>
      <c r="O579" s="19">
        <v>0</v>
      </c>
      <c r="S579" s="19">
        <v>5994827.7200000007</v>
      </c>
      <c r="Z579" s="19" t="s">
        <v>1558</v>
      </c>
      <c r="AI579" s="19" t="s">
        <v>1619</v>
      </c>
    </row>
    <row r="580" spans="1:35" x14ac:dyDescent="0.25">
      <c r="A580" s="9">
        <f t="shared" si="31"/>
        <v>1</v>
      </c>
      <c r="G580" s="19" t="s">
        <v>1620</v>
      </c>
      <c r="O580" s="19">
        <v>0</v>
      </c>
      <c r="S580" s="19">
        <v>8647229.6300000008</v>
      </c>
      <c r="Z580" s="19" t="s">
        <v>1558</v>
      </c>
      <c r="AI580" s="19" t="s">
        <v>1621</v>
      </c>
    </row>
    <row r="581" spans="1:35" x14ac:dyDescent="0.25">
      <c r="A581" s="9">
        <f t="shared" si="31"/>
        <v>1</v>
      </c>
      <c r="G581" s="19" t="s">
        <v>1622</v>
      </c>
      <c r="O581" s="19">
        <v>0</v>
      </c>
      <c r="S581" s="19">
        <v>83839.460000000021</v>
      </c>
      <c r="Z581" s="19" t="s">
        <v>1558</v>
      </c>
      <c r="AI581" s="19" t="s">
        <v>1623</v>
      </c>
    </row>
    <row r="582" spans="1:35" x14ac:dyDescent="0.25">
      <c r="A582" s="9">
        <f t="shared" si="31"/>
        <v>1</v>
      </c>
      <c r="G582" s="19" t="s">
        <v>1624</v>
      </c>
      <c r="O582" s="19">
        <v>0</v>
      </c>
      <c r="S582" s="19">
        <v>3410290.4100000006</v>
      </c>
      <c r="Z582" s="19" t="s">
        <v>1558</v>
      </c>
      <c r="AI582" s="19" t="s">
        <v>1625</v>
      </c>
    </row>
    <row r="583" spans="1:35" x14ac:dyDescent="0.25">
      <c r="A583" s="9">
        <f t="shared" si="31"/>
        <v>1</v>
      </c>
      <c r="G583" s="19" t="s">
        <v>1626</v>
      </c>
      <c r="O583" s="19">
        <v>0</v>
      </c>
      <c r="S583" s="19">
        <v>20635851.259999998</v>
      </c>
      <c r="Z583" s="19" t="s">
        <v>1558</v>
      </c>
      <c r="AI583" s="19" t="s">
        <v>1627</v>
      </c>
    </row>
    <row r="584" spans="1:35" x14ac:dyDescent="0.25">
      <c r="A584" s="9">
        <f t="shared" si="31"/>
        <v>1</v>
      </c>
      <c r="G584" s="19" t="s">
        <v>1628</v>
      </c>
      <c r="O584" s="19">
        <v>0</v>
      </c>
      <c r="S584" s="19">
        <v>16773764.640000001</v>
      </c>
      <c r="Z584" s="19" t="s">
        <v>1558</v>
      </c>
      <c r="AI584" s="19" t="s">
        <v>1629</v>
      </c>
    </row>
    <row r="585" spans="1:35" x14ac:dyDescent="0.25">
      <c r="A585" s="9">
        <f t="shared" si="31"/>
        <v>1</v>
      </c>
      <c r="G585" s="19" t="s">
        <v>1630</v>
      </c>
      <c r="O585" s="19">
        <v>0</v>
      </c>
      <c r="S585" s="19">
        <v>27865237.680000003</v>
      </c>
      <c r="Z585" s="19" t="s">
        <v>1558</v>
      </c>
      <c r="AI585" s="19" t="s">
        <v>1631</v>
      </c>
    </row>
    <row r="586" spans="1:35" x14ac:dyDescent="0.25">
      <c r="A586" s="9">
        <f t="shared" si="31"/>
        <v>1</v>
      </c>
      <c r="G586" s="19" t="s">
        <v>1632</v>
      </c>
      <c r="O586" s="19">
        <v>0</v>
      </c>
      <c r="S586" s="19">
        <v>14942370.340000002</v>
      </c>
      <c r="Z586" s="19" t="s">
        <v>1558</v>
      </c>
      <c r="AI586" s="19" t="s">
        <v>1633</v>
      </c>
    </row>
    <row r="587" spans="1:35" x14ac:dyDescent="0.25">
      <c r="A587" s="9">
        <f t="shared" si="31"/>
        <v>1</v>
      </c>
      <c r="G587" s="19" t="s">
        <v>1634</v>
      </c>
      <c r="O587" s="19">
        <v>120800</v>
      </c>
      <c r="S587" s="19">
        <v>120800</v>
      </c>
      <c r="Z587" s="19" t="s">
        <v>1558</v>
      </c>
      <c r="AI587" s="19" t="s">
        <v>1635</v>
      </c>
    </row>
    <row r="588" spans="1:35" x14ac:dyDescent="0.25">
      <c r="A588" s="9">
        <f t="shared" ref="A588:A651" si="32">IF(G588&gt;0,1,0)</f>
        <v>1</v>
      </c>
      <c r="G588" s="19" t="s">
        <v>1636</v>
      </c>
      <c r="O588" s="19">
        <v>123319.56999999999</v>
      </c>
      <c r="S588" s="19">
        <v>123319.56999999999</v>
      </c>
      <c r="Z588" s="19" t="s">
        <v>1558</v>
      </c>
      <c r="AI588" s="19" t="s">
        <v>1637</v>
      </c>
    </row>
    <row r="589" spans="1:35" x14ac:dyDescent="0.25">
      <c r="A589" s="9">
        <f t="shared" si="32"/>
        <v>1</v>
      </c>
      <c r="G589" s="19" t="s">
        <v>1638</v>
      </c>
      <c r="O589" s="19">
        <v>0</v>
      </c>
      <c r="S589" s="19">
        <v>98836.33</v>
      </c>
      <c r="Z589" s="19" t="s">
        <v>1558</v>
      </c>
      <c r="AI589" s="19" t="s">
        <v>1639</v>
      </c>
    </row>
    <row r="590" spans="1:35" x14ac:dyDescent="0.25">
      <c r="A590" s="9">
        <f t="shared" si="32"/>
        <v>1</v>
      </c>
      <c r="G590" s="19" t="s">
        <v>1640</v>
      </c>
      <c r="O590" s="19">
        <v>0</v>
      </c>
      <c r="S590" s="19">
        <v>12924384.529999999</v>
      </c>
      <c r="Z590" s="19" t="s">
        <v>1558</v>
      </c>
      <c r="AI590" s="19" t="s">
        <v>1641</v>
      </c>
    </row>
    <row r="591" spans="1:35" x14ac:dyDescent="0.25">
      <c r="A591" s="9">
        <f t="shared" si="32"/>
        <v>1</v>
      </c>
      <c r="G591" s="19" t="s">
        <v>1642</v>
      </c>
      <c r="O591" s="19">
        <v>0</v>
      </c>
      <c r="S591" s="19">
        <v>16585535.469999997</v>
      </c>
      <c r="Z591" s="19" t="s">
        <v>1558</v>
      </c>
      <c r="AI591" s="19" t="s">
        <v>1643</v>
      </c>
    </row>
    <row r="592" spans="1:35" x14ac:dyDescent="0.25">
      <c r="A592" s="9">
        <f t="shared" si="32"/>
        <v>1</v>
      </c>
      <c r="G592" s="19" t="s">
        <v>1644</v>
      </c>
      <c r="O592" s="19">
        <v>0</v>
      </c>
      <c r="S592" s="19">
        <v>7614665.1899999985</v>
      </c>
      <c r="Z592" s="19" t="s">
        <v>1558</v>
      </c>
      <c r="AI592" s="19" t="s">
        <v>1645</v>
      </c>
    </row>
    <row r="593" spans="1:35" x14ac:dyDescent="0.25">
      <c r="A593" s="9">
        <f t="shared" si="32"/>
        <v>1</v>
      </c>
      <c r="G593" s="19" t="s">
        <v>1646</v>
      </c>
      <c r="O593" s="19">
        <v>0</v>
      </c>
      <c r="S593" s="19">
        <v>3300287.5300000003</v>
      </c>
      <c r="Z593" s="19" t="s">
        <v>1558</v>
      </c>
      <c r="AI593" s="19" t="s">
        <v>1647</v>
      </c>
    </row>
    <row r="594" spans="1:35" x14ac:dyDescent="0.25">
      <c r="A594" s="9">
        <f t="shared" si="32"/>
        <v>1</v>
      </c>
      <c r="G594" s="19" t="s">
        <v>1648</v>
      </c>
      <c r="O594" s="19">
        <v>0</v>
      </c>
      <c r="S594" s="19">
        <v>17858029.199999999</v>
      </c>
      <c r="Z594" s="19" t="s">
        <v>1558</v>
      </c>
      <c r="AI594" s="19" t="s">
        <v>1649</v>
      </c>
    </row>
    <row r="595" spans="1:35" x14ac:dyDescent="0.25">
      <c r="A595" s="9">
        <f t="shared" si="32"/>
        <v>1</v>
      </c>
      <c r="G595" s="19" t="s">
        <v>1650</v>
      </c>
      <c r="O595" s="19">
        <v>0</v>
      </c>
      <c r="S595" s="19">
        <v>534098</v>
      </c>
      <c r="Z595" s="19" t="s">
        <v>1558</v>
      </c>
      <c r="AI595" s="19" t="s">
        <v>1651</v>
      </c>
    </row>
    <row r="596" spans="1:35" x14ac:dyDescent="0.25">
      <c r="A596" s="9">
        <f t="shared" si="32"/>
        <v>1</v>
      </c>
      <c r="G596" s="19" t="s">
        <v>1652</v>
      </c>
      <c r="O596" s="19">
        <v>0</v>
      </c>
      <c r="S596" s="19">
        <v>274558.5</v>
      </c>
      <c r="Z596" s="19" t="s">
        <v>1558</v>
      </c>
      <c r="AI596" s="19" t="s">
        <v>1653</v>
      </c>
    </row>
    <row r="597" spans="1:35" x14ac:dyDescent="0.25">
      <c r="A597" s="9">
        <f t="shared" si="32"/>
        <v>1</v>
      </c>
      <c r="G597" s="19" t="s">
        <v>1654</v>
      </c>
      <c r="O597" s="19">
        <v>0</v>
      </c>
      <c r="S597" s="19">
        <v>77351</v>
      </c>
      <c r="Z597" s="19" t="s">
        <v>1558</v>
      </c>
      <c r="AI597" s="19" t="s">
        <v>1655</v>
      </c>
    </row>
    <row r="598" spans="1:35" x14ac:dyDescent="0.25">
      <c r="A598" s="9">
        <f t="shared" si="32"/>
        <v>1</v>
      </c>
      <c r="G598" s="19" t="s">
        <v>1656</v>
      </c>
      <c r="O598" s="19">
        <v>16402669.669999996</v>
      </c>
      <c r="S598" s="19">
        <v>17286758.799999997</v>
      </c>
      <c r="Z598" s="19" t="s">
        <v>1558</v>
      </c>
      <c r="AI598" s="19" t="s">
        <v>1657</v>
      </c>
    </row>
    <row r="599" spans="1:35" x14ac:dyDescent="0.25">
      <c r="A599" s="9">
        <f t="shared" si="32"/>
        <v>1</v>
      </c>
      <c r="G599" s="19" t="s">
        <v>1658</v>
      </c>
      <c r="O599" s="19">
        <v>0</v>
      </c>
      <c r="S599" s="19">
        <v>488436</v>
      </c>
      <c r="Z599" s="19" t="s">
        <v>1558</v>
      </c>
      <c r="AI599" s="19" t="s">
        <v>1659</v>
      </c>
    </row>
    <row r="600" spans="1:35" x14ac:dyDescent="0.25">
      <c r="A600" s="9">
        <f t="shared" si="32"/>
        <v>1</v>
      </c>
      <c r="G600" s="19" t="s">
        <v>1660</v>
      </c>
      <c r="O600" s="19">
        <v>0</v>
      </c>
      <c r="S600" s="19">
        <v>300918</v>
      </c>
      <c r="Z600" s="19" t="s">
        <v>1558</v>
      </c>
      <c r="AI600" s="19" t="s">
        <v>1661</v>
      </c>
    </row>
    <row r="601" spans="1:35" x14ac:dyDescent="0.25">
      <c r="A601" s="9">
        <f t="shared" si="32"/>
        <v>1</v>
      </c>
      <c r="G601" s="19" t="s">
        <v>1662</v>
      </c>
      <c r="O601" s="19">
        <v>0</v>
      </c>
      <c r="S601" s="19">
        <v>150014</v>
      </c>
      <c r="Z601" s="19" t="s">
        <v>1558</v>
      </c>
      <c r="AI601" s="19" t="s">
        <v>1663</v>
      </c>
    </row>
    <row r="602" spans="1:35" x14ac:dyDescent="0.25">
      <c r="A602" s="9">
        <f t="shared" si="32"/>
        <v>1</v>
      </c>
      <c r="G602" s="19" t="s">
        <v>1664</v>
      </c>
      <c r="O602" s="19">
        <v>0</v>
      </c>
      <c r="S602" s="19">
        <v>90700</v>
      </c>
      <c r="Z602" s="19" t="s">
        <v>1558</v>
      </c>
      <c r="AI602" s="19" t="s">
        <v>1665</v>
      </c>
    </row>
    <row r="603" spans="1:35" x14ac:dyDescent="0.25">
      <c r="A603" s="9">
        <f t="shared" si="32"/>
        <v>1</v>
      </c>
      <c r="G603" s="19" t="s">
        <v>1666</v>
      </c>
      <c r="O603" s="19">
        <v>0</v>
      </c>
      <c r="S603" s="19">
        <v>273166.33999999997</v>
      </c>
      <c r="Z603" s="19" t="s">
        <v>1558</v>
      </c>
      <c r="AI603" s="19" t="s">
        <v>1667</v>
      </c>
    </row>
    <row r="604" spans="1:35" x14ac:dyDescent="0.25">
      <c r="A604" s="9">
        <f t="shared" si="32"/>
        <v>1</v>
      </c>
      <c r="G604" s="19" t="s">
        <v>1668</v>
      </c>
      <c r="O604" s="19">
        <v>0</v>
      </c>
      <c r="S604" s="19">
        <v>35545.78</v>
      </c>
      <c r="Z604" s="19" t="s">
        <v>1558</v>
      </c>
      <c r="AI604" s="19" t="s">
        <v>1669</v>
      </c>
    </row>
    <row r="605" spans="1:35" x14ac:dyDescent="0.25">
      <c r="A605" s="9">
        <f t="shared" si="32"/>
        <v>1</v>
      </c>
      <c r="G605" s="19" t="s">
        <v>1670</v>
      </c>
      <c r="O605" s="19">
        <v>0</v>
      </c>
      <c r="S605" s="19">
        <v>10376455.249999998</v>
      </c>
      <c r="Z605" s="19" t="s">
        <v>1558</v>
      </c>
      <c r="AI605" s="19" t="s">
        <v>1671</v>
      </c>
    </row>
    <row r="606" spans="1:35" x14ac:dyDescent="0.25">
      <c r="A606" s="9">
        <f t="shared" si="32"/>
        <v>1</v>
      </c>
      <c r="G606" s="19" t="s">
        <v>1672</v>
      </c>
      <c r="O606" s="19">
        <v>0</v>
      </c>
      <c r="S606" s="19">
        <v>22807928.25</v>
      </c>
      <c r="Z606" s="19" t="s">
        <v>1558</v>
      </c>
      <c r="AI606" s="19" t="s">
        <v>1673</v>
      </c>
    </row>
    <row r="607" spans="1:35" x14ac:dyDescent="0.25">
      <c r="A607" s="9">
        <f t="shared" si="32"/>
        <v>1</v>
      </c>
      <c r="G607" s="19" t="s">
        <v>1674</v>
      </c>
      <c r="O607" s="19">
        <v>0</v>
      </c>
      <c r="S607" s="19">
        <v>1620018.12</v>
      </c>
      <c r="Z607" s="19" t="s">
        <v>1558</v>
      </c>
      <c r="AI607" s="19" t="s">
        <v>1675</v>
      </c>
    </row>
    <row r="608" spans="1:35" x14ac:dyDescent="0.25">
      <c r="A608" s="9">
        <f t="shared" si="32"/>
        <v>1</v>
      </c>
      <c r="G608" s="19" t="s">
        <v>1676</v>
      </c>
      <c r="O608" s="19">
        <v>0</v>
      </c>
      <c r="S608" s="19">
        <v>18767376.120000005</v>
      </c>
      <c r="Z608" s="19" t="s">
        <v>1558</v>
      </c>
      <c r="AI608" s="19" t="s">
        <v>1677</v>
      </c>
    </row>
    <row r="609" spans="1:35" x14ac:dyDescent="0.25">
      <c r="A609" s="9">
        <f t="shared" si="32"/>
        <v>1</v>
      </c>
      <c r="G609" s="19" t="s">
        <v>1678</v>
      </c>
      <c r="O609" s="19">
        <v>30010</v>
      </c>
      <c r="S609" s="19">
        <v>44520</v>
      </c>
      <c r="Z609" s="19" t="s">
        <v>1558</v>
      </c>
      <c r="AI609" s="19" t="s">
        <v>1679</v>
      </c>
    </row>
    <row r="610" spans="1:35" x14ac:dyDescent="0.25">
      <c r="A610" s="9">
        <f t="shared" si="32"/>
        <v>1</v>
      </c>
      <c r="G610" s="19" t="s">
        <v>1680</v>
      </c>
      <c r="O610" s="19">
        <v>0</v>
      </c>
      <c r="S610" s="19">
        <v>4283851.4499999993</v>
      </c>
      <c r="Z610" s="19" t="s">
        <v>1558</v>
      </c>
      <c r="AI610" s="19" t="s">
        <v>1681</v>
      </c>
    </row>
    <row r="611" spans="1:35" x14ac:dyDescent="0.25">
      <c r="A611" s="9">
        <f t="shared" si="32"/>
        <v>1</v>
      </c>
      <c r="G611" s="19" t="s">
        <v>1682</v>
      </c>
      <c r="O611" s="19">
        <v>0</v>
      </c>
      <c r="S611" s="19">
        <v>3025761.88</v>
      </c>
      <c r="Z611" s="19" t="s">
        <v>1558</v>
      </c>
      <c r="AI611" s="19" t="s">
        <v>1683</v>
      </c>
    </row>
    <row r="612" spans="1:35" x14ac:dyDescent="0.25">
      <c r="A612" s="9">
        <f t="shared" si="32"/>
        <v>1</v>
      </c>
      <c r="G612" s="19" t="s">
        <v>1684</v>
      </c>
      <c r="O612" s="19">
        <v>0</v>
      </c>
      <c r="S612" s="19">
        <v>1306578.1200000001</v>
      </c>
      <c r="Z612" s="19" t="s">
        <v>1558</v>
      </c>
      <c r="AI612" s="19" t="s">
        <v>1685</v>
      </c>
    </row>
    <row r="613" spans="1:35" x14ac:dyDescent="0.25">
      <c r="A613" s="9">
        <f t="shared" si="32"/>
        <v>1</v>
      </c>
      <c r="G613" s="19" t="s">
        <v>1686</v>
      </c>
      <c r="O613" s="19">
        <v>0</v>
      </c>
      <c r="S613" s="19">
        <v>13782240.410000004</v>
      </c>
      <c r="Z613" s="19" t="s">
        <v>1558</v>
      </c>
      <c r="AI613" s="19" t="s">
        <v>1687</v>
      </c>
    </row>
    <row r="614" spans="1:35" x14ac:dyDescent="0.25">
      <c r="A614" s="9">
        <f t="shared" si="32"/>
        <v>1</v>
      </c>
      <c r="G614" s="19" t="s">
        <v>1688</v>
      </c>
      <c r="O614" s="19">
        <v>0</v>
      </c>
      <c r="S614" s="19">
        <v>3456630</v>
      </c>
      <c r="Z614" s="19" t="s">
        <v>1558</v>
      </c>
      <c r="AI614" s="19" t="s">
        <v>1689</v>
      </c>
    </row>
    <row r="615" spans="1:35" x14ac:dyDescent="0.25">
      <c r="A615" s="9">
        <f t="shared" si="32"/>
        <v>1</v>
      </c>
      <c r="G615" s="19" t="s">
        <v>1690</v>
      </c>
      <c r="O615" s="19">
        <v>0</v>
      </c>
      <c r="S615" s="19">
        <v>3529760</v>
      </c>
      <c r="Z615" s="19" t="s">
        <v>1558</v>
      </c>
      <c r="AI615" s="19" t="s">
        <v>1691</v>
      </c>
    </row>
    <row r="616" spans="1:35" x14ac:dyDescent="0.25">
      <c r="A616" s="9">
        <f t="shared" si="32"/>
        <v>1</v>
      </c>
      <c r="G616" s="19" t="s">
        <v>1692</v>
      </c>
      <c r="O616" s="19">
        <v>160905.38</v>
      </c>
      <c r="S616" s="19">
        <v>160905.38</v>
      </c>
      <c r="Z616" s="19" t="s">
        <v>1558</v>
      </c>
      <c r="AI616" s="19" t="s">
        <v>1693</v>
      </c>
    </row>
    <row r="617" spans="1:35" x14ac:dyDescent="0.25">
      <c r="A617" s="9">
        <f t="shared" si="32"/>
        <v>1</v>
      </c>
      <c r="G617" s="19" t="s">
        <v>1694</v>
      </c>
      <c r="O617" s="19">
        <v>9009636.7599999998</v>
      </c>
      <c r="S617" s="19">
        <v>24339730.140000004</v>
      </c>
      <c r="Z617" s="19" t="s">
        <v>1558</v>
      </c>
      <c r="AI617" s="19" t="s">
        <v>1695</v>
      </c>
    </row>
    <row r="618" spans="1:35" x14ac:dyDescent="0.25">
      <c r="A618" s="9">
        <f t="shared" si="32"/>
        <v>1</v>
      </c>
      <c r="G618" s="19" t="s">
        <v>1696</v>
      </c>
      <c r="O618" s="19">
        <v>0</v>
      </c>
      <c r="S618" s="19">
        <v>3439130</v>
      </c>
      <c r="Z618" s="19" t="s">
        <v>1558</v>
      </c>
      <c r="AI618" s="19" t="s">
        <v>1697</v>
      </c>
    </row>
    <row r="619" spans="1:35" x14ac:dyDescent="0.25">
      <c r="A619" s="9">
        <f t="shared" si="32"/>
        <v>1</v>
      </c>
      <c r="G619" s="19" t="s">
        <v>1698</v>
      </c>
      <c r="O619" s="19">
        <v>0</v>
      </c>
      <c r="S619" s="19">
        <v>3951766.209999999</v>
      </c>
      <c r="Z619" s="19" t="s">
        <v>1558</v>
      </c>
      <c r="AI619" s="19" t="s">
        <v>1699</v>
      </c>
    </row>
    <row r="620" spans="1:35" x14ac:dyDescent="0.25">
      <c r="A620" s="9">
        <f t="shared" si="32"/>
        <v>1</v>
      </c>
      <c r="G620" s="19" t="s">
        <v>1700</v>
      </c>
      <c r="O620" s="19">
        <v>0</v>
      </c>
      <c r="S620" s="19">
        <v>2796573.0599999991</v>
      </c>
      <c r="Z620" s="19" t="s">
        <v>1558</v>
      </c>
      <c r="AI620" s="19" t="s">
        <v>1701</v>
      </c>
    </row>
    <row r="621" spans="1:35" x14ac:dyDescent="0.25">
      <c r="A621" s="9">
        <f t="shared" si="32"/>
        <v>1</v>
      </c>
      <c r="G621" s="19" t="s">
        <v>1702</v>
      </c>
      <c r="O621" s="19">
        <v>0</v>
      </c>
      <c r="S621" s="19">
        <v>12650950.300000001</v>
      </c>
      <c r="Z621" s="19" t="s">
        <v>1558</v>
      </c>
      <c r="AI621" s="19" t="s">
        <v>1703</v>
      </c>
    </row>
    <row r="622" spans="1:35" x14ac:dyDescent="0.25">
      <c r="A622" s="9">
        <f t="shared" si="32"/>
        <v>1</v>
      </c>
      <c r="G622" s="19" t="s">
        <v>1704</v>
      </c>
      <c r="O622" s="19">
        <v>0</v>
      </c>
      <c r="S622" s="19">
        <v>8835734.9899999984</v>
      </c>
      <c r="Z622" s="19" t="s">
        <v>1558</v>
      </c>
      <c r="AI622" s="19" t="s">
        <v>1705</v>
      </c>
    </row>
    <row r="623" spans="1:35" x14ac:dyDescent="0.25">
      <c r="A623" s="9">
        <f t="shared" si="32"/>
        <v>1</v>
      </c>
      <c r="G623" s="19" t="s">
        <v>1706</v>
      </c>
      <c r="O623" s="19">
        <v>0</v>
      </c>
      <c r="S623" s="19">
        <v>13221301.51</v>
      </c>
      <c r="Z623" s="19" t="s">
        <v>1558</v>
      </c>
      <c r="AI623" s="19" t="s">
        <v>1707</v>
      </c>
    </row>
    <row r="624" spans="1:35" x14ac:dyDescent="0.25">
      <c r="A624" s="9">
        <f t="shared" si="32"/>
        <v>1</v>
      </c>
      <c r="G624" s="19" t="s">
        <v>1708</v>
      </c>
      <c r="O624" s="19">
        <v>0</v>
      </c>
      <c r="S624" s="19">
        <v>3006559.4699999988</v>
      </c>
      <c r="Z624" s="19" t="s">
        <v>1558</v>
      </c>
      <c r="AI624" s="19" t="s">
        <v>1709</v>
      </c>
    </row>
    <row r="625" spans="1:35" x14ac:dyDescent="0.25">
      <c r="A625" s="9">
        <f t="shared" si="32"/>
        <v>1</v>
      </c>
      <c r="G625" s="19" t="s">
        <v>1710</v>
      </c>
      <c r="O625" s="19">
        <v>0</v>
      </c>
      <c r="S625" s="19">
        <v>15162525.200000001</v>
      </c>
      <c r="Z625" s="19" t="s">
        <v>1558</v>
      </c>
      <c r="AI625" s="19" t="s">
        <v>1711</v>
      </c>
    </row>
    <row r="626" spans="1:35" x14ac:dyDescent="0.25">
      <c r="A626" s="9">
        <f t="shared" si="32"/>
        <v>1</v>
      </c>
      <c r="G626" s="19" t="s">
        <v>1712</v>
      </c>
      <c r="O626" s="19">
        <v>0</v>
      </c>
      <c r="S626" s="19">
        <v>501067</v>
      </c>
      <c r="Z626" s="19" t="s">
        <v>1558</v>
      </c>
      <c r="AI626" s="19" t="s">
        <v>1713</v>
      </c>
    </row>
    <row r="627" spans="1:35" x14ac:dyDescent="0.25">
      <c r="A627" s="9">
        <f t="shared" si="32"/>
        <v>1</v>
      </c>
      <c r="G627" s="19" t="s">
        <v>1714</v>
      </c>
      <c r="O627" s="19">
        <v>0</v>
      </c>
      <c r="S627" s="19">
        <v>270448.09999999998</v>
      </c>
      <c r="Z627" s="19" t="s">
        <v>1558</v>
      </c>
      <c r="AI627" s="19" t="s">
        <v>1715</v>
      </c>
    </row>
    <row r="628" spans="1:35" x14ac:dyDescent="0.25">
      <c r="A628" s="9">
        <f t="shared" si="32"/>
        <v>1</v>
      </c>
      <c r="G628" s="19" t="s">
        <v>1716</v>
      </c>
      <c r="O628" s="19">
        <v>0</v>
      </c>
      <c r="S628" s="19">
        <v>183263.4</v>
      </c>
      <c r="Z628" s="19" t="s">
        <v>1558</v>
      </c>
      <c r="AI628" s="19" t="s">
        <v>1717</v>
      </c>
    </row>
    <row r="629" spans="1:35" x14ac:dyDescent="0.25">
      <c r="A629" s="9">
        <f t="shared" si="32"/>
        <v>1</v>
      </c>
      <c r="G629" s="19" t="s">
        <v>1718</v>
      </c>
      <c r="O629" s="19">
        <v>0</v>
      </c>
      <c r="S629" s="19">
        <v>268975.64</v>
      </c>
      <c r="Z629" s="19" t="s">
        <v>1558</v>
      </c>
      <c r="AI629" s="19" t="s">
        <v>1719</v>
      </c>
    </row>
    <row r="630" spans="1:35" x14ac:dyDescent="0.25">
      <c r="A630" s="9">
        <f t="shared" si="32"/>
        <v>1</v>
      </c>
      <c r="G630" s="19" t="s">
        <v>1720</v>
      </c>
      <c r="O630" s="19">
        <v>0</v>
      </c>
      <c r="S630" s="19">
        <v>12890510.710000006</v>
      </c>
      <c r="Z630" s="19" t="s">
        <v>1558</v>
      </c>
      <c r="AI630" s="19" t="s">
        <v>1721</v>
      </c>
    </row>
    <row r="631" spans="1:35" x14ac:dyDescent="0.25">
      <c r="A631" s="9">
        <f t="shared" si="32"/>
        <v>1</v>
      </c>
      <c r="G631" s="19" t="s">
        <v>1722</v>
      </c>
      <c r="O631" s="19">
        <v>0</v>
      </c>
      <c r="S631" s="19">
        <v>9651976.9100000001</v>
      </c>
      <c r="Z631" s="19" t="s">
        <v>1558</v>
      </c>
      <c r="AI631" s="19" t="s">
        <v>1723</v>
      </c>
    </row>
    <row r="632" spans="1:35" x14ac:dyDescent="0.25">
      <c r="A632" s="9">
        <f t="shared" si="32"/>
        <v>1</v>
      </c>
      <c r="G632" s="19" t="s">
        <v>1724</v>
      </c>
      <c r="O632" s="19">
        <v>0</v>
      </c>
      <c r="S632" s="19">
        <v>15162525.200000001</v>
      </c>
      <c r="Z632" s="19" t="s">
        <v>1558</v>
      </c>
      <c r="AI632" s="19" t="s">
        <v>1725</v>
      </c>
    </row>
    <row r="633" spans="1:35" x14ac:dyDescent="0.25">
      <c r="A633" s="9">
        <f t="shared" si="32"/>
        <v>1</v>
      </c>
      <c r="G633" s="19" t="s">
        <v>1726</v>
      </c>
      <c r="O633" s="19">
        <v>0</v>
      </c>
      <c r="S633" s="19">
        <v>9365257.9700000007</v>
      </c>
      <c r="Z633" s="19" t="s">
        <v>1558</v>
      </c>
      <c r="AI633" s="19" t="s">
        <v>1727</v>
      </c>
    </row>
    <row r="634" spans="1:35" x14ac:dyDescent="0.25">
      <c r="A634" s="9">
        <f t="shared" si="32"/>
        <v>1</v>
      </c>
      <c r="G634" s="19" t="s">
        <v>1728</v>
      </c>
      <c r="O634" s="19">
        <v>0</v>
      </c>
      <c r="S634" s="19">
        <v>14148949.879999999</v>
      </c>
      <c r="Z634" s="19" t="s">
        <v>1558</v>
      </c>
      <c r="AI634" s="19" t="s">
        <v>1729</v>
      </c>
    </row>
    <row r="635" spans="1:35" x14ac:dyDescent="0.25">
      <c r="A635" s="9">
        <f t="shared" si="32"/>
        <v>1</v>
      </c>
      <c r="G635" s="19" t="s">
        <v>1730</v>
      </c>
      <c r="O635" s="19">
        <v>0</v>
      </c>
      <c r="S635" s="19">
        <v>13035168.150000006</v>
      </c>
      <c r="Z635" s="19" t="s">
        <v>1558</v>
      </c>
      <c r="AI635" s="19" t="s">
        <v>1731</v>
      </c>
    </row>
    <row r="636" spans="1:35" x14ac:dyDescent="0.25">
      <c r="A636" s="9">
        <f t="shared" si="32"/>
        <v>1</v>
      </c>
      <c r="G636" s="19" t="s">
        <v>1732</v>
      </c>
      <c r="O636" s="19">
        <v>0</v>
      </c>
      <c r="S636" s="19">
        <v>9074474.0600000005</v>
      </c>
      <c r="Z636" s="19" t="s">
        <v>1558</v>
      </c>
      <c r="AI636" s="19" t="s">
        <v>1733</v>
      </c>
    </row>
    <row r="637" spans="1:35" x14ac:dyDescent="0.25">
      <c r="A637" s="9">
        <f t="shared" si="32"/>
        <v>1</v>
      </c>
      <c r="G637" s="19" t="s">
        <v>1734</v>
      </c>
      <c r="O637" s="19">
        <v>0</v>
      </c>
      <c r="S637" s="19">
        <v>8805349.8999999985</v>
      </c>
      <c r="Z637" s="19" t="s">
        <v>1558</v>
      </c>
      <c r="AI637" s="19" t="s">
        <v>1735</v>
      </c>
    </row>
    <row r="638" spans="1:35" x14ac:dyDescent="0.25">
      <c r="A638" s="9">
        <f t="shared" si="32"/>
        <v>1</v>
      </c>
      <c r="G638" s="19" t="s">
        <v>1736</v>
      </c>
      <c r="O638" s="19">
        <v>0</v>
      </c>
      <c r="S638" s="19">
        <v>27677652.280000001</v>
      </c>
      <c r="Z638" s="19" t="s">
        <v>1558</v>
      </c>
      <c r="AI638" s="19" t="s">
        <v>1737</v>
      </c>
    </row>
    <row r="639" spans="1:35" x14ac:dyDescent="0.25">
      <c r="A639" s="9">
        <f t="shared" si="32"/>
        <v>1</v>
      </c>
      <c r="G639" s="19" t="s">
        <v>1738</v>
      </c>
      <c r="O639" s="19">
        <v>0</v>
      </c>
      <c r="S639" s="19">
        <v>70583.25</v>
      </c>
      <c r="Z639" s="19" t="s">
        <v>1558</v>
      </c>
      <c r="AI639" s="19" t="s">
        <v>1739</v>
      </c>
    </row>
    <row r="640" spans="1:35" x14ac:dyDescent="0.25">
      <c r="A640" s="9">
        <f t="shared" si="32"/>
        <v>1</v>
      </c>
      <c r="G640" s="19" t="s">
        <v>1740</v>
      </c>
      <c r="O640" s="19">
        <v>184278.2</v>
      </c>
      <c r="S640" s="19">
        <v>184278.19999999995</v>
      </c>
      <c r="Z640" s="19" t="s">
        <v>1558</v>
      </c>
      <c r="AI640" s="19" t="s">
        <v>1741</v>
      </c>
    </row>
    <row r="641" spans="1:35" x14ac:dyDescent="0.25">
      <c r="A641" s="9">
        <f t="shared" si="32"/>
        <v>1</v>
      </c>
      <c r="G641" s="19" t="s">
        <v>1742</v>
      </c>
      <c r="O641" s="19">
        <v>0</v>
      </c>
      <c r="S641" s="19">
        <v>118961.06000000001</v>
      </c>
      <c r="Z641" s="19" t="s">
        <v>1558</v>
      </c>
      <c r="AI641" s="19" t="s">
        <v>1743</v>
      </c>
    </row>
    <row r="642" spans="1:35" x14ac:dyDescent="0.25">
      <c r="A642" s="9">
        <f t="shared" si="32"/>
        <v>1</v>
      </c>
      <c r="G642" s="19" t="s">
        <v>1744</v>
      </c>
      <c r="O642" s="19">
        <v>0</v>
      </c>
      <c r="S642" s="19">
        <v>1359396.99</v>
      </c>
      <c r="Z642" s="19" t="s">
        <v>1558</v>
      </c>
      <c r="AI642" s="19" t="s">
        <v>1745</v>
      </c>
    </row>
    <row r="643" spans="1:35" x14ac:dyDescent="0.25">
      <c r="A643" s="9">
        <f t="shared" si="32"/>
        <v>1</v>
      </c>
      <c r="G643" s="19" t="s">
        <v>1746</v>
      </c>
      <c r="O643" s="19">
        <v>0</v>
      </c>
      <c r="S643" s="19">
        <v>12920366.780000005</v>
      </c>
      <c r="Z643" s="19" t="s">
        <v>1558</v>
      </c>
      <c r="AI643" s="19" t="s">
        <v>1747</v>
      </c>
    </row>
    <row r="644" spans="1:35" x14ac:dyDescent="0.25">
      <c r="A644" s="9">
        <f t="shared" si="32"/>
        <v>1</v>
      </c>
      <c r="G644" s="19" t="s">
        <v>1748</v>
      </c>
      <c r="O644" s="19">
        <v>0</v>
      </c>
      <c r="S644" s="19">
        <v>8728035.1199999973</v>
      </c>
      <c r="Z644" s="19" t="s">
        <v>1558</v>
      </c>
      <c r="AI644" s="19" t="s">
        <v>1749</v>
      </c>
    </row>
    <row r="645" spans="1:35" x14ac:dyDescent="0.25">
      <c r="A645" s="9">
        <f t="shared" si="32"/>
        <v>1</v>
      </c>
      <c r="G645" s="19" t="s">
        <v>1750</v>
      </c>
      <c r="O645" s="19">
        <v>12532173.910000004</v>
      </c>
      <c r="S645" s="19">
        <v>12689384.510000005</v>
      </c>
      <c r="Z645" s="19" t="s">
        <v>1558</v>
      </c>
      <c r="AI645" s="19" t="s">
        <v>1751</v>
      </c>
    </row>
    <row r="646" spans="1:35" x14ac:dyDescent="0.25">
      <c r="A646" s="9">
        <f t="shared" si="32"/>
        <v>1</v>
      </c>
      <c r="G646" s="19" t="s">
        <v>1752</v>
      </c>
      <c r="O646" s="19">
        <v>3346636.0200000005</v>
      </c>
      <c r="S646" s="19">
        <v>3346636.0200000005</v>
      </c>
      <c r="Z646" s="19" t="s">
        <v>1558</v>
      </c>
      <c r="AI646" s="19" t="s">
        <v>1753</v>
      </c>
    </row>
    <row r="647" spans="1:35" x14ac:dyDescent="0.25">
      <c r="A647" s="9">
        <f t="shared" si="32"/>
        <v>1</v>
      </c>
      <c r="G647" s="19" t="s">
        <v>1754</v>
      </c>
      <c r="O647" s="19">
        <v>0</v>
      </c>
      <c r="S647" s="19">
        <v>1357787.83</v>
      </c>
      <c r="Z647" s="19" t="s">
        <v>1558</v>
      </c>
      <c r="AI647" s="19" t="s">
        <v>1755</v>
      </c>
    </row>
    <row r="648" spans="1:35" x14ac:dyDescent="0.25">
      <c r="A648" s="9">
        <f t="shared" si="32"/>
        <v>1</v>
      </c>
      <c r="G648" s="19" t="s">
        <v>1756</v>
      </c>
      <c r="O648" s="19">
        <v>0</v>
      </c>
      <c r="S648" s="19">
        <v>1261629</v>
      </c>
      <c r="Z648" s="19" t="s">
        <v>1558</v>
      </c>
      <c r="AI648" s="19" t="s">
        <v>1757</v>
      </c>
    </row>
    <row r="649" spans="1:35" x14ac:dyDescent="0.25">
      <c r="A649" s="9">
        <f t="shared" si="32"/>
        <v>1</v>
      </c>
      <c r="G649" s="19" t="s">
        <v>1758</v>
      </c>
      <c r="O649" s="19">
        <v>0</v>
      </c>
      <c r="S649" s="19">
        <v>90900</v>
      </c>
      <c r="Z649" s="19" t="s">
        <v>1558</v>
      </c>
      <c r="AI649" s="19" t="s">
        <v>1759</v>
      </c>
    </row>
    <row r="650" spans="1:35" x14ac:dyDescent="0.25">
      <c r="A650" s="9">
        <f t="shared" si="32"/>
        <v>1</v>
      </c>
      <c r="G650" s="19" t="s">
        <v>1760</v>
      </c>
      <c r="O650" s="19">
        <v>0</v>
      </c>
      <c r="S650" s="19">
        <v>730729</v>
      </c>
      <c r="Z650" s="19" t="s">
        <v>1558</v>
      </c>
      <c r="AI650" s="19" t="s">
        <v>1761</v>
      </c>
    </row>
    <row r="651" spans="1:35" x14ac:dyDescent="0.25">
      <c r="A651" s="9">
        <f t="shared" si="32"/>
        <v>1</v>
      </c>
      <c r="G651" s="19" t="s">
        <v>1762</v>
      </c>
      <c r="O651" s="19">
        <v>0</v>
      </c>
      <c r="S651" s="19">
        <v>21687.54</v>
      </c>
      <c r="Z651" s="19" t="s">
        <v>1558</v>
      </c>
      <c r="AI651" s="19" t="s">
        <v>1763</v>
      </c>
    </row>
    <row r="652" spans="1:35" x14ac:dyDescent="0.25">
      <c r="A652" s="9">
        <f t="shared" ref="A652:A715" si="33">IF(G652&gt;0,1,0)</f>
        <v>1</v>
      </c>
      <c r="G652" s="19" t="s">
        <v>1764</v>
      </c>
      <c r="O652" s="19">
        <v>0</v>
      </c>
      <c r="S652" s="19">
        <v>1352529</v>
      </c>
      <c r="Z652" s="19" t="s">
        <v>1558</v>
      </c>
      <c r="AI652" s="19" t="s">
        <v>1765</v>
      </c>
    </row>
    <row r="653" spans="1:35" x14ac:dyDescent="0.25">
      <c r="A653" s="9">
        <f t="shared" si="33"/>
        <v>1</v>
      </c>
      <c r="G653" s="19" t="s">
        <v>1766</v>
      </c>
      <c r="O653" s="19">
        <v>0</v>
      </c>
      <c r="S653" s="19">
        <v>15210144.93</v>
      </c>
      <c r="Z653" s="19" t="s">
        <v>1558</v>
      </c>
      <c r="AI653" s="19" t="s">
        <v>1767</v>
      </c>
    </row>
    <row r="654" spans="1:35" x14ac:dyDescent="0.25">
      <c r="A654" s="9">
        <f t="shared" si="33"/>
        <v>1</v>
      </c>
      <c r="G654" s="19" t="s">
        <v>1768</v>
      </c>
      <c r="O654" s="19">
        <v>0</v>
      </c>
      <c r="S654" s="19">
        <v>424720</v>
      </c>
      <c r="Z654" s="19" t="s">
        <v>1558</v>
      </c>
      <c r="AI654" s="19" t="s">
        <v>1769</v>
      </c>
    </row>
    <row r="655" spans="1:35" x14ac:dyDescent="0.25">
      <c r="A655" s="9">
        <f t="shared" si="33"/>
        <v>1</v>
      </c>
      <c r="G655" s="19" t="s">
        <v>1770</v>
      </c>
      <c r="O655" s="19">
        <v>0</v>
      </c>
      <c r="S655" s="19">
        <v>1337282.9699999997</v>
      </c>
      <c r="Z655" s="19" t="s">
        <v>1558</v>
      </c>
      <c r="AI655" s="19" t="s">
        <v>1771</v>
      </c>
    </row>
    <row r="656" spans="1:35" x14ac:dyDescent="0.25">
      <c r="A656" s="9">
        <f t="shared" si="33"/>
        <v>1</v>
      </c>
      <c r="G656" s="19" t="s">
        <v>1772</v>
      </c>
      <c r="O656" s="19">
        <v>1089122.3000000003</v>
      </c>
      <c r="S656" s="19">
        <v>1089122.3</v>
      </c>
      <c r="Z656" s="19" t="s">
        <v>1558</v>
      </c>
      <c r="AI656" s="19" t="s">
        <v>1773</v>
      </c>
    </row>
    <row r="657" spans="1:35" x14ac:dyDescent="0.25">
      <c r="A657" s="9">
        <f t="shared" si="33"/>
        <v>1</v>
      </c>
      <c r="G657" s="19" t="s">
        <v>1774</v>
      </c>
      <c r="O657" s="19">
        <v>0</v>
      </c>
      <c r="S657" s="19">
        <v>15106712.839999998</v>
      </c>
      <c r="Z657" s="19" t="s">
        <v>1558</v>
      </c>
      <c r="AI657" s="19" t="s">
        <v>1775</v>
      </c>
    </row>
    <row r="658" spans="1:35" x14ac:dyDescent="0.25">
      <c r="A658" s="9">
        <f t="shared" si="33"/>
        <v>1</v>
      </c>
      <c r="G658" s="19" t="s">
        <v>1776</v>
      </c>
      <c r="O658" s="19">
        <v>9563620.3100000005</v>
      </c>
      <c r="S658" s="19">
        <v>9751770.8100000024</v>
      </c>
      <c r="Z658" s="19" t="s">
        <v>1558</v>
      </c>
      <c r="AI658" s="19" t="s">
        <v>1777</v>
      </c>
    </row>
    <row r="659" spans="1:35" x14ac:dyDescent="0.25">
      <c r="A659" s="9">
        <f t="shared" si="33"/>
        <v>1</v>
      </c>
      <c r="G659" s="19" t="s">
        <v>1778</v>
      </c>
      <c r="O659" s="19">
        <v>9130421.1800000016</v>
      </c>
      <c r="S659" s="19">
        <v>9143778.9400000013</v>
      </c>
      <c r="Z659" s="19" t="s">
        <v>1558</v>
      </c>
      <c r="AI659" s="19" t="s">
        <v>1779</v>
      </c>
    </row>
    <row r="660" spans="1:35" x14ac:dyDescent="0.25">
      <c r="A660" s="9">
        <f t="shared" si="33"/>
        <v>1</v>
      </c>
      <c r="G660" s="19" t="s">
        <v>1780</v>
      </c>
      <c r="O660" s="19">
        <v>0</v>
      </c>
      <c r="S660" s="19">
        <v>930266.43</v>
      </c>
      <c r="Z660" s="19" t="s">
        <v>1558</v>
      </c>
      <c r="AI660" s="19" t="s">
        <v>1781</v>
      </c>
    </row>
    <row r="661" spans="1:35" x14ac:dyDescent="0.25">
      <c r="A661" s="9">
        <f t="shared" si="33"/>
        <v>1</v>
      </c>
      <c r="G661" s="19" t="s">
        <v>1782</v>
      </c>
      <c r="O661" s="19">
        <v>0</v>
      </c>
      <c r="S661" s="19">
        <v>12922.25</v>
      </c>
      <c r="Z661" s="19" t="s">
        <v>1558</v>
      </c>
      <c r="AI661" s="19" t="s">
        <v>1783</v>
      </c>
    </row>
    <row r="662" spans="1:35" x14ac:dyDescent="0.25">
      <c r="A662" s="9">
        <f t="shared" si="33"/>
        <v>1</v>
      </c>
      <c r="G662" s="19" t="s">
        <v>1784</v>
      </c>
      <c r="O662" s="19">
        <v>15072276.460000001</v>
      </c>
      <c r="S662" s="19">
        <v>16031807.5</v>
      </c>
      <c r="Z662" s="19" t="s">
        <v>1558</v>
      </c>
      <c r="AI662" s="19" t="s">
        <v>1785</v>
      </c>
    </row>
    <row r="663" spans="1:35" x14ac:dyDescent="0.25">
      <c r="A663" s="9">
        <f t="shared" si="33"/>
        <v>1</v>
      </c>
      <c r="G663" s="19" t="s">
        <v>1786</v>
      </c>
      <c r="O663" s="19">
        <v>0</v>
      </c>
      <c r="S663" s="19">
        <v>177114.56</v>
      </c>
      <c r="Z663" s="19" t="s">
        <v>1558</v>
      </c>
      <c r="AI663" s="19" t="s">
        <v>1787</v>
      </c>
    </row>
    <row r="664" spans="1:35" x14ac:dyDescent="0.25">
      <c r="A664" s="9">
        <f t="shared" si="33"/>
        <v>1</v>
      </c>
      <c r="G664" s="19" t="s">
        <v>1788</v>
      </c>
      <c r="O664" s="19">
        <v>0</v>
      </c>
      <c r="S664" s="19">
        <v>177114.56</v>
      </c>
      <c r="Z664" s="19" t="s">
        <v>1558</v>
      </c>
      <c r="AI664" s="19" t="s">
        <v>1789</v>
      </c>
    </row>
    <row r="665" spans="1:35" x14ac:dyDescent="0.25">
      <c r="A665" s="9">
        <f t="shared" si="33"/>
        <v>1</v>
      </c>
      <c r="G665" s="19" t="s">
        <v>1790</v>
      </c>
      <c r="O665" s="19">
        <v>0</v>
      </c>
      <c r="S665" s="19">
        <v>12773752.010000005</v>
      </c>
      <c r="Z665" s="19" t="s">
        <v>1558</v>
      </c>
      <c r="AI665" s="19" t="s">
        <v>1791</v>
      </c>
    </row>
    <row r="666" spans="1:35" x14ac:dyDescent="0.25">
      <c r="A666" s="9">
        <f t="shared" si="33"/>
        <v>1</v>
      </c>
      <c r="G666" s="19" t="s">
        <v>1792</v>
      </c>
      <c r="O666" s="19">
        <v>13419813.619999999</v>
      </c>
      <c r="S666" s="19">
        <v>22967348.380000003</v>
      </c>
      <c r="Z666" s="19" t="s">
        <v>1558</v>
      </c>
      <c r="AI666" s="19" t="s">
        <v>1793</v>
      </c>
    </row>
    <row r="667" spans="1:35" x14ac:dyDescent="0.25">
      <c r="A667" s="9">
        <f t="shared" si="33"/>
        <v>1</v>
      </c>
      <c r="G667" s="19" t="s">
        <v>1794</v>
      </c>
      <c r="O667" s="19">
        <v>0</v>
      </c>
      <c r="S667" s="19">
        <v>318055.5</v>
      </c>
      <c r="Z667" s="19" t="s">
        <v>1558</v>
      </c>
      <c r="AI667" s="19" t="s">
        <v>1795</v>
      </c>
    </row>
    <row r="668" spans="1:35" x14ac:dyDescent="0.25">
      <c r="A668" s="9">
        <f t="shared" si="33"/>
        <v>1</v>
      </c>
      <c r="G668" s="19" t="s">
        <v>1796</v>
      </c>
      <c r="O668" s="19">
        <v>378058.80000000005</v>
      </c>
      <c r="S668" s="19">
        <v>3610103.1999999997</v>
      </c>
      <c r="Z668" s="19" t="s">
        <v>1558</v>
      </c>
      <c r="AI668" s="19" t="s">
        <v>1797</v>
      </c>
    </row>
    <row r="669" spans="1:35" x14ac:dyDescent="0.25">
      <c r="A669" s="9">
        <f t="shared" si="33"/>
        <v>1</v>
      </c>
      <c r="G669" s="19" t="s">
        <v>1798</v>
      </c>
      <c r="O669" s="19">
        <v>0</v>
      </c>
      <c r="S669" s="19">
        <v>4153422.2600000007</v>
      </c>
      <c r="Z669" s="19" t="s">
        <v>1558</v>
      </c>
      <c r="AI669" s="19" t="s">
        <v>1799</v>
      </c>
    </row>
    <row r="670" spans="1:35" x14ac:dyDescent="0.25">
      <c r="A670" s="9">
        <f t="shared" si="33"/>
        <v>1</v>
      </c>
      <c r="G670" s="19" t="s">
        <v>1800</v>
      </c>
      <c r="O670" s="19">
        <v>0</v>
      </c>
      <c r="S670" s="19">
        <v>925429</v>
      </c>
      <c r="Z670" s="19" t="s">
        <v>1558</v>
      </c>
      <c r="AI670" s="19" t="s">
        <v>1801</v>
      </c>
    </row>
    <row r="671" spans="1:35" x14ac:dyDescent="0.25">
      <c r="A671" s="9">
        <f t="shared" si="33"/>
        <v>1</v>
      </c>
      <c r="G671" s="19" t="s">
        <v>1802</v>
      </c>
      <c r="O671" s="19">
        <v>0</v>
      </c>
      <c r="S671" s="19">
        <v>657462.5</v>
      </c>
      <c r="Z671" s="19" t="s">
        <v>1558</v>
      </c>
      <c r="AI671" s="19" t="s">
        <v>1803</v>
      </c>
    </row>
    <row r="672" spans="1:35" x14ac:dyDescent="0.25">
      <c r="A672" s="9">
        <f t="shared" si="33"/>
        <v>1</v>
      </c>
      <c r="G672" s="19" t="s">
        <v>1804</v>
      </c>
      <c r="O672" s="19">
        <v>1716478.8899999997</v>
      </c>
      <c r="S672" s="19">
        <v>1716478.89</v>
      </c>
      <c r="Z672" s="19" t="s">
        <v>1558</v>
      </c>
      <c r="AI672" s="19" t="s">
        <v>1805</v>
      </c>
    </row>
    <row r="673" spans="1:35" x14ac:dyDescent="0.25">
      <c r="A673" s="9">
        <f t="shared" si="33"/>
        <v>1</v>
      </c>
      <c r="G673" s="19" t="s">
        <v>1806</v>
      </c>
      <c r="O673" s="19">
        <v>0</v>
      </c>
      <c r="S673" s="19">
        <v>25745517.32</v>
      </c>
      <c r="Z673" s="19" t="s">
        <v>1558</v>
      </c>
      <c r="AI673" s="19" t="s">
        <v>1807</v>
      </c>
    </row>
    <row r="674" spans="1:35" x14ac:dyDescent="0.25">
      <c r="A674" s="9">
        <f t="shared" si="33"/>
        <v>1</v>
      </c>
      <c r="G674" s="19" t="s">
        <v>1808</v>
      </c>
      <c r="O674" s="19">
        <v>0</v>
      </c>
      <c r="S674" s="19">
        <v>545505</v>
      </c>
      <c r="Z674" s="19" t="s">
        <v>1558</v>
      </c>
      <c r="AI674" s="19" t="s">
        <v>1809</v>
      </c>
    </row>
    <row r="675" spans="1:35" x14ac:dyDescent="0.25">
      <c r="A675" s="9">
        <f t="shared" si="33"/>
        <v>1</v>
      </c>
      <c r="G675" s="19" t="s">
        <v>1810</v>
      </c>
      <c r="O675" s="19">
        <v>0</v>
      </c>
      <c r="S675" s="19">
        <v>303929</v>
      </c>
      <c r="Z675" s="19" t="s">
        <v>1558</v>
      </c>
      <c r="AI675" s="19" t="s">
        <v>1811</v>
      </c>
    </row>
    <row r="676" spans="1:35" x14ac:dyDescent="0.25">
      <c r="A676" s="9">
        <f t="shared" si="33"/>
        <v>1</v>
      </c>
      <c r="G676" s="19" t="s">
        <v>1812</v>
      </c>
      <c r="O676" s="19">
        <v>0</v>
      </c>
      <c r="S676" s="19">
        <v>19296</v>
      </c>
      <c r="Z676" s="19" t="s">
        <v>1558</v>
      </c>
      <c r="AI676" s="19" t="s">
        <v>1813</v>
      </c>
    </row>
    <row r="677" spans="1:35" x14ac:dyDescent="0.25">
      <c r="A677" s="9">
        <f t="shared" si="33"/>
        <v>1</v>
      </c>
      <c r="G677" s="19" t="s">
        <v>1814</v>
      </c>
      <c r="O677" s="19">
        <v>0</v>
      </c>
      <c r="S677" s="19">
        <v>95411</v>
      </c>
      <c r="Z677" s="19" t="s">
        <v>1558</v>
      </c>
      <c r="AI677" s="19" t="s">
        <v>1815</v>
      </c>
    </row>
    <row r="678" spans="1:35" x14ac:dyDescent="0.25">
      <c r="A678" s="9">
        <f t="shared" si="33"/>
        <v>1</v>
      </c>
      <c r="G678" s="19" t="s">
        <v>1816</v>
      </c>
      <c r="O678" s="19">
        <v>0</v>
      </c>
      <c r="S678" s="19">
        <v>28022987.560000002</v>
      </c>
      <c r="Z678" s="19" t="s">
        <v>1558</v>
      </c>
      <c r="AI678" s="19" t="s">
        <v>1817</v>
      </c>
    </row>
    <row r="679" spans="1:35" x14ac:dyDescent="0.25">
      <c r="A679" s="9">
        <f t="shared" si="33"/>
        <v>1</v>
      </c>
      <c r="G679" s="19" t="s">
        <v>1818</v>
      </c>
      <c r="O679" s="19">
        <v>0</v>
      </c>
      <c r="S679" s="19">
        <v>106529.34</v>
      </c>
      <c r="Z679" s="19" t="s">
        <v>1558</v>
      </c>
      <c r="AI679" s="19" t="s">
        <v>1819</v>
      </c>
    </row>
    <row r="680" spans="1:35" x14ac:dyDescent="0.25">
      <c r="A680" s="9">
        <f t="shared" si="33"/>
        <v>1</v>
      </c>
      <c r="G680" s="19" t="s">
        <v>1820</v>
      </c>
      <c r="O680" s="19">
        <v>0</v>
      </c>
      <c r="S680" s="19">
        <v>29192725.119999997</v>
      </c>
      <c r="Z680" s="19" t="s">
        <v>1558</v>
      </c>
      <c r="AI680" s="19" t="s">
        <v>1821</v>
      </c>
    </row>
    <row r="681" spans="1:35" x14ac:dyDescent="0.25">
      <c r="A681" s="9">
        <f t="shared" si="33"/>
        <v>1</v>
      </c>
      <c r="G681" s="19" t="s">
        <v>1822</v>
      </c>
      <c r="O681" s="19">
        <v>0</v>
      </c>
      <c r="S681" s="19">
        <v>260682.72</v>
      </c>
      <c r="Z681" s="19" t="s">
        <v>1558</v>
      </c>
      <c r="AI681" s="19" t="s">
        <v>1823</v>
      </c>
    </row>
    <row r="682" spans="1:35" x14ac:dyDescent="0.25">
      <c r="A682" s="9">
        <f t="shared" si="33"/>
        <v>1</v>
      </c>
      <c r="G682" s="19" t="s">
        <v>1824</v>
      </c>
      <c r="O682" s="19">
        <v>0</v>
      </c>
      <c r="S682" s="19">
        <v>23365307.049999997</v>
      </c>
      <c r="Z682" s="19" t="s">
        <v>1558</v>
      </c>
      <c r="AI682" s="19" t="s">
        <v>1825</v>
      </c>
    </row>
    <row r="683" spans="1:35" x14ac:dyDescent="0.25">
      <c r="A683" s="9">
        <f t="shared" si="33"/>
        <v>1</v>
      </c>
      <c r="G683" s="19" t="s">
        <v>1826</v>
      </c>
      <c r="O683" s="19">
        <v>0</v>
      </c>
      <c r="S683" s="19">
        <v>1779620.67</v>
      </c>
      <c r="Z683" s="19" t="s">
        <v>1558</v>
      </c>
      <c r="AI683" s="19" t="s">
        <v>1827</v>
      </c>
    </row>
    <row r="684" spans="1:35" x14ac:dyDescent="0.25">
      <c r="A684" s="9">
        <f t="shared" si="33"/>
        <v>1</v>
      </c>
      <c r="G684" s="19" t="s">
        <v>1828</v>
      </c>
      <c r="O684" s="19">
        <v>23648341.649999995</v>
      </c>
      <c r="S684" s="19">
        <v>25644162.279999994</v>
      </c>
      <c r="Z684" s="19" t="s">
        <v>1558</v>
      </c>
      <c r="AI684" s="19" t="s">
        <v>1829</v>
      </c>
    </row>
    <row r="685" spans="1:35" x14ac:dyDescent="0.25">
      <c r="A685" s="9">
        <f t="shared" si="33"/>
        <v>1</v>
      </c>
      <c r="G685" s="19" t="s">
        <v>1830</v>
      </c>
      <c r="O685" s="19">
        <v>0</v>
      </c>
      <c r="S685" s="19">
        <v>7662221.7999999998</v>
      </c>
      <c r="Z685" s="19" t="s">
        <v>1558</v>
      </c>
      <c r="AI685" s="19" t="s">
        <v>1831</v>
      </c>
    </row>
    <row r="686" spans="1:35" x14ac:dyDescent="0.25">
      <c r="A686" s="9">
        <f t="shared" si="33"/>
        <v>1</v>
      </c>
      <c r="G686" s="19" t="s">
        <v>1832</v>
      </c>
      <c r="O686" s="19">
        <v>0</v>
      </c>
      <c r="S686" s="19">
        <v>15552351.76</v>
      </c>
      <c r="Z686" s="19" t="s">
        <v>1558</v>
      </c>
      <c r="AI686" s="19" t="s">
        <v>1833</v>
      </c>
    </row>
    <row r="687" spans="1:35" x14ac:dyDescent="0.25">
      <c r="A687" s="9">
        <f t="shared" si="33"/>
        <v>1</v>
      </c>
      <c r="G687" s="19" t="s">
        <v>1834</v>
      </c>
      <c r="O687" s="19">
        <v>7215784.620000001</v>
      </c>
      <c r="S687" s="19">
        <v>7517886.1599999992</v>
      </c>
      <c r="Z687" s="19" t="s">
        <v>1558</v>
      </c>
      <c r="AI687" s="19" t="s">
        <v>1835</v>
      </c>
    </row>
    <row r="688" spans="1:35" x14ac:dyDescent="0.25">
      <c r="A688" s="9">
        <f t="shared" si="33"/>
        <v>1</v>
      </c>
      <c r="G688" s="19" t="s">
        <v>1836</v>
      </c>
      <c r="O688" s="19">
        <v>0</v>
      </c>
      <c r="S688" s="19">
        <v>15112899.999999998</v>
      </c>
      <c r="Z688" s="19" t="s">
        <v>1558</v>
      </c>
      <c r="AI688" s="19" t="s">
        <v>1837</v>
      </c>
    </row>
    <row r="689" spans="1:35" x14ac:dyDescent="0.25">
      <c r="A689" s="9">
        <f t="shared" si="33"/>
        <v>1</v>
      </c>
      <c r="G689" s="19" t="s">
        <v>1838</v>
      </c>
      <c r="O689" s="19">
        <v>14934940.98</v>
      </c>
      <c r="S689" s="19">
        <v>18967047.09</v>
      </c>
      <c r="Z689" s="19" t="s">
        <v>1558</v>
      </c>
      <c r="AI689" s="19" t="s">
        <v>1839</v>
      </c>
    </row>
    <row r="690" spans="1:35" x14ac:dyDescent="0.25">
      <c r="A690" s="9">
        <f t="shared" si="33"/>
        <v>1</v>
      </c>
      <c r="G690" s="19" t="s">
        <v>1840</v>
      </c>
      <c r="O690" s="19">
        <v>412788.60000000003</v>
      </c>
      <c r="S690" s="19">
        <v>3610103.1999999997</v>
      </c>
      <c r="Z690" s="19" t="s">
        <v>1558</v>
      </c>
      <c r="AI690" s="19" t="s">
        <v>1841</v>
      </c>
    </row>
    <row r="691" spans="1:35" x14ac:dyDescent="0.25">
      <c r="A691" s="9">
        <f t="shared" si="33"/>
        <v>1</v>
      </c>
      <c r="G691" s="19" t="s">
        <v>1842</v>
      </c>
      <c r="O691" s="19">
        <v>18716961.909999996</v>
      </c>
      <c r="S691" s="19">
        <v>18773721.879999995</v>
      </c>
      <c r="Z691" s="19" t="s">
        <v>1558</v>
      </c>
      <c r="AI691" s="19" t="s">
        <v>1843</v>
      </c>
    </row>
    <row r="692" spans="1:35" x14ac:dyDescent="0.25">
      <c r="A692" s="9">
        <f t="shared" si="33"/>
        <v>1</v>
      </c>
      <c r="G692" s="19" t="s">
        <v>1844</v>
      </c>
      <c r="O692" s="19">
        <v>16876429.98</v>
      </c>
      <c r="S692" s="19">
        <v>18967047.09</v>
      </c>
      <c r="Z692" s="19" t="s">
        <v>1558</v>
      </c>
      <c r="AI692" s="19" t="s">
        <v>1845</v>
      </c>
    </row>
    <row r="693" spans="1:35" x14ac:dyDescent="0.25">
      <c r="A693" s="9">
        <f t="shared" si="33"/>
        <v>1</v>
      </c>
      <c r="G693" s="19" t="s">
        <v>1846</v>
      </c>
      <c r="O693" s="19">
        <v>180000</v>
      </c>
      <c r="S693" s="19">
        <v>180000</v>
      </c>
      <c r="Z693" s="19" t="s">
        <v>1558</v>
      </c>
      <c r="AI693" s="19" t="s">
        <v>1847</v>
      </c>
    </row>
    <row r="694" spans="1:35" x14ac:dyDescent="0.25">
      <c r="A694" s="9">
        <f t="shared" si="33"/>
        <v>1</v>
      </c>
      <c r="G694" s="19" t="s">
        <v>1848</v>
      </c>
      <c r="O694" s="19">
        <v>0</v>
      </c>
      <c r="S694" s="19">
        <v>6999.9</v>
      </c>
      <c r="Z694" s="19" t="s">
        <v>1558</v>
      </c>
      <c r="AI694" s="19" t="s">
        <v>1849</v>
      </c>
    </row>
    <row r="695" spans="1:35" x14ac:dyDescent="0.25">
      <c r="A695" s="9">
        <f t="shared" si="33"/>
        <v>1</v>
      </c>
      <c r="G695" s="19" t="s">
        <v>1850</v>
      </c>
      <c r="O695" s="19">
        <v>111925.52399999999</v>
      </c>
      <c r="S695" s="19">
        <v>111925.53</v>
      </c>
      <c r="Z695" s="19" t="s">
        <v>1558</v>
      </c>
      <c r="AI695" s="19" t="s">
        <v>1851</v>
      </c>
    </row>
    <row r="696" spans="1:35" x14ac:dyDescent="0.25">
      <c r="A696" s="9">
        <f t="shared" si="33"/>
        <v>1</v>
      </c>
      <c r="G696" s="19" t="s">
        <v>1852</v>
      </c>
      <c r="O696" s="19">
        <v>273321.34000000003</v>
      </c>
      <c r="S696" s="19">
        <v>289966.14</v>
      </c>
      <c r="Z696" s="19" t="s">
        <v>1558</v>
      </c>
      <c r="AI696" s="19" t="s">
        <v>1853</v>
      </c>
    </row>
    <row r="697" spans="1:35" x14ac:dyDescent="0.25">
      <c r="A697" s="9">
        <f t="shared" si="33"/>
        <v>1</v>
      </c>
      <c r="G697" s="19" t="s">
        <v>1854</v>
      </c>
      <c r="O697" s="19">
        <v>99067.5</v>
      </c>
      <c r="S697" s="19">
        <v>99067.5</v>
      </c>
      <c r="Z697" s="19" t="s">
        <v>1558</v>
      </c>
      <c r="AI697" s="19" t="s">
        <v>1855</v>
      </c>
    </row>
    <row r="698" spans="1:35" x14ac:dyDescent="0.25">
      <c r="A698" s="9">
        <f t="shared" si="33"/>
        <v>1</v>
      </c>
      <c r="G698" s="19" t="s">
        <v>1856</v>
      </c>
      <c r="O698" s="19">
        <v>1117738.83</v>
      </c>
      <c r="S698" s="19">
        <v>18967047.09</v>
      </c>
      <c r="Z698" s="19" t="s">
        <v>1558</v>
      </c>
      <c r="AI698" s="19" t="s">
        <v>1857</v>
      </c>
    </row>
    <row r="699" spans="1:35" x14ac:dyDescent="0.25">
      <c r="A699" s="9">
        <f t="shared" si="33"/>
        <v>1</v>
      </c>
      <c r="G699" s="19" t="s">
        <v>1858</v>
      </c>
      <c r="O699" s="19">
        <v>0</v>
      </c>
      <c r="S699" s="19">
        <v>64386</v>
      </c>
      <c r="Z699" s="19" t="s">
        <v>1558</v>
      </c>
      <c r="AI699" s="19" t="s">
        <v>1859</v>
      </c>
    </row>
    <row r="700" spans="1:35" x14ac:dyDescent="0.25">
      <c r="A700" s="9">
        <f t="shared" si="33"/>
        <v>1</v>
      </c>
      <c r="G700" s="19" t="s">
        <v>1860</v>
      </c>
      <c r="O700" s="19">
        <v>0</v>
      </c>
      <c r="S700" s="19">
        <v>64386</v>
      </c>
      <c r="Z700" s="19" t="s">
        <v>1558</v>
      </c>
      <c r="AI700" s="19" t="s">
        <v>1861</v>
      </c>
    </row>
    <row r="701" spans="1:35" x14ac:dyDescent="0.25">
      <c r="A701" s="9">
        <f t="shared" si="33"/>
        <v>1</v>
      </c>
      <c r="G701" s="19" t="s">
        <v>1862</v>
      </c>
      <c r="O701" s="19">
        <v>0</v>
      </c>
      <c r="S701" s="19">
        <v>79611</v>
      </c>
      <c r="Z701" s="19" t="s">
        <v>1558</v>
      </c>
      <c r="AI701" s="19" t="s">
        <v>1863</v>
      </c>
    </row>
    <row r="702" spans="1:35" x14ac:dyDescent="0.25">
      <c r="A702" s="9">
        <f t="shared" si="33"/>
        <v>1</v>
      </c>
      <c r="G702" s="19" t="s">
        <v>1864</v>
      </c>
      <c r="O702" s="19">
        <v>0</v>
      </c>
      <c r="S702" s="19">
        <v>278202.28000000003</v>
      </c>
      <c r="Z702" s="19" t="s">
        <v>1558</v>
      </c>
      <c r="AI702" s="19" t="s">
        <v>1865</v>
      </c>
    </row>
    <row r="703" spans="1:35" x14ac:dyDescent="0.25">
      <c r="A703" s="9">
        <f t="shared" si="33"/>
        <v>1</v>
      </c>
      <c r="G703" s="19" t="s">
        <v>1866</v>
      </c>
      <c r="O703" s="19">
        <v>0</v>
      </c>
      <c r="S703" s="19">
        <v>48252.6</v>
      </c>
      <c r="Z703" s="19" t="s">
        <v>1867</v>
      </c>
      <c r="AI703" s="19" t="s">
        <v>1868</v>
      </c>
    </row>
    <row r="704" spans="1:35" x14ac:dyDescent="0.25">
      <c r="A704" s="9">
        <f t="shared" si="33"/>
        <v>1</v>
      </c>
      <c r="G704" s="19" t="s">
        <v>1869</v>
      </c>
      <c r="O704" s="19">
        <v>101915.79999999999</v>
      </c>
      <c r="S704" s="19">
        <v>101915.8</v>
      </c>
      <c r="Z704" s="19" t="s">
        <v>1867</v>
      </c>
      <c r="AI704" s="19" t="s">
        <v>1870</v>
      </c>
    </row>
    <row r="705" spans="1:35" x14ac:dyDescent="0.25">
      <c r="A705" s="9">
        <f t="shared" si="33"/>
        <v>1</v>
      </c>
      <c r="G705" s="19" t="s">
        <v>1871</v>
      </c>
      <c r="O705" s="19">
        <v>0</v>
      </c>
      <c r="S705" s="19">
        <v>98455.069999999992</v>
      </c>
      <c r="Z705" s="19" t="s">
        <v>1867</v>
      </c>
      <c r="AI705" s="19" t="s">
        <v>1872</v>
      </c>
    </row>
    <row r="706" spans="1:35" x14ac:dyDescent="0.25">
      <c r="A706" s="9">
        <f t="shared" si="33"/>
        <v>1</v>
      </c>
      <c r="G706" s="19" t="s">
        <v>1873</v>
      </c>
      <c r="O706" s="19">
        <v>0</v>
      </c>
      <c r="S706" s="19">
        <v>15930435.999999998</v>
      </c>
      <c r="Z706" s="19" t="s">
        <v>1867</v>
      </c>
      <c r="AI706" s="19" t="s">
        <v>1874</v>
      </c>
    </row>
    <row r="707" spans="1:35" x14ac:dyDescent="0.25">
      <c r="A707" s="9">
        <f t="shared" si="33"/>
        <v>1</v>
      </c>
      <c r="G707" s="19" t="s">
        <v>1875</v>
      </c>
      <c r="O707" s="19">
        <v>0</v>
      </c>
      <c r="S707" s="19">
        <v>379555</v>
      </c>
      <c r="Z707" s="19" t="s">
        <v>1867</v>
      </c>
      <c r="AI707" s="19" t="s">
        <v>1876</v>
      </c>
    </row>
    <row r="708" spans="1:35" x14ac:dyDescent="0.25">
      <c r="A708" s="9">
        <f t="shared" si="33"/>
        <v>1</v>
      </c>
      <c r="G708" s="19" t="s">
        <v>1877</v>
      </c>
      <c r="O708" s="19">
        <v>404944</v>
      </c>
      <c r="S708" s="19">
        <v>459166</v>
      </c>
      <c r="Z708" s="19" t="s">
        <v>1558</v>
      </c>
      <c r="AI708" s="19" t="s">
        <v>1878</v>
      </c>
    </row>
    <row r="709" spans="1:35" x14ac:dyDescent="0.25">
      <c r="A709" s="9">
        <f t="shared" si="33"/>
        <v>1</v>
      </c>
      <c r="G709" s="19" t="s">
        <v>1879</v>
      </c>
      <c r="O709" s="19">
        <v>0</v>
      </c>
      <c r="S709" s="19">
        <v>16465.05</v>
      </c>
      <c r="Z709" s="19" t="s">
        <v>1558</v>
      </c>
      <c r="AI709" s="19" t="s">
        <v>1880</v>
      </c>
    </row>
    <row r="710" spans="1:35" x14ac:dyDescent="0.25">
      <c r="A710" s="9">
        <f t="shared" si="33"/>
        <v>1</v>
      </c>
      <c r="G710" s="19" t="s">
        <v>1881</v>
      </c>
      <c r="O710" s="19">
        <v>0</v>
      </c>
      <c r="S710" s="19">
        <v>25396.18</v>
      </c>
      <c r="Z710" s="19" t="s">
        <v>1867</v>
      </c>
      <c r="AI710" s="19" t="s">
        <v>1882</v>
      </c>
    </row>
    <row r="711" spans="1:35" x14ac:dyDescent="0.25">
      <c r="A711" s="9">
        <f t="shared" si="33"/>
        <v>1</v>
      </c>
      <c r="G711" s="19" t="s">
        <v>1883</v>
      </c>
      <c r="O711" s="19">
        <v>0</v>
      </c>
      <c r="S711" s="19">
        <v>25396.18</v>
      </c>
      <c r="Z711" s="19" t="s">
        <v>1867</v>
      </c>
      <c r="AI711" s="19" t="s">
        <v>1884</v>
      </c>
    </row>
    <row r="712" spans="1:35" x14ac:dyDescent="0.25">
      <c r="A712" s="9">
        <f t="shared" si="33"/>
        <v>1</v>
      </c>
      <c r="G712" s="19" t="s">
        <v>1885</v>
      </c>
      <c r="O712" s="19">
        <v>0</v>
      </c>
      <c r="S712" s="19">
        <v>915878.06</v>
      </c>
      <c r="Z712" s="19" t="s">
        <v>1558</v>
      </c>
      <c r="AI712" s="19" t="s">
        <v>1886</v>
      </c>
    </row>
    <row r="713" spans="1:35" x14ac:dyDescent="0.25">
      <c r="A713" s="9">
        <f t="shared" si="33"/>
        <v>1</v>
      </c>
      <c r="G713" s="19" t="s">
        <v>1887</v>
      </c>
      <c r="O713" s="19">
        <v>108096.24</v>
      </c>
      <c r="S713" s="19">
        <v>108096.23999999999</v>
      </c>
      <c r="Z713" s="19" t="s">
        <v>1867</v>
      </c>
      <c r="AI713" s="19" t="s">
        <v>1888</v>
      </c>
    </row>
    <row r="714" spans="1:35" x14ac:dyDescent="0.25">
      <c r="A714" s="9">
        <f t="shared" si="33"/>
        <v>1</v>
      </c>
      <c r="G714" s="19" t="s">
        <v>1889</v>
      </c>
      <c r="O714" s="19">
        <v>410085.6</v>
      </c>
      <c r="S714" s="19">
        <v>410085.6</v>
      </c>
      <c r="Z714" s="19" t="s">
        <v>1867</v>
      </c>
      <c r="AI714" s="19" t="s">
        <v>1890</v>
      </c>
    </row>
    <row r="715" spans="1:35" x14ac:dyDescent="0.25">
      <c r="A715" s="9">
        <f t="shared" si="33"/>
        <v>1</v>
      </c>
      <c r="G715" s="19" t="s">
        <v>1891</v>
      </c>
      <c r="O715" s="19">
        <v>15996292.040000001</v>
      </c>
      <c r="S715" s="19">
        <v>16499222.560000001</v>
      </c>
      <c r="Z715" s="19" t="s">
        <v>1558</v>
      </c>
      <c r="AI715" s="19" t="s">
        <v>1892</v>
      </c>
    </row>
    <row r="716" spans="1:35" x14ac:dyDescent="0.25">
      <c r="A716" s="9">
        <f t="shared" ref="A716:A779" si="34">IF(G716&gt;0,1,0)</f>
        <v>1</v>
      </c>
      <c r="G716" s="19" t="s">
        <v>1893</v>
      </c>
      <c r="O716" s="19">
        <v>14883630.839999998</v>
      </c>
      <c r="S716" s="19">
        <v>15068864.5</v>
      </c>
      <c r="Z716" s="19" t="s">
        <v>1558</v>
      </c>
      <c r="AI716" s="19" t="s">
        <v>1894</v>
      </c>
    </row>
    <row r="717" spans="1:35" x14ac:dyDescent="0.25">
      <c r="A717" s="9">
        <f t="shared" si="34"/>
        <v>1</v>
      </c>
      <c r="G717" s="19" t="s">
        <v>1895</v>
      </c>
      <c r="O717" s="19">
        <v>450849.24</v>
      </c>
      <c r="S717" s="19">
        <v>450849.24</v>
      </c>
      <c r="Z717" s="19" t="s">
        <v>1867</v>
      </c>
      <c r="AI717" s="19" t="s">
        <v>1896</v>
      </c>
    </row>
    <row r="718" spans="1:35" x14ac:dyDescent="0.25">
      <c r="A718" s="9">
        <f t="shared" si="34"/>
        <v>1</v>
      </c>
      <c r="G718" s="19" t="s">
        <v>1897</v>
      </c>
      <c r="O718" s="19">
        <v>350183.33999999997</v>
      </c>
      <c r="S718" s="19">
        <v>350183.34</v>
      </c>
      <c r="Z718" s="19" t="s">
        <v>1867</v>
      </c>
      <c r="AI718" s="19" t="s">
        <v>1898</v>
      </c>
    </row>
    <row r="719" spans="1:35" x14ac:dyDescent="0.25">
      <c r="A719" s="9">
        <f t="shared" si="34"/>
        <v>1</v>
      </c>
      <c r="G719" s="19" t="s">
        <v>1899</v>
      </c>
      <c r="O719" s="19">
        <v>34834.75</v>
      </c>
      <c r="S719" s="19">
        <v>34834.75</v>
      </c>
      <c r="Z719" s="19" t="s">
        <v>1558</v>
      </c>
      <c r="AI719" s="19" t="s">
        <v>1900</v>
      </c>
    </row>
    <row r="720" spans="1:35" x14ac:dyDescent="0.25">
      <c r="A720" s="9">
        <f t="shared" si="34"/>
        <v>1</v>
      </c>
      <c r="G720" s="19" t="s">
        <v>1901</v>
      </c>
      <c r="O720" s="19">
        <v>0</v>
      </c>
      <c r="S720" s="19">
        <v>46653.66</v>
      </c>
      <c r="Z720" s="19" t="s">
        <v>1867</v>
      </c>
      <c r="AI720" s="19" t="s">
        <v>1902</v>
      </c>
    </row>
    <row r="721" spans="1:35" x14ac:dyDescent="0.25">
      <c r="A721" s="9">
        <f t="shared" si="34"/>
        <v>1</v>
      </c>
      <c r="G721" s="19" t="s">
        <v>1903</v>
      </c>
      <c r="O721" s="19">
        <v>0</v>
      </c>
      <c r="S721" s="19">
        <v>14397352.33</v>
      </c>
      <c r="Z721" s="19" t="s">
        <v>1867</v>
      </c>
      <c r="AI721" s="19" t="s">
        <v>1904</v>
      </c>
    </row>
    <row r="722" spans="1:35" x14ac:dyDescent="0.25">
      <c r="A722" s="9">
        <f t="shared" si="34"/>
        <v>1</v>
      </c>
      <c r="G722" s="19" t="s">
        <v>1905</v>
      </c>
      <c r="O722" s="19">
        <v>184960.65</v>
      </c>
      <c r="S722" s="19">
        <v>184960.65</v>
      </c>
      <c r="Z722" s="19" t="s">
        <v>1867</v>
      </c>
      <c r="AI722" s="19" t="s">
        <v>1906</v>
      </c>
    </row>
    <row r="723" spans="1:35" x14ac:dyDescent="0.25">
      <c r="A723" s="9">
        <f t="shared" si="34"/>
        <v>1</v>
      </c>
      <c r="G723" s="19" t="s">
        <v>1907</v>
      </c>
      <c r="O723" s="19">
        <v>0</v>
      </c>
      <c r="S723" s="19">
        <v>36857472.489999995</v>
      </c>
      <c r="Z723" s="19" t="s">
        <v>1867</v>
      </c>
      <c r="AI723" s="19" t="s">
        <v>1908</v>
      </c>
    </row>
    <row r="724" spans="1:35" x14ac:dyDescent="0.25">
      <c r="A724" s="9">
        <f t="shared" si="34"/>
        <v>1</v>
      </c>
      <c r="G724" s="19" t="s">
        <v>1909</v>
      </c>
      <c r="O724" s="19">
        <v>0</v>
      </c>
      <c r="S724" s="19">
        <v>1130180</v>
      </c>
      <c r="Z724" s="19" t="s">
        <v>1867</v>
      </c>
      <c r="AI724" s="19" t="s">
        <v>1910</v>
      </c>
    </row>
    <row r="725" spans="1:35" x14ac:dyDescent="0.25">
      <c r="A725" s="9">
        <f t="shared" si="34"/>
        <v>1</v>
      </c>
      <c r="G725" s="19" t="s">
        <v>1911</v>
      </c>
      <c r="O725" s="19">
        <v>0</v>
      </c>
      <c r="S725" s="19">
        <v>15184553.919999996</v>
      </c>
      <c r="Z725" s="19" t="s">
        <v>1929</v>
      </c>
      <c r="AI725" s="19" t="s">
        <v>1912</v>
      </c>
    </row>
    <row r="726" spans="1:35" x14ac:dyDescent="0.25">
      <c r="A726" s="9">
        <f t="shared" si="34"/>
        <v>1</v>
      </c>
      <c r="G726" s="19" t="s">
        <v>1913</v>
      </c>
      <c r="O726" s="19">
        <v>0</v>
      </c>
      <c r="S726" s="19">
        <v>888379.9</v>
      </c>
      <c r="Z726" s="19" t="s">
        <v>1867</v>
      </c>
      <c r="AI726" s="19" t="s">
        <v>1914</v>
      </c>
    </row>
    <row r="727" spans="1:35" x14ac:dyDescent="0.25">
      <c r="A727" s="9">
        <f t="shared" si="34"/>
        <v>1</v>
      </c>
      <c r="G727" s="19" t="s">
        <v>1915</v>
      </c>
      <c r="O727" s="19">
        <v>0</v>
      </c>
      <c r="S727" s="19">
        <v>732345</v>
      </c>
      <c r="Z727" s="19" t="s">
        <v>1867</v>
      </c>
      <c r="AI727" s="19" t="s">
        <v>1916</v>
      </c>
    </row>
    <row r="728" spans="1:35" x14ac:dyDescent="0.25">
      <c r="A728" s="9">
        <f t="shared" si="34"/>
        <v>1</v>
      </c>
      <c r="G728" s="19" t="s">
        <v>1917</v>
      </c>
      <c r="O728" s="19">
        <v>0</v>
      </c>
      <c r="S728" s="19">
        <v>33780</v>
      </c>
      <c r="Z728" s="19" t="s">
        <v>1867</v>
      </c>
      <c r="AI728" s="19" t="s">
        <v>1918</v>
      </c>
    </row>
    <row r="729" spans="1:35" x14ac:dyDescent="0.25">
      <c r="A729" s="9">
        <f t="shared" si="34"/>
        <v>1</v>
      </c>
      <c r="G729" s="19" t="s">
        <v>1919</v>
      </c>
      <c r="O729" s="19">
        <v>0</v>
      </c>
      <c r="S729" s="19">
        <v>291244</v>
      </c>
      <c r="Z729" s="19" t="s">
        <v>1867</v>
      </c>
      <c r="AI729" s="19" t="s">
        <v>1920</v>
      </c>
    </row>
    <row r="730" spans="1:35" x14ac:dyDescent="0.25">
      <c r="A730" s="9">
        <f t="shared" si="34"/>
        <v>1</v>
      </c>
      <c r="G730" s="19" t="s">
        <v>1921</v>
      </c>
      <c r="O730" s="19">
        <v>0</v>
      </c>
      <c r="S730" s="19">
        <v>27102795.859999999</v>
      </c>
      <c r="Z730" s="19" t="s">
        <v>1867</v>
      </c>
      <c r="AI730" s="19" t="s">
        <v>1922</v>
      </c>
    </row>
    <row r="731" spans="1:35" x14ac:dyDescent="0.25">
      <c r="A731" s="9">
        <f t="shared" si="34"/>
        <v>1</v>
      </c>
      <c r="G731" s="19" t="s">
        <v>1923</v>
      </c>
      <c r="O731" s="19">
        <v>0</v>
      </c>
      <c r="S731" s="19">
        <v>16673.09</v>
      </c>
      <c r="Z731" s="19" t="s">
        <v>1867</v>
      </c>
      <c r="AI731" s="19" t="s">
        <v>1924</v>
      </c>
    </row>
    <row r="732" spans="1:35" x14ac:dyDescent="0.25">
      <c r="A732" s="9">
        <f t="shared" si="34"/>
        <v>1</v>
      </c>
      <c r="G732" s="19" t="s">
        <v>1925</v>
      </c>
      <c r="O732" s="19">
        <v>0</v>
      </c>
      <c r="S732" s="19">
        <v>61974.34</v>
      </c>
      <c r="Z732" s="19" t="s">
        <v>1867</v>
      </c>
      <c r="AI732" s="19" t="s">
        <v>1926</v>
      </c>
    </row>
    <row r="733" spans="1:35" x14ac:dyDescent="0.25">
      <c r="A733" s="9">
        <f t="shared" si="34"/>
        <v>1</v>
      </c>
      <c r="G733" s="19" t="s">
        <v>1927</v>
      </c>
      <c r="O733" s="19">
        <v>108628</v>
      </c>
      <c r="S733" s="19">
        <v>108628</v>
      </c>
      <c r="Z733" s="19" t="s">
        <v>1867</v>
      </c>
      <c r="AI733" s="19" t="s">
        <v>1928</v>
      </c>
    </row>
    <row r="734" spans="1:35" x14ac:dyDescent="0.25">
      <c r="A734" s="9">
        <f t="shared" si="34"/>
        <v>1</v>
      </c>
      <c r="G734" s="19" t="s">
        <v>1930</v>
      </c>
      <c r="O734" s="19">
        <v>0</v>
      </c>
      <c r="S734" s="19">
        <v>700302.62</v>
      </c>
      <c r="Z734" s="19" t="s">
        <v>1929</v>
      </c>
      <c r="AI734" s="19" t="s">
        <v>1931</v>
      </c>
    </row>
    <row r="735" spans="1:35" x14ac:dyDescent="0.25">
      <c r="A735" s="9">
        <f t="shared" si="34"/>
        <v>1</v>
      </c>
      <c r="G735" s="19" t="s">
        <v>1932</v>
      </c>
      <c r="O735" s="19">
        <v>0</v>
      </c>
      <c r="S735" s="19">
        <v>446697.91</v>
      </c>
      <c r="Z735" s="19" t="s">
        <v>1929</v>
      </c>
      <c r="AI735" s="19" t="s">
        <v>1933</v>
      </c>
    </row>
    <row r="736" spans="1:35" x14ac:dyDescent="0.25">
      <c r="A736" s="9">
        <f t="shared" si="34"/>
        <v>1</v>
      </c>
      <c r="G736" s="19" t="s">
        <v>1934</v>
      </c>
      <c r="O736" s="19">
        <v>15689867.020000001</v>
      </c>
      <c r="S736" s="19">
        <v>15795733.729999997</v>
      </c>
      <c r="Z736" s="19" t="s">
        <v>1991</v>
      </c>
      <c r="AI736" s="19" t="s">
        <v>1935</v>
      </c>
    </row>
    <row r="737" spans="1:35" x14ac:dyDescent="0.25">
      <c r="A737" s="9">
        <f t="shared" si="34"/>
        <v>1</v>
      </c>
      <c r="G737" s="19" t="s">
        <v>1936</v>
      </c>
      <c r="O737" s="19">
        <v>0</v>
      </c>
      <c r="S737" s="19">
        <v>15184553.919999996</v>
      </c>
      <c r="Z737" s="19" t="s">
        <v>1929</v>
      </c>
      <c r="AI737" s="19" t="s">
        <v>1937</v>
      </c>
    </row>
    <row r="738" spans="1:35" x14ac:dyDescent="0.25">
      <c r="A738" s="9">
        <f t="shared" si="34"/>
        <v>1</v>
      </c>
      <c r="G738" s="19" t="s">
        <v>1938</v>
      </c>
      <c r="O738" s="19">
        <v>0</v>
      </c>
      <c r="S738" s="19">
        <v>6724023.7700000005</v>
      </c>
      <c r="Z738" s="19" t="s">
        <v>1929</v>
      </c>
      <c r="AI738" s="19" t="s">
        <v>1939</v>
      </c>
    </row>
    <row r="739" spans="1:35" x14ac:dyDescent="0.25">
      <c r="A739" s="9">
        <f t="shared" si="34"/>
        <v>1</v>
      </c>
      <c r="G739" s="19" t="s">
        <v>1940</v>
      </c>
      <c r="O739" s="19">
        <v>0</v>
      </c>
      <c r="S739" s="19">
        <v>1078713.3099999996</v>
      </c>
      <c r="Z739" s="19" t="s">
        <v>1929</v>
      </c>
      <c r="AI739" s="19" t="s">
        <v>1941</v>
      </c>
    </row>
    <row r="740" spans="1:35" x14ac:dyDescent="0.25">
      <c r="A740" s="9">
        <f t="shared" si="34"/>
        <v>1</v>
      </c>
      <c r="G740" s="19" t="s">
        <v>1942</v>
      </c>
      <c r="O740" s="19">
        <v>0</v>
      </c>
      <c r="S740" s="19">
        <v>752023.92999999993</v>
      </c>
      <c r="Z740" s="19" t="s">
        <v>1929</v>
      </c>
      <c r="AI740" s="19" t="s">
        <v>1943</v>
      </c>
    </row>
    <row r="741" spans="1:35" x14ac:dyDescent="0.25">
      <c r="A741" s="9">
        <f t="shared" si="34"/>
        <v>1</v>
      </c>
      <c r="G741" s="19" t="s">
        <v>1944</v>
      </c>
      <c r="O741" s="19">
        <v>15466730.439999998</v>
      </c>
      <c r="S741" s="19">
        <v>15466730.439999999</v>
      </c>
      <c r="Z741" s="19" t="s">
        <v>1558</v>
      </c>
      <c r="AI741" s="19" t="s">
        <v>1945</v>
      </c>
    </row>
    <row r="742" spans="1:35" x14ac:dyDescent="0.25">
      <c r="A742" s="9">
        <f t="shared" si="34"/>
        <v>1</v>
      </c>
      <c r="G742" s="19" t="s">
        <v>1946</v>
      </c>
      <c r="O742" s="19">
        <v>1079172.6999999997</v>
      </c>
      <c r="S742" s="19">
        <v>1148929.1399999997</v>
      </c>
      <c r="Z742" s="19" t="s">
        <v>1929</v>
      </c>
      <c r="AI742" s="19" t="s">
        <v>1947</v>
      </c>
    </row>
    <row r="743" spans="1:35" x14ac:dyDescent="0.25">
      <c r="A743" s="9">
        <f t="shared" si="34"/>
        <v>1</v>
      </c>
      <c r="G743" s="19" t="s">
        <v>1948</v>
      </c>
      <c r="O743" s="19">
        <v>5419251.0999999996</v>
      </c>
      <c r="S743" s="19">
        <v>6810989.1300000008</v>
      </c>
      <c r="Z743" s="19" t="s">
        <v>1929</v>
      </c>
      <c r="AI743" s="19" t="s">
        <v>1949</v>
      </c>
    </row>
    <row r="744" spans="1:35" x14ac:dyDescent="0.25">
      <c r="A744" s="9">
        <f t="shared" si="34"/>
        <v>1</v>
      </c>
      <c r="G744" s="19" t="s">
        <v>1950</v>
      </c>
      <c r="O744" s="19">
        <v>0</v>
      </c>
      <c r="S744" s="19">
        <v>17654945.900000002</v>
      </c>
      <c r="Z744" s="19" t="s">
        <v>1951</v>
      </c>
      <c r="AI744" s="19" t="s">
        <v>1952</v>
      </c>
    </row>
    <row r="745" spans="1:35" x14ac:dyDescent="0.25">
      <c r="A745" s="9">
        <f t="shared" si="34"/>
        <v>1</v>
      </c>
      <c r="G745" s="19" t="s">
        <v>1953</v>
      </c>
      <c r="O745" s="19">
        <v>736676.10900000005</v>
      </c>
      <c r="S745" s="19">
        <v>736676.11</v>
      </c>
      <c r="Z745" s="19" t="s">
        <v>1929</v>
      </c>
      <c r="AI745" s="19" t="s">
        <v>1954</v>
      </c>
    </row>
    <row r="746" spans="1:35" x14ac:dyDescent="0.25">
      <c r="A746" s="9">
        <f t="shared" si="34"/>
        <v>1</v>
      </c>
      <c r="G746" s="19" t="s">
        <v>1955</v>
      </c>
      <c r="O746" s="19">
        <v>0</v>
      </c>
      <c r="S746" s="19">
        <v>417279</v>
      </c>
      <c r="Z746" s="19" t="s">
        <v>1951</v>
      </c>
      <c r="AI746" s="19" t="s">
        <v>1956</v>
      </c>
    </row>
    <row r="747" spans="1:35" x14ac:dyDescent="0.25">
      <c r="A747" s="9">
        <f t="shared" si="34"/>
        <v>1</v>
      </c>
      <c r="G747" s="19" t="s">
        <v>1957</v>
      </c>
      <c r="O747" s="19">
        <v>104913.7</v>
      </c>
      <c r="S747" s="19">
        <v>110402.64</v>
      </c>
      <c r="Z747" s="19" t="s">
        <v>1991</v>
      </c>
      <c r="AI747" s="19" t="s">
        <v>1958</v>
      </c>
    </row>
    <row r="748" spans="1:35" x14ac:dyDescent="0.25">
      <c r="A748" s="9">
        <f t="shared" si="34"/>
        <v>1</v>
      </c>
      <c r="G748" s="19" t="s">
        <v>1959</v>
      </c>
      <c r="O748" s="19">
        <v>0</v>
      </c>
      <c r="S748" s="19">
        <v>842161.32000000007</v>
      </c>
      <c r="Z748" s="19" t="s">
        <v>1951</v>
      </c>
      <c r="AI748" s="19" t="s">
        <v>1960</v>
      </c>
    </row>
    <row r="749" spans="1:35" x14ac:dyDescent="0.25">
      <c r="A749" s="9">
        <f t="shared" si="34"/>
        <v>1</v>
      </c>
      <c r="G749" s="19" t="s">
        <v>1961</v>
      </c>
      <c r="O749" s="19">
        <v>0</v>
      </c>
      <c r="S749" s="19">
        <v>820985</v>
      </c>
      <c r="Z749" s="19" t="s">
        <v>1951</v>
      </c>
      <c r="AI749" s="19" t="s">
        <v>1962</v>
      </c>
    </row>
    <row r="750" spans="1:35" x14ac:dyDescent="0.25">
      <c r="A750" s="9">
        <f t="shared" si="34"/>
        <v>1</v>
      </c>
      <c r="G750" s="19" t="s">
        <v>1963</v>
      </c>
      <c r="O750" s="19">
        <v>0</v>
      </c>
      <c r="S750" s="19">
        <v>588644.16</v>
      </c>
      <c r="Z750" s="19" t="s">
        <v>1951</v>
      </c>
      <c r="AI750" s="19" t="s">
        <v>1964</v>
      </c>
    </row>
    <row r="751" spans="1:35" x14ac:dyDescent="0.25">
      <c r="A751" s="9">
        <f t="shared" si="34"/>
        <v>1</v>
      </c>
      <c r="G751" s="19" t="s">
        <v>1965</v>
      </c>
      <c r="O751" s="19">
        <v>0</v>
      </c>
      <c r="S751" s="19">
        <v>16004668.08</v>
      </c>
      <c r="Z751" s="19" t="s">
        <v>1951</v>
      </c>
      <c r="AI751" s="19" t="s">
        <v>1966</v>
      </c>
    </row>
    <row r="752" spans="1:35" x14ac:dyDescent="0.25">
      <c r="A752" s="9">
        <f t="shared" si="34"/>
        <v>1</v>
      </c>
      <c r="G752" s="19" t="s">
        <v>1967</v>
      </c>
      <c r="O752" s="19">
        <v>0</v>
      </c>
      <c r="S752" s="19">
        <v>811537.3600000001</v>
      </c>
      <c r="Z752" s="19" t="s">
        <v>1951</v>
      </c>
      <c r="AI752" s="19" t="s">
        <v>1968</v>
      </c>
    </row>
    <row r="753" spans="1:35" x14ac:dyDescent="0.25">
      <c r="A753" s="9">
        <f t="shared" si="34"/>
        <v>1</v>
      </c>
      <c r="G753" s="19" t="s">
        <v>1969</v>
      </c>
      <c r="O753" s="19">
        <v>0</v>
      </c>
      <c r="S753" s="19">
        <v>791131</v>
      </c>
      <c r="Z753" s="19" t="s">
        <v>1951</v>
      </c>
      <c r="AI753" s="19" t="s">
        <v>1970</v>
      </c>
    </row>
    <row r="754" spans="1:35" x14ac:dyDescent="0.25">
      <c r="A754" s="9">
        <f t="shared" si="34"/>
        <v>1</v>
      </c>
      <c r="G754" s="19" t="s">
        <v>1971</v>
      </c>
      <c r="O754" s="19">
        <v>0</v>
      </c>
      <c r="S754" s="19">
        <v>11808654.209999999</v>
      </c>
      <c r="Z754" s="19" t="s">
        <v>1951</v>
      </c>
      <c r="AI754" s="19" t="s">
        <v>1972</v>
      </c>
    </row>
    <row r="755" spans="1:35" x14ac:dyDescent="0.25">
      <c r="A755" s="9">
        <f t="shared" si="34"/>
        <v>1</v>
      </c>
      <c r="G755" s="19" t="s">
        <v>1973</v>
      </c>
      <c r="O755" s="19">
        <v>5857205.7800000012</v>
      </c>
      <c r="S755" s="19">
        <v>7820052.2699999996</v>
      </c>
      <c r="Z755" s="19" t="s">
        <v>1991</v>
      </c>
      <c r="AI755" s="19" t="s">
        <v>1974</v>
      </c>
    </row>
    <row r="756" spans="1:35" x14ac:dyDescent="0.25">
      <c r="A756" s="9">
        <f t="shared" si="34"/>
        <v>1</v>
      </c>
      <c r="G756" s="19" t="s">
        <v>1975</v>
      </c>
      <c r="O756" s="19">
        <v>2999733.9499999988</v>
      </c>
      <c r="S756" s="19">
        <v>3123632.54</v>
      </c>
      <c r="Z756" s="19" t="s">
        <v>2021</v>
      </c>
      <c r="AI756" s="19" t="s">
        <v>1976</v>
      </c>
    </row>
    <row r="757" spans="1:35" x14ac:dyDescent="0.25">
      <c r="A757" s="9">
        <f t="shared" si="34"/>
        <v>1</v>
      </c>
      <c r="G757" s="19" t="s">
        <v>1977</v>
      </c>
      <c r="O757" s="19">
        <v>0</v>
      </c>
      <c r="S757" s="19">
        <v>4340742.1100000003</v>
      </c>
      <c r="Z757" s="19" t="s">
        <v>1951</v>
      </c>
      <c r="AI757" s="19" t="s">
        <v>1978</v>
      </c>
    </row>
    <row r="758" spans="1:35" x14ac:dyDescent="0.25">
      <c r="A758" s="9">
        <f t="shared" si="34"/>
        <v>1</v>
      </c>
      <c r="G758" s="19" t="s">
        <v>1979</v>
      </c>
      <c r="O758" s="19">
        <v>0</v>
      </c>
      <c r="S758" s="19">
        <v>16507.100000000002</v>
      </c>
      <c r="Z758" s="19" t="s">
        <v>1951</v>
      </c>
      <c r="AI758" s="19" t="s">
        <v>1980</v>
      </c>
    </row>
    <row r="759" spans="1:35" x14ac:dyDescent="0.25">
      <c r="A759" s="9">
        <f t="shared" si="34"/>
        <v>1</v>
      </c>
      <c r="G759" s="19" t="s">
        <v>1981</v>
      </c>
      <c r="O759" s="19">
        <v>0</v>
      </c>
      <c r="S759" s="19">
        <v>2051452.5</v>
      </c>
      <c r="Z759" s="19" t="s">
        <v>1867</v>
      </c>
      <c r="AI759" s="19" t="s">
        <v>1982</v>
      </c>
    </row>
    <row r="760" spans="1:35" x14ac:dyDescent="0.25">
      <c r="A760" s="9">
        <f t="shared" si="34"/>
        <v>1</v>
      </c>
      <c r="G760" s="19" t="s">
        <v>1983</v>
      </c>
      <c r="O760" s="19">
        <v>0</v>
      </c>
      <c r="S760" s="19">
        <v>1225275</v>
      </c>
      <c r="Z760" s="19" t="s">
        <v>1951</v>
      </c>
      <c r="AI760" s="19" t="s">
        <v>1984</v>
      </c>
    </row>
    <row r="761" spans="1:35" x14ac:dyDescent="0.25">
      <c r="A761" s="9">
        <f t="shared" si="34"/>
        <v>1</v>
      </c>
      <c r="G761" s="19" t="s">
        <v>1985</v>
      </c>
      <c r="O761" s="19">
        <v>0</v>
      </c>
      <c r="S761" s="19">
        <v>660922.5</v>
      </c>
      <c r="Z761" s="19" t="s">
        <v>1951</v>
      </c>
      <c r="AI761" s="19" t="s">
        <v>1986</v>
      </c>
    </row>
    <row r="762" spans="1:35" x14ac:dyDescent="0.25">
      <c r="A762" s="9">
        <f t="shared" si="34"/>
        <v>1</v>
      </c>
      <c r="G762" s="19" t="s">
        <v>1987</v>
      </c>
      <c r="O762" s="19">
        <v>0</v>
      </c>
      <c r="S762" s="19">
        <v>74489</v>
      </c>
      <c r="Z762" s="19" t="s">
        <v>1951</v>
      </c>
      <c r="AI762" s="19" t="s">
        <v>1988</v>
      </c>
    </row>
    <row r="763" spans="1:35" x14ac:dyDescent="0.25">
      <c r="A763" s="9">
        <f t="shared" si="34"/>
        <v>1</v>
      </c>
      <c r="G763" s="19" t="s">
        <v>1989</v>
      </c>
      <c r="O763" s="19">
        <v>8800</v>
      </c>
      <c r="S763" s="19">
        <v>8800</v>
      </c>
      <c r="Z763" s="19" t="s">
        <v>1991</v>
      </c>
      <c r="AI763" s="19" t="s">
        <v>1990</v>
      </c>
    </row>
    <row r="764" spans="1:35" x14ac:dyDescent="0.25">
      <c r="A764" s="9">
        <f t="shared" si="34"/>
        <v>1</v>
      </c>
      <c r="G764" s="19" t="s">
        <v>1992</v>
      </c>
      <c r="O764" s="19">
        <v>28319.850000000002</v>
      </c>
      <c r="S764" s="19">
        <v>28319.85</v>
      </c>
      <c r="Z764" s="19" t="s">
        <v>1991</v>
      </c>
      <c r="AI764" s="19" t="s">
        <v>1993</v>
      </c>
    </row>
    <row r="765" spans="1:35" x14ac:dyDescent="0.25">
      <c r="A765" s="9">
        <f t="shared" si="34"/>
        <v>1</v>
      </c>
      <c r="G765" s="19" t="s">
        <v>1994</v>
      </c>
      <c r="O765" s="19">
        <v>0</v>
      </c>
      <c r="S765" s="19">
        <v>1915922</v>
      </c>
      <c r="Z765" s="19" t="s">
        <v>1991</v>
      </c>
      <c r="AI765" s="19" t="s">
        <v>1995</v>
      </c>
    </row>
    <row r="766" spans="1:35" x14ac:dyDescent="0.25">
      <c r="A766" s="9">
        <f t="shared" si="34"/>
        <v>1</v>
      </c>
      <c r="G766" s="19" t="s">
        <v>1996</v>
      </c>
      <c r="O766" s="19">
        <v>0</v>
      </c>
      <c r="S766" s="19">
        <v>159870.25</v>
      </c>
      <c r="Z766" s="19" t="s">
        <v>1951</v>
      </c>
      <c r="AI766" s="19" t="s">
        <v>1997</v>
      </c>
    </row>
    <row r="767" spans="1:35" x14ac:dyDescent="0.25">
      <c r="A767" s="9">
        <f t="shared" si="34"/>
        <v>1</v>
      </c>
      <c r="G767" s="19" t="s">
        <v>1998</v>
      </c>
      <c r="O767" s="19">
        <v>0</v>
      </c>
      <c r="S767" s="19">
        <v>25098890.699999996</v>
      </c>
      <c r="Z767" s="19" t="s">
        <v>1867</v>
      </c>
      <c r="AI767" s="19" t="s">
        <v>1999</v>
      </c>
    </row>
    <row r="768" spans="1:35" x14ac:dyDescent="0.25">
      <c r="A768" s="9">
        <f t="shared" si="34"/>
        <v>1</v>
      </c>
      <c r="G768" s="19" t="s">
        <v>2000</v>
      </c>
      <c r="O768" s="19">
        <v>0</v>
      </c>
      <c r="S768" s="19">
        <v>262667</v>
      </c>
      <c r="Z768" s="19" t="s">
        <v>1929</v>
      </c>
      <c r="AI768" s="19" t="s">
        <v>2001</v>
      </c>
    </row>
    <row r="769" spans="1:35" x14ac:dyDescent="0.25">
      <c r="A769" s="9">
        <f t="shared" si="34"/>
        <v>1</v>
      </c>
      <c r="G769" s="19" t="s">
        <v>2002</v>
      </c>
      <c r="O769" s="19">
        <v>0</v>
      </c>
      <c r="S769" s="19">
        <v>185433.4</v>
      </c>
      <c r="Z769" s="19" t="s">
        <v>1991</v>
      </c>
      <c r="AI769" s="19" t="s">
        <v>2003</v>
      </c>
    </row>
    <row r="770" spans="1:35" x14ac:dyDescent="0.25">
      <c r="A770" s="9">
        <f t="shared" si="34"/>
        <v>1</v>
      </c>
      <c r="G770" s="19" t="s">
        <v>2004</v>
      </c>
      <c r="O770" s="19">
        <v>0</v>
      </c>
      <c r="S770" s="19">
        <v>25424730.849999994</v>
      </c>
      <c r="Z770" s="19" t="s">
        <v>1867</v>
      </c>
      <c r="AI770" s="19" t="s">
        <v>2005</v>
      </c>
    </row>
    <row r="771" spans="1:35" x14ac:dyDescent="0.25">
      <c r="A771" s="9">
        <f t="shared" si="34"/>
        <v>1</v>
      </c>
      <c r="G771" s="19" t="s">
        <v>2006</v>
      </c>
      <c r="O771" s="19">
        <v>0</v>
      </c>
      <c r="S771" s="19">
        <v>12000</v>
      </c>
      <c r="Z771" s="19" t="s">
        <v>1951</v>
      </c>
      <c r="AI771" s="19" t="s">
        <v>2007</v>
      </c>
    </row>
    <row r="772" spans="1:35" x14ac:dyDescent="0.25">
      <c r="A772" s="9">
        <f t="shared" si="34"/>
        <v>1</v>
      </c>
      <c r="G772" s="19" t="s">
        <v>2008</v>
      </c>
      <c r="O772" s="19">
        <v>626838.09000000008</v>
      </c>
      <c r="S772" s="19">
        <v>867536.49999999988</v>
      </c>
      <c r="Z772" s="19" t="s">
        <v>2021</v>
      </c>
      <c r="AI772" s="19" t="s">
        <v>2009</v>
      </c>
    </row>
    <row r="773" spans="1:35" x14ac:dyDescent="0.25">
      <c r="A773" s="9">
        <f t="shared" si="34"/>
        <v>1</v>
      </c>
      <c r="G773" s="19" t="s">
        <v>2010</v>
      </c>
      <c r="O773" s="19">
        <v>0</v>
      </c>
      <c r="S773" s="19">
        <v>11544.189999999999</v>
      </c>
      <c r="Z773" s="19" t="s">
        <v>1991</v>
      </c>
      <c r="AI773" s="19" t="s">
        <v>2011</v>
      </c>
    </row>
    <row r="774" spans="1:35" x14ac:dyDescent="0.25">
      <c r="A774" s="9">
        <f t="shared" si="34"/>
        <v>1</v>
      </c>
      <c r="G774" s="19" t="s">
        <v>2012</v>
      </c>
      <c r="O774" s="19">
        <v>0</v>
      </c>
      <c r="S774" s="19">
        <v>11691178.360000001</v>
      </c>
      <c r="Z774" s="19" t="s">
        <v>1991</v>
      </c>
      <c r="AI774" s="19" t="s">
        <v>2013</v>
      </c>
    </row>
    <row r="775" spans="1:35" x14ac:dyDescent="0.25">
      <c r="A775" s="9">
        <f t="shared" si="34"/>
        <v>1</v>
      </c>
      <c r="G775" s="19" t="s">
        <v>2014</v>
      </c>
      <c r="O775" s="19">
        <v>62023.689999999995</v>
      </c>
      <c r="S775" s="19">
        <v>88313.7</v>
      </c>
      <c r="Z775" s="19" t="s">
        <v>1991</v>
      </c>
      <c r="AI775" s="19" t="s">
        <v>2015</v>
      </c>
    </row>
    <row r="776" spans="1:35" x14ac:dyDescent="0.25">
      <c r="A776" s="9">
        <f t="shared" si="34"/>
        <v>1</v>
      </c>
      <c r="G776" s="19" t="s">
        <v>2016</v>
      </c>
      <c r="O776" s="19">
        <v>0</v>
      </c>
      <c r="S776" s="19">
        <v>993518.15</v>
      </c>
      <c r="Z776" s="19" t="s">
        <v>1951</v>
      </c>
      <c r="AI776" s="19" t="s">
        <v>2017</v>
      </c>
    </row>
    <row r="777" spans="1:35" x14ac:dyDescent="0.25">
      <c r="A777" s="9">
        <f t="shared" si="34"/>
        <v>1</v>
      </c>
      <c r="G777" s="19" t="s">
        <v>2018</v>
      </c>
      <c r="O777" s="19">
        <v>993518.14999999991</v>
      </c>
      <c r="S777" s="19">
        <v>993518.15</v>
      </c>
      <c r="Z777" s="19" t="s">
        <v>2021</v>
      </c>
      <c r="AI777" s="19" t="s">
        <v>2019</v>
      </c>
    </row>
    <row r="778" spans="1:35" x14ac:dyDescent="0.25">
      <c r="A778" s="9">
        <f t="shared" si="34"/>
        <v>1</v>
      </c>
      <c r="G778" s="19" t="s">
        <v>2020</v>
      </c>
      <c r="O778" s="19">
        <v>0</v>
      </c>
      <c r="S778" s="19">
        <v>23792292.98</v>
      </c>
      <c r="Z778" s="19" t="s">
        <v>2021</v>
      </c>
      <c r="AI778" s="19" t="s">
        <v>2022</v>
      </c>
    </row>
    <row r="779" spans="1:35" x14ac:dyDescent="0.25">
      <c r="A779" s="9">
        <f t="shared" si="34"/>
        <v>1</v>
      </c>
      <c r="G779" s="19" t="s">
        <v>2023</v>
      </c>
      <c r="O779" s="19">
        <v>0</v>
      </c>
      <c r="S779" s="19">
        <v>90218.7</v>
      </c>
      <c r="Z779" s="19" t="s">
        <v>2021</v>
      </c>
      <c r="AI779" s="19" t="s">
        <v>2024</v>
      </c>
    </row>
    <row r="780" spans="1:35" x14ac:dyDescent="0.25">
      <c r="A780" s="9">
        <f t="shared" ref="A780:A831" si="35">IF(G780&gt;0,1,0)</f>
        <v>1</v>
      </c>
      <c r="G780" s="19" t="s">
        <v>2025</v>
      </c>
      <c r="O780" s="19">
        <v>0</v>
      </c>
      <c r="S780" s="19">
        <v>12300592.100000001</v>
      </c>
      <c r="Z780" s="19" t="s">
        <v>2021</v>
      </c>
      <c r="AI780" s="19" t="s">
        <v>2026</v>
      </c>
    </row>
    <row r="781" spans="1:35" x14ac:dyDescent="0.25">
      <c r="A781" s="9">
        <f t="shared" si="35"/>
        <v>1</v>
      </c>
      <c r="G781" s="19" t="s">
        <v>2027</v>
      </c>
      <c r="O781" s="19">
        <v>0</v>
      </c>
      <c r="S781" s="19">
        <v>10433048.32</v>
      </c>
      <c r="Z781" s="19" t="s">
        <v>2021</v>
      </c>
      <c r="AI781" s="19" t="s">
        <v>2028</v>
      </c>
    </row>
    <row r="782" spans="1:35" x14ac:dyDescent="0.25">
      <c r="A782" s="9">
        <f t="shared" si="35"/>
        <v>1</v>
      </c>
      <c r="G782" s="19" t="s">
        <v>2029</v>
      </c>
      <c r="O782" s="19">
        <v>0</v>
      </c>
      <c r="S782" s="19">
        <v>51460</v>
      </c>
      <c r="Z782" s="19" t="s">
        <v>2021</v>
      </c>
      <c r="AI782" s="19" t="s">
        <v>2030</v>
      </c>
    </row>
    <row r="783" spans="1:35" x14ac:dyDescent="0.25">
      <c r="A783" s="9">
        <f t="shared" si="35"/>
        <v>1</v>
      </c>
      <c r="G783" s="19" t="s">
        <v>2031</v>
      </c>
      <c r="O783" s="19">
        <v>145000</v>
      </c>
      <c r="S783" s="19">
        <v>145000</v>
      </c>
      <c r="Z783" s="19" t="s">
        <v>2021</v>
      </c>
      <c r="AI783" s="19" t="s">
        <v>2032</v>
      </c>
    </row>
    <row r="784" spans="1:35" x14ac:dyDescent="0.25">
      <c r="A784" s="9">
        <f t="shared" si="35"/>
        <v>1</v>
      </c>
      <c r="G784" s="19" t="s">
        <v>2033</v>
      </c>
      <c r="O784" s="19">
        <v>0</v>
      </c>
      <c r="S784" s="19">
        <v>9660.76</v>
      </c>
      <c r="Z784" s="19" t="s">
        <v>2021</v>
      </c>
      <c r="AI784" s="19" t="s">
        <v>2034</v>
      </c>
    </row>
    <row r="785" spans="1:35" x14ac:dyDescent="0.25">
      <c r="A785" s="9">
        <f t="shared" si="35"/>
        <v>1</v>
      </c>
      <c r="G785" s="19" t="s">
        <v>2035</v>
      </c>
      <c r="O785" s="19">
        <v>0</v>
      </c>
      <c r="S785" s="19">
        <v>15000</v>
      </c>
      <c r="Z785" s="19" t="s">
        <v>2021</v>
      </c>
      <c r="AI785" s="19" t="s">
        <v>2036</v>
      </c>
    </row>
    <row r="786" spans="1:35" x14ac:dyDescent="0.25">
      <c r="A786" s="9">
        <f t="shared" si="35"/>
        <v>1</v>
      </c>
      <c r="G786" s="19" t="s">
        <v>2037</v>
      </c>
      <c r="O786" s="19">
        <v>0</v>
      </c>
      <c r="S786" s="19">
        <v>1570241.08</v>
      </c>
      <c r="Z786" s="19" t="s">
        <v>2021</v>
      </c>
      <c r="AI786" s="19" t="s">
        <v>2038</v>
      </c>
    </row>
    <row r="787" spans="1:35" x14ac:dyDescent="0.25">
      <c r="A787" s="9">
        <f t="shared" si="35"/>
        <v>1</v>
      </c>
      <c r="G787" s="19" t="s">
        <v>2039</v>
      </c>
      <c r="O787" s="19">
        <v>0</v>
      </c>
      <c r="S787" s="19">
        <v>11438350.18</v>
      </c>
      <c r="Z787" s="19" t="s">
        <v>2021</v>
      </c>
      <c r="AI787" s="19" t="s">
        <v>2040</v>
      </c>
    </row>
    <row r="788" spans="1:35" x14ac:dyDescent="0.25">
      <c r="A788" s="9">
        <f t="shared" si="35"/>
        <v>1</v>
      </c>
      <c r="G788" s="19" t="s">
        <v>2041</v>
      </c>
      <c r="O788" s="19">
        <v>0</v>
      </c>
      <c r="S788" s="19">
        <v>11839650.090000002</v>
      </c>
      <c r="Z788" s="19" t="s">
        <v>2021</v>
      </c>
      <c r="AI788" s="19" t="s">
        <v>2042</v>
      </c>
    </row>
    <row r="789" spans="1:35" x14ac:dyDescent="0.25">
      <c r="A789" s="9">
        <f t="shared" si="35"/>
        <v>1</v>
      </c>
      <c r="G789" s="19" t="s">
        <v>2043</v>
      </c>
      <c r="O789" s="19">
        <v>0</v>
      </c>
      <c r="S789" s="19">
        <v>16949386.929999996</v>
      </c>
      <c r="Z789" s="19" t="s">
        <v>1867</v>
      </c>
      <c r="AI789" s="19" t="s">
        <v>2044</v>
      </c>
    </row>
    <row r="790" spans="1:35" x14ac:dyDescent="0.25">
      <c r="A790" s="9">
        <f t="shared" si="35"/>
        <v>1</v>
      </c>
      <c r="G790" s="19" t="s">
        <v>2045</v>
      </c>
      <c r="O790" s="19">
        <v>1099257.58</v>
      </c>
      <c r="S790" s="19">
        <v>1621701.08</v>
      </c>
      <c r="Z790" s="19" t="s">
        <v>2021</v>
      </c>
      <c r="AI790" s="19" t="s">
        <v>2046</v>
      </c>
    </row>
    <row r="791" spans="1:35" x14ac:dyDescent="0.25">
      <c r="A791" s="9">
        <f t="shared" si="35"/>
        <v>1</v>
      </c>
      <c r="G791" s="19" t="s">
        <v>2047</v>
      </c>
      <c r="O791" s="19">
        <v>5928654.6600000001</v>
      </c>
      <c r="S791" s="19">
        <v>11541303.359999999</v>
      </c>
      <c r="Z791" s="19" t="s">
        <v>2021</v>
      </c>
      <c r="AI791" s="19" t="s">
        <v>2048</v>
      </c>
    </row>
    <row r="792" spans="1:35" x14ac:dyDescent="0.25">
      <c r="A792" s="9">
        <f t="shared" si="35"/>
        <v>1</v>
      </c>
      <c r="G792" s="19" t="s">
        <v>2049</v>
      </c>
      <c r="O792" s="19">
        <v>10170573.82</v>
      </c>
      <c r="S792" s="19">
        <v>11329046.090000002</v>
      </c>
      <c r="Z792" s="19" t="s">
        <v>2021</v>
      </c>
      <c r="AI792" s="19" t="s">
        <v>2050</v>
      </c>
    </row>
    <row r="793" spans="1:35" x14ac:dyDescent="0.25">
      <c r="A793" s="9">
        <f t="shared" si="35"/>
        <v>1</v>
      </c>
      <c r="G793" s="19" t="s">
        <v>2051</v>
      </c>
      <c r="O793" s="19">
        <v>6901100.7599999998</v>
      </c>
      <c r="S793" s="19">
        <v>7016486.7599999998</v>
      </c>
      <c r="Z793" s="19" t="s">
        <v>2021</v>
      </c>
      <c r="AI793" s="19" t="s">
        <v>2052</v>
      </c>
    </row>
    <row r="794" spans="1:35" x14ac:dyDescent="0.25">
      <c r="A794" s="9">
        <f t="shared" si="35"/>
        <v>1</v>
      </c>
      <c r="G794" s="19" t="s">
        <v>2053</v>
      </c>
      <c r="O794" s="19">
        <v>0</v>
      </c>
      <c r="S794" s="19">
        <v>11320594.110000003</v>
      </c>
      <c r="Z794" s="19" t="s">
        <v>2054</v>
      </c>
      <c r="AI794" s="19" t="s">
        <v>2055</v>
      </c>
    </row>
    <row r="795" spans="1:35" x14ac:dyDescent="0.25">
      <c r="A795" s="9">
        <f t="shared" si="35"/>
        <v>1</v>
      </c>
      <c r="G795" s="19" t="s">
        <v>2056</v>
      </c>
      <c r="O795" s="19">
        <v>0</v>
      </c>
      <c r="S795" s="19">
        <v>19426355.909999996</v>
      </c>
      <c r="Z795" s="19" t="s">
        <v>2054</v>
      </c>
      <c r="AI795" s="19" t="s">
        <v>2057</v>
      </c>
    </row>
    <row r="796" spans="1:35" x14ac:dyDescent="0.25">
      <c r="A796" s="9">
        <f t="shared" si="35"/>
        <v>1</v>
      </c>
      <c r="G796" s="19" t="s">
        <v>2058</v>
      </c>
      <c r="O796" s="19">
        <v>0</v>
      </c>
      <c r="S796" s="19">
        <v>16902796.989999995</v>
      </c>
      <c r="Z796" s="19" t="s">
        <v>2054</v>
      </c>
      <c r="AI796" s="19" t="s">
        <v>2059</v>
      </c>
    </row>
    <row r="797" spans="1:35" x14ac:dyDescent="0.25">
      <c r="A797" s="9">
        <f t="shared" si="35"/>
        <v>1</v>
      </c>
      <c r="G797" s="19" t="s">
        <v>2060</v>
      </c>
      <c r="O797" s="19">
        <v>262666.99999999994</v>
      </c>
      <c r="S797" s="19">
        <v>262667</v>
      </c>
      <c r="Z797" s="19" t="s">
        <v>2054</v>
      </c>
      <c r="AI797" s="19" t="s">
        <v>2061</v>
      </c>
    </row>
    <row r="798" spans="1:35" x14ac:dyDescent="0.25">
      <c r="A798" s="9">
        <f t="shared" si="35"/>
        <v>1</v>
      </c>
      <c r="G798" s="19" t="s">
        <v>2062</v>
      </c>
      <c r="O798" s="19">
        <v>0</v>
      </c>
      <c r="S798" s="19">
        <v>22624072.349999987</v>
      </c>
      <c r="Z798" s="19" t="s">
        <v>2054</v>
      </c>
      <c r="AI798" s="19" t="s">
        <v>2063</v>
      </c>
    </row>
    <row r="799" spans="1:35" x14ac:dyDescent="0.25">
      <c r="A799" s="9">
        <f t="shared" si="35"/>
        <v>1</v>
      </c>
      <c r="G799" s="19" t="s">
        <v>2064</v>
      </c>
      <c r="O799" s="19">
        <v>0</v>
      </c>
      <c r="S799" s="19">
        <v>19437240.029999997</v>
      </c>
      <c r="Z799" s="19" t="s">
        <v>2054</v>
      </c>
      <c r="AI799" s="19" t="s">
        <v>2065</v>
      </c>
    </row>
    <row r="800" spans="1:35" x14ac:dyDescent="0.25">
      <c r="A800" s="9">
        <f t="shared" si="35"/>
        <v>1</v>
      </c>
      <c r="G800" s="19" t="s">
        <v>2066</v>
      </c>
      <c r="O800" s="19">
        <v>55000</v>
      </c>
      <c r="S800" s="19">
        <v>55000</v>
      </c>
      <c r="Z800" s="19" t="s">
        <v>2054</v>
      </c>
      <c r="AI800" s="19" t="s">
        <v>2067</v>
      </c>
    </row>
    <row r="801" spans="1:35" x14ac:dyDescent="0.25">
      <c r="A801" s="9">
        <f t="shared" si="35"/>
        <v>1</v>
      </c>
      <c r="G801" s="19" t="s">
        <v>2068</v>
      </c>
      <c r="O801" s="19">
        <v>0</v>
      </c>
      <c r="S801" s="19">
        <v>18748005.019999996</v>
      </c>
      <c r="Z801" s="19" t="s">
        <v>2054</v>
      </c>
      <c r="AI801" s="19" t="s">
        <v>2069</v>
      </c>
    </row>
    <row r="802" spans="1:35" x14ac:dyDescent="0.25">
      <c r="A802" s="9">
        <f t="shared" si="35"/>
        <v>1</v>
      </c>
      <c r="G802" s="19" t="s">
        <v>2070</v>
      </c>
      <c r="O802" s="19">
        <v>0</v>
      </c>
      <c r="S802" s="19">
        <v>2093921.59</v>
      </c>
      <c r="Z802" s="19" t="s">
        <v>2054</v>
      </c>
      <c r="AI802" s="19" t="s">
        <v>2071</v>
      </c>
    </row>
    <row r="803" spans="1:35" x14ac:dyDescent="0.25">
      <c r="A803" s="9">
        <f t="shared" si="35"/>
        <v>1</v>
      </c>
      <c r="G803" s="19" t="s">
        <v>2072</v>
      </c>
      <c r="O803" s="19">
        <v>0</v>
      </c>
      <c r="S803" s="19">
        <v>23161125.539999999</v>
      </c>
      <c r="Z803" s="19" t="s">
        <v>2054</v>
      </c>
      <c r="AI803" s="19" t="s">
        <v>2073</v>
      </c>
    </row>
    <row r="804" spans="1:35" x14ac:dyDescent="0.25">
      <c r="A804" s="9">
        <f t="shared" si="35"/>
        <v>1</v>
      </c>
      <c r="G804" s="19" t="s">
        <v>2074</v>
      </c>
      <c r="O804" s="19">
        <v>0</v>
      </c>
      <c r="S804" s="19">
        <v>208822.1</v>
      </c>
      <c r="Z804" s="19" t="s">
        <v>2054</v>
      </c>
      <c r="AI804" s="19" t="s">
        <v>2075</v>
      </c>
    </row>
    <row r="805" spans="1:35" x14ac:dyDescent="0.25">
      <c r="A805" s="9">
        <f t="shared" si="35"/>
        <v>1</v>
      </c>
      <c r="G805" s="19" t="s">
        <v>2076</v>
      </c>
      <c r="O805" s="19">
        <v>0</v>
      </c>
      <c r="S805" s="19">
        <v>8287559.8999999985</v>
      </c>
      <c r="Z805" s="19" t="s">
        <v>2054</v>
      </c>
      <c r="AI805" s="19" t="s">
        <v>2077</v>
      </c>
    </row>
    <row r="806" spans="1:35" x14ac:dyDescent="0.25">
      <c r="A806" s="9">
        <f t="shared" si="35"/>
        <v>1</v>
      </c>
      <c r="G806" s="19" t="s">
        <v>2078</v>
      </c>
      <c r="O806" s="19">
        <v>0</v>
      </c>
      <c r="S806" s="19">
        <v>9990007.8200000003</v>
      </c>
      <c r="Z806" s="19" t="s">
        <v>2054</v>
      </c>
      <c r="AI806" s="19" t="s">
        <v>2079</v>
      </c>
    </row>
    <row r="807" spans="1:35" x14ac:dyDescent="0.25">
      <c r="A807" s="9">
        <f t="shared" si="35"/>
        <v>1</v>
      </c>
      <c r="G807" s="19" t="s">
        <v>2080</v>
      </c>
      <c r="O807" s="19">
        <v>0</v>
      </c>
      <c r="S807" s="19">
        <v>11284253.780000001</v>
      </c>
      <c r="Z807" s="19" t="s">
        <v>2054</v>
      </c>
      <c r="AI807" s="19" t="s">
        <v>2081</v>
      </c>
    </row>
    <row r="808" spans="1:35" x14ac:dyDescent="0.25">
      <c r="A808" s="9">
        <f t="shared" si="35"/>
        <v>1</v>
      </c>
      <c r="G808" s="19" t="s">
        <v>2082</v>
      </c>
      <c r="O808" s="19">
        <v>0</v>
      </c>
      <c r="S808" s="19">
        <v>1215345</v>
      </c>
      <c r="Z808" s="19" t="s">
        <v>1867</v>
      </c>
      <c r="AI808" s="19" t="s">
        <v>2083</v>
      </c>
    </row>
    <row r="809" spans="1:35" x14ac:dyDescent="0.25">
      <c r="A809" s="9">
        <f t="shared" si="35"/>
        <v>1</v>
      </c>
      <c r="G809" s="19" t="s">
        <v>2084</v>
      </c>
      <c r="O809" s="19">
        <v>0</v>
      </c>
      <c r="S809" s="19">
        <v>742606.5</v>
      </c>
      <c r="Z809" s="19" t="s">
        <v>1867</v>
      </c>
      <c r="AI809" s="19" t="s">
        <v>2085</v>
      </c>
    </row>
    <row r="810" spans="1:35" x14ac:dyDescent="0.25">
      <c r="A810" s="9">
        <f t="shared" si="35"/>
        <v>1</v>
      </c>
      <c r="G810" s="19" t="s">
        <v>2086</v>
      </c>
      <c r="O810" s="19">
        <v>0</v>
      </c>
      <c r="S810" s="19">
        <v>0</v>
      </c>
      <c r="Z810" s="19" t="s">
        <v>2054</v>
      </c>
      <c r="AI810" s="19" t="s">
        <v>2087</v>
      </c>
    </row>
    <row r="811" spans="1:35" x14ac:dyDescent="0.25">
      <c r="A811" s="9">
        <f t="shared" si="35"/>
        <v>1</v>
      </c>
      <c r="G811" s="19" t="s">
        <v>2088</v>
      </c>
      <c r="O811" s="19">
        <v>0</v>
      </c>
      <c r="S811" s="19">
        <v>133990</v>
      </c>
      <c r="Z811" s="19" t="s">
        <v>2054</v>
      </c>
      <c r="AI811" s="19" t="s">
        <v>2089</v>
      </c>
    </row>
    <row r="812" spans="1:35" x14ac:dyDescent="0.25">
      <c r="A812" s="9">
        <f t="shared" si="35"/>
        <v>1</v>
      </c>
      <c r="G812" s="19" t="s">
        <v>2090</v>
      </c>
      <c r="O812" s="19">
        <v>0</v>
      </c>
      <c r="S812" s="19">
        <v>252170</v>
      </c>
      <c r="Z812" s="19" t="s">
        <v>2054</v>
      </c>
      <c r="AI812" s="19" t="s">
        <v>2091</v>
      </c>
    </row>
    <row r="813" spans="1:35" x14ac:dyDescent="0.25">
      <c r="A813" s="9">
        <f t="shared" si="35"/>
        <v>1</v>
      </c>
      <c r="G813" s="19" t="s">
        <v>2092</v>
      </c>
      <c r="O813" s="19">
        <v>0</v>
      </c>
      <c r="S813" s="19">
        <v>102470</v>
      </c>
      <c r="Z813" s="19" t="s">
        <v>2054</v>
      </c>
      <c r="AI813" s="19" t="s">
        <v>2093</v>
      </c>
    </row>
    <row r="814" spans="1:35" x14ac:dyDescent="0.25">
      <c r="A814" s="9">
        <f t="shared" si="35"/>
        <v>1</v>
      </c>
      <c r="G814" s="19" t="s">
        <v>2094</v>
      </c>
      <c r="O814" s="19">
        <v>0</v>
      </c>
      <c r="S814" s="19">
        <v>1018782.83</v>
      </c>
      <c r="Z814" s="19" t="s">
        <v>2054</v>
      </c>
      <c r="AI814" s="19" t="s">
        <v>2095</v>
      </c>
    </row>
    <row r="815" spans="1:35" x14ac:dyDescent="0.25">
      <c r="A815" s="9">
        <f t="shared" si="35"/>
        <v>1</v>
      </c>
      <c r="G815" s="19" t="s">
        <v>2096</v>
      </c>
      <c r="O815" s="19">
        <v>0</v>
      </c>
      <c r="S815" s="19">
        <v>378186.5</v>
      </c>
      <c r="Z815" s="19" t="s">
        <v>1867</v>
      </c>
      <c r="AI815" s="19" t="s">
        <v>2097</v>
      </c>
    </row>
    <row r="816" spans="1:35" x14ac:dyDescent="0.25">
      <c r="A816" s="9">
        <f t="shared" si="35"/>
        <v>1</v>
      </c>
      <c r="G816" s="19" t="s">
        <v>2098</v>
      </c>
      <c r="O816" s="19">
        <v>0</v>
      </c>
      <c r="S816" s="19">
        <v>19685405.149999999</v>
      </c>
      <c r="Z816" s="19" t="s">
        <v>2099</v>
      </c>
      <c r="AI816" s="19" t="s">
        <v>2100</v>
      </c>
    </row>
    <row r="817" spans="1:35" x14ac:dyDescent="0.25">
      <c r="A817" s="9">
        <f t="shared" si="35"/>
        <v>1</v>
      </c>
      <c r="G817" s="19" t="s">
        <v>2101</v>
      </c>
      <c r="O817" s="19">
        <v>0</v>
      </c>
      <c r="S817" s="19">
        <v>23547122.209999986</v>
      </c>
      <c r="Z817" s="19" t="s">
        <v>2099</v>
      </c>
      <c r="AI817" s="19" t="s">
        <v>2102</v>
      </c>
    </row>
    <row r="818" spans="1:35" x14ac:dyDescent="0.25">
      <c r="A818" s="9">
        <f t="shared" si="35"/>
        <v>1</v>
      </c>
      <c r="G818" s="19" t="s">
        <v>2103</v>
      </c>
      <c r="O818" s="19">
        <v>0</v>
      </c>
      <c r="S818" s="19">
        <v>2060983.1300000004</v>
      </c>
      <c r="Z818" s="19" t="s">
        <v>2099</v>
      </c>
      <c r="AI818" s="19" t="s">
        <v>2104</v>
      </c>
    </row>
    <row r="819" spans="1:35" x14ac:dyDescent="0.25">
      <c r="A819" s="9">
        <f t="shared" si="35"/>
        <v>1</v>
      </c>
      <c r="G819" s="19" t="s">
        <v>2107</v>
      </c>
      <c r="O819" s="19">
        <v>0</v>
      </c>
      <c r="S819" s="19">
        <v>252733.00000000003</v>
      </c>
      <c r="Z819" s="19" t="s">
        <v>2099</v>
      </c>
      <c r="AI819" s="19" t="s">
        <v>2108</v>
      </c>
    </row>
    <row r="820" spans="1:35" x14ac:dyDescent="0.25">
      <c r="A820" s="9">
        <f t="shared" si="35"/>
        <v>1</v>
      </c>
      <c r="G820" s="19" t="s">
        <v>2109</v>
      </c>
      <c r="O820" s="19">
        <v>0</v>
      </c>
      <c r="S820" s="19">
        <v>548565.89999999991</v>
      </c>
      <c r="Z820" s="19" t="s">
        <v>2099</v>
      </c>
      <c r="AI820" s="19" t="s">
        <v>2110</v>
      </c>
    </row>
    <row r="821" spans="1:35" x14ac:dyDescent="0.25">
      <c r="A821" s="9">
        <f t="shared" si="35"/>
        <v>1</v>
      </c>
      <c r="G821" s="19" t="s">
        <v>2105</v>
      </c>
      <c r="O821" s="19">
        <v>0</v>
      </c>
      <c r="S821" s="19">
        <v>5706199.7599999998</v>
      </c>
      <c r="Z821" s="19" t="s">
        <v>2115</v>
      </c>
      <c r="AI821" s="19" t="s">
        <v>2106</v>
      </c>
    </row>
    <row r="822" spans="1:35" x14ac:dyDescent="0.25">
      <c r="A822" s="9">
        <f t="shared" si="35"/>
        <v>1</v>
      </c>
      <c r="G822" s="19" t="s">
        <v>2111</v>
      </c>
      <c r="O822" s="19">
        <v>0</v>
      </c>
      <c r="S822" s="19">
        <v>107593.5</v>
      </c>
      <c r="Z822" s="19" t="s">
        <v>2099</v>
      </c>
      <c r="AI822" s="19" t="s">
        <v>2112</v>
      </c>
    </row>
    <row r="823" spans="1:35" x14ac:dyDescent="0.25">
      <c r="A823" s="9">
        <f t="shared" si="35"/>
        <v>1</v>
      </c>
      <c r="G823" s="19" t="s">
        <v>2113</v>
      </c>
      <c r="O823" s="19">
        <v>0</v>
      </c>
      <c r="S823" s="19">
        <v>1970655.5500000003</v>
      </c>
      <c r="Z823" s="19" t="s">
        <v>2099</v>
      </c>
      <c r="AI823" s="19" t="s">
        <v>2114</v>
      </c>
    </row>
    <row r="824" spans="1:35" x14ac:dyDescent="0.25">
      <c r="A824" s="9">
        <f t="shared" si="35"/>
        <v>1</v>
      </c>
      <c r="G824" s="19" t="s">
        <v>2116</v>
      </c>
      <c r="O824" s="19">
        <v>0</v>
      </c>
      <c r="S824" s="19">
        <v>5706199.7599999998</v>
      </c>
      <c r="Z824" s="19" t="s">
        <v>2115</v>
      </c>
      <c r="AI824" s="19" t="s">
        <v>2117</v>
      </c>
    </row>
    <row r="825" spans="1:35" x14ac:dyDescent="0.25">
      <c r="A825" s="9">
        <f t="shared" si="35"/>
        <v>1</v>
      </c>
      <c r="G825" s="19" t="s">
        <v>2118</v>
      </c>
      <c r="O825" s="19">
        <v>0</v>
      </c>
      <c r="S825" s="19">
        <v>23105175.639999993</v>
      </c>
      <c r="Z825" s="19" t="s">
        <v>2099</v>
      </c>
      <c r="AI825" s="19" t="s">
        <v>2119</v>
      </c>
    </row>
    <row r="826" spans="1:35" x14ac:dyDescent="0.25">
      <c r="A826" s="9">
        <f t="shared" si="35"/>
        <v>1</v>
      </c>
      <c r="G826" s="19" t="s">
        <v>2120</v>
      </c>
      <c r="O826" s="19">
        <v>0</v>
      </c>
      <c r="S826" s="19">
        <v>19685434.52</v>
      </c>
      <c r="Z826" s="19" t="s">
        <v>2099</v>
      </c>
      <c r="AI826" s="19" t="s">
        <v>2121</v>
      </c>
    </row>
    <row r="827" spans="1:35" x14ac:dyDescent="0.25">
      <c r="A827" s="9">
        <f t="shared" si="35"/>
        <v>1</v>
      </c>
      <c r="G827" s="19" t="s">
        <v>2122</v>
      </c>
      <c r="O827" s="19">
        <v>0</v>
      </c>
      <c r="S827" s="19">
        <v>102470</v>
      </c>
      <c r="Z827" s="19" t="s">
        <v>2054</v>
      </c>
      <c r="AI827" s="19" t="s">
        <v>2123</v>
      </c>
    </row>
    <row r="828" spans="1:35" x14ac:dyDescent="0.25">
      <c r="A828" s="9">
        <f t="shared" si="35"/>
        <v>1</v>
      </c>
      <c r="G828" s="19" t="s">
        <v>2124</v>
      </c>
      <c r="O828" s="19">
        <v>0</v>
      </c>
      <c r="S828" s="19">
        <v>7820052.2699999996</v>
      </c>
      <c r="Z828" s="19" t="s">
        <v>2099</v>
      </c>
      <c r="AI828" s="19" t="s">
        <v>2125</v>
      </c>
    </row>
    <row r="829" spans="1:35" x14ac:dyDescent="0.25">
      <c r="A829" s="9">
        <f t="shared" si="35"/>
        <v>1</v>
      </c>
      <c r="G829" s="19" t="s">
        <v>2126</v>
      </c>
      <c r="O829" s="19">
        <v>0</v>
      </c>
      <c r="S829" s="19">
        <v>867536.49999999988</v>
      </c>
      <c r="Z829" s="19" t="s">
        <v>2099</v>
      </c>
      <c r="AI829" s="19" t="s">
        <v>2127</v>
      </c>
    </row>
    <row r="830" spans="1:35" x14ac:dyDescent="0.25">
      <c r="A830" s="9">
        <f t="shared" si="35"/>
        <v>1</v>
      </c>
      <c r="G830" s="19" t="s">
        <v>2128</v>
      </c>
      <c r="O830" s="19">
        <v>0</v>
      </c>
      <c r="S830" s="19">
        <v>25808765.800000012</v>
      </c>
      <c r="Z830" s="19" t="s">
        <v>2115</v>
      </c>
      <c r="AI830" s="19" t="s">
        <v>2129</v>
      </c>
    </row>
    <row r="831" spans="1:35" x14ac:dyDescent="0.25">
      <c r="A831" s="9">
        <f t="shared" si="35"/>
        <v>1</v>
      </c>
      <c r="G831" s="19" t="s">
        <v>2132</v>
      </c>
      <c r="O831" s="19">
        <v>0</v>
      </c>
      <c r="S831" s="19">
        <v>25234920.059999991</v>
      </c>
      <c r="Z831" s="19" t="s">
        <v>2099</v>
      </c>
      <c r="AI831" s="19" t="s">
        <v>2133</v>
      </c>
    </row>
    <row r="832" spans="1:35" x14ac:dyDescent="0.25">
      <c r="A832" s="9">
        <f>IF(G833&gt;0,1,0)</f>
        <v>1</v>
      </c>
      <c r="G832" s="19" t="s">
        <v>2130</v>
      </c>
      <c r="O832" s="19">
        <v>0</v>
      </c>
      <c r="S832" s="19">
        <v>5668341.4900000002</v>
      </c>
      <c r="Z832" s="19" t="s">
        <v>2115</v>
      </c>
      <c r="AI832" s="19" t="s">
        <v>2131</v>
      </c>
    </row>
    <row r="833" spans="1:35" x14ac:dyDescent="0.25">
      <c r="A833" s="9">
        <f>IF(G832&gt;0,1,0)</f>
        <v>1</v>
      </c>
      <c r="G833" s="19" t="s">
        <v>2134</v>
      </c>
      <c r="O833" s="19">
        <v>0</v>
      </c>
      <c r="S833" s="19">
        <v>25531101.089999959</v>
      </c>
      <c r="Z833" s="19" t="s">
        <v>2115</v>
      </c>
      <c r="AI833" s="19" t="s">
        <v>2135</v>
      </c>
    </row>
    <row r="834" spans="1:35" x14ac:dyDescent="0.25">
      <c r="A834" s="9">
        <f t="shared" ref="A834:A843" si="36">IF(G834&gt;0,1,0)</f>
        <v>1</v>
      </c>
      <c r="G834" s="19" t="s">
        <v>2136</v>
      </c>
      <c r="O834" s="19">
        <v>5517636.0987999998</v>
      </c>
      <c r="S834" s="19">
        <v>5752179.8177999994</v>
      </c>
      <c r="Z834" s="19" t="s">
        <v>2138</v>
      </c>
      <c r="AI834" s="19" t="s">
        <v>2137</v>
      </c>
    </row>
    <row r="835" spans="1:35" x14ac:dyDescent="0.25">
      <c r="A835" s="9">
        <f t="shared" si="36"/>
        <v>1</v>
      </c>
      <c r="G835" s="19" t="s">
        <v>2139</v>
      </c>
      <c r="O835" s="19">
        <v>102470</v>
      </c>
      <c r="S835" s="19">
        <v>102470</v>
      </c>
      <c r="Z835" s="19" t="s">
        <v>2140</v>
      </c>
      <c r="AI835" s="19" t="s">
        <v>2141</v>
      </c>
    </row>
    <row r="836" spans="1:35" x14ac:dyDescent="0.25">
      <c r="A836" s="9">
        <f t="shared" si="36"/>
        <v>1</v>
      </c>
      <c r="G836" s="19" t="s">
        <v>2142</v>
      </c>
      <c r="O836" s="19">
        <v>204314.97744954872</v>
      </c>
      <c r="S836" s="19">
        <v>548565.67999999993</v>
      </c>
      <c r="Z836" s="19" t="s">
        <v>2143</v>
      </c>
      <c r="AI836" s="19" t="s">
        <v>2144</v>
      </c>
    </row>
    <row r="837" spans="1:35" x14ac:dyDescent="0.25">
      <c r="A837" s="9">
        <f t="shared" si="36"/>
        <v>1</v>
      </c>
      <c r="G837" s="19" t="s">
        <v>2146</v>
      </c>
      <c r="O837" s="19">
        <v>598349.21905536368</v>
      </c>
      <c r="S837" s="19">
        <v>2313722.2000000007</v>
      </c>
      <c r="Z837" s="19" t="s">
        <v>2145</v>
      </c>
      <c r="AI837" s="19" t="s">
        <v>2147</v>
      </c>
    </row>
    <row r="838" spans="1:35" x14ac:dyDescent="0.25">
      <c r="A838" s="9">
        <f t="shared" si="36"/>
        <v>1</v>
      </c>
      <c r="G838" s="19" t="s">
        <v>2148</v>
      </c>
      <c r="O838" s="19">
        <v>429413.2</v>
      </c>
      <c r="S838" s="19">
        <v>429413.20000000007</v>
      </c>
      <c r="Z838" s="19" t="s">
        <v>2140</v>
      </c>
      <c r="AI838" s="19" t="s">
        <v>2149</v>
      </c>
    </row>
    <row r="839" spans="1:35" x14ac:dyDescent="0.25">
      <c r="A839" s="9">
        <f t="shared" si="36"/>
        <v>1</v>
      </c>
      <c r="G839" s="19" t="s">
        <v>2150</v>
      </c>
      <c r="O839" s="19">
        <v>464827.51000000007</v>
      </c>
      <c r="S839" s="19">
        <v>464827.51</v>
      </c>
      <c r="Z839" s="19" t="s">
        <v>2140</v>
      </c>
      <c r="AI839" s="19" t="s">
        <v>2151</v>
      </c>
    </row>
    <row r="840" spans="1:35" x14ac:dyDescent="0.25">
      <c r="A840" s="9">
        <f t="shared" si="36"/>
        <v>1</v>
      </c>
      <c r="G840" s="19" t="s">
        <v>2152</v>
      </c>
      <c r="O840" s="19">
        <v>20681646.379999992</v>
      </c>
      <c r="S840" s="19">
        <v>25319333.800000012</v>
      </c>
      <c r="Z840" s="19" t="s">
        <v>2115</v>
      </c>
      <c r="AI840" s="19" t="s">
        <v>2153</v>
      </c>
    </row>
    <row r="841" spans="1:35" x14ac:dyDescent="0.25">
      <c r="A841" s="9">
        <f t="shared" si="36"/>
        <v>1</v>
      </c>
      <c r="G841" s="19" t="s">
        <v>2154</v>
      </c>
      <c r="O841" s="19">
        <v>0</v>
      </c>
      <c r="S841" s="19">
        <v>782580.94</v>
      </c>
      <c r="Z841" s="19" t="s">
        <v>2140</v>
      </c>
      <c r="AI841" s="19" t="s">
        <v>2155</v>
      </c>
    </row>
    <row r="842" spans="1:35" x14ac:dyDescent="0.25">
      <c r="A842" s="9">
        <f t="shared" si="36"/>
        <v>1</v>
      </c>
      <c r="G842" s="19" t="s">
        <v>2156</v>
      </c>
      <c r="O842" s="19">
        <v>0</v>
      </c>
      <c r="S842" s="19">
        <v>134129.89000000001</v>
      </c>
      <c r="Z842" s="19" t="s">
        <v>2140</v>
      </c>
      <c r="AI842" s="19" t="s">
        <v>2157</v>
      </c>
    </row>
    <row r="843" spans="1:35" x14ac:dyDescent="0.25">
      <c r="A843" s="9">
        <f t="shared" si="36"/>
        <v>1</v>
      </c>
      <c r="G843" s="19" t="s">
        <v>2158</v>
      </c>
      <c r="O843" s="19">
        <v>0</v>
      </c>
      <c r="S843" s="19">
        <v>8177614.7499999991</v>
      </c>
      <c r="Z843" s="19" t="s">
        <v>2140</v>
      </c>
      <c r="AI843" s="19" t="s">
        <v>2159</v>
      </c>
    </row>
    <row r="844" spans="1:35" x14ac:dyDescent="0.25">
      <c r="A844" s="9">
        <f t="shared" ref="A844:A907" si="37">IF(G844&gt;0,1,0)</f>
        <v>1</v>
      </c>
      <c r="G844" s="19" t="s">
        <v>2160</v>
      </c>
      <c r="O844" s="19">
        <v>15841334.100000003</v>
      </c>
      <c r="S844" s="19">
        <v>16942384.099999994</v>
      </c>
      <c r="Z844" s="19" t="s">
        <v>2099</v>
      </c>
      <c r="AI844" s="19" t="s">
        <v>2161</v>
      </c>
    </row>
    <row r="845" spans="1:35" x14ac:dyDescent="0.25">
      <c r="A845" s="9">
        <f t="shared" si="37"/>
        <v>1</v>
      </c>
      <c r="G845" s="19" t="s">
        <v>2162</v>
      </c>
      <c r="O845" s="19">
        <v>0</v>
      </c>
      <c r="S845" s="19">
        <v>79391.25</v>
      </c>
      <c r="Z845" s="19" t="s">
        <v>2140</v>
      </c>
      <c r="AI845" s="19" t="s">
        <v>2163</v>
      </c>
    </row>
    <row r="846" spans="1:35" x14ac:dyDescent="0.25">
      <c r="A846" s="9">
        <f t="shared" si="37"/>
        <v>1</v>
      </c>
      <c r="G846" s="19" t="s">
        <v>2164</v>
      </c>
      <c r="O846" s="19">
        <v>10639703.139999997</v>
      </c>
      <c r="S846" s="19">
        <v>24705451.059999995</v>
      </c>
      <c r="Z846" s="19" t="s">
        <v>2166</v>
      </c>
      <c r="AI846" s="19" t="s">
        <v>2165</v>
      </c>
    </row>
    <row r="847" spans="1:35" x14ac:dyDescent="0.25">
      <c r="A847" s="9">
        <f t="shared" si="37"/>
        <v>1</v>
      </c>
      <c r="G847" s="19" t="s">
        <v>2167</v>
      </c>
      <c r="O847" s="19">
        <v>0</v>
      </c>
      <c r="S847" s="19">
        <v>169129.68999999997</v>
      </c>
      <c r="Z847" s="19" t="s">
        <v>2166</v>
      </c>
      <c r="AI847" s="19" t="s">
        <v>2168</v>
      </c>
    </row>
    <row r="848" spans="1:35" x14ac:dyDescent="0.25">
      <c r="A848" s="9">
        <f t="shared" si="37"/>
        <v>1</v>
      </c>
      <c r="G848" s="19" t="s">
        <v>2169</v>
      </c>
      <c r="O848" s="19">
        <v>0</v>
      </c>
      <c r="S848" s="19">
        <v>16223763.580000002</v>
      </c>
      <c r="Z848" s="19" t="s">
        <v>2166</v>
      </c>
      <c r="AI848" s="19" t="s">
        <v>2170</v>
      </c>
    </row>
    <row r="849" spans="1:35" x14ac:dyDescent="0.25">
      <c r="A849" s="9">
        <f t="shared" si="37"/>
        <v>1</v>
      </c>
      <c r="G849" s="19" t="s">
        <v>2171</v>
      </c>
      <c r="O849" s="19">
        <v>0</v>
      </c>
      <c r="S849" s="19">
        <v>22478361.439999998</v>
      </c>
      <c r="Z849" s="19" t="s">
        <v>2166</v>
      </c>
      <c r="AI849" s="19" t="s">
        <v>2172</v>
      </c>
    </row>
    <row r="850" spans="1:35" x14ac:dyDescent="0.25">
      <c r="A850" s="9">
        <f t="shared" si="37"/>
        <v>1</v>
      </c>
      <c r="G850" s="19" t="s">
        <v>2173</v>
      </c>
      <c r="O850" s="19">
        <v>0</v>
      </c>
      <c r="S850" s="19">
        <v>42783.849999999977</v>
      </c>
      <c r="Z850" s="19" t="s">
        <v>2166</v>
      </c>
      <c r="AI850" s="19" t="s">
        <v>2174</v>
      </c>
    </row>
    <row r="851" spans="1:35" x14ac:dyDescent="0.25">
      <c r="A851" s="9">
        <f t="shared" si="37"/>
        <v>1</v>
      </c>
      <c r="G851" s="19" t="s">
        <v>2175</v>
      </c>
      <c r="O851" s="19">
        <v>0</v>
      </c>
      <c r="S851" s="19">
        <v>5517542.799999998</v>
      </c>
      <c r="Z851" s="19" t="s">
        <v>2166</v>
      </c>
      <c r="AI851" s="19" t="s">
        <v>2176</v>
      </c>
    </row>
    <row r="852" spans="1:35" x14ac:dyDescent="0.25">
      <c r="A852" s="9">
        <f t="shared" si="37"/>
        <v>1</v>
      </c>
      <c r="G852" s="19" t="s">
        <v>2177</v>
      </c>
      <c r="O852" s="19">
        <v>0</v>
      </c>
      <c r="S852" s="19">
        <v>22064238.969999999</v>
      </c>
      <c r="Z852" s="19" t="s">
        <v>2166</v>
      </c>
      <c r="AI852" s="19" t="s">
        <v>2178</v>
      </c>
    </row>
    <row r="853" spans="1:35" x14ac:dyDescent="0.25">
      <c r="A853" s="9">
        <f t="shared" si="37"/>
        <v>0</v>
      </c>
    </row>
    <row r="854" spans="1:35" x14ac:dyDescent="0.25">
      <c r="A854" s="9">
        <f t="shared" si="37"/>
        <v>0</v>
      </c>
    </row>
    <row r="855" spans="1:35" x14ac:dyDescent="0.25">
      <c r="A855" s="9">
        <f t="shared" si="37"/>
        <v>0</v>
      </c>
    </row>
    <row r="856" spans="1:35" x14ac:dyDescent="0.25">
      <c r="A856" s="9">
        <f t="shared" si="37"/>
        <v>0</v>
      </c>
    </row>
    <row r="857" spans="1:35" x14ac:dyDescent="0.25">
      <c r="A857" s="9">
        <f t="shared" si="37"/>
        <v>0</v>
      </c>
    </row>
    <row r="858" spans="1:35" x14ac:dyDescent="0.25">
      <c r="A858" s="9">
        <f t="shared" si="37"/>
        <v>0</v>
      </c>
    </row>
    <row r="859" spans="1:35" x14ac:dyDescent="0.25">
      <c r="A859" s="9">
        <f t="shared" si="37"/>
        <v>0</v>
      </c>
    </row>
    <row r="860" spans="1:35" x14ac:dyDescent="0.25">
      <c r="A860" s="9">
        <f t="shared" si="37"/>
        <v>0</v>
      </c>
    </row>
    <row r="861" spans="1:35" x14ac:dyDescent="0.25">
      <c r="A861" s="9">
        <f t="shared" si="37"/>
        <v>0</v>
      </c>
    </row>
    <row r="862" spans="1:35" x14ac:dyDescent="0.25">
      <c r="A862" s="9">
        <f t="shared" si="37"/>
        <v>0</v>
      </c>
    </row>
    <row r="863" spans="1:35" x14ac:dyDescent="0.25">
      <c r="A863" s="9">
        <f t="shared" si="37"/>
        <v>0</v>
      </c>
    </row>
    <row r="864" spans="1:35" x14ac:dyDescent="0.25">
      <c r="A864" s="9">
        <f t="shared" si="37"/>
        <v>0</v>
      </c>
    </row>
    <row r="865" spans="1:1" x14ac:dyDescent="0.25">
      <c r="A865" s="9">
        <f t="shared" si="37"/>
        <v>0</v>
      </c>
    </row>
    <row r="866" spans="1:1" x14ac:dyDescent="0.25">
      <c r="A866" s="9">
        <f t="shared" si="37"/>
        <v>0</v>
      </c>
    </row>
    <row r="867" spans="1:1" x14ac:dyDescent="0.25">
      <c r="A867" s="9">
        <f t="shared" si="37"/>
        <v>0</v>
      </c>
    </row>
    <row r="868" spans="1:1" x14ac:dyDescent="0.25">
      <c r="A868" s="9">
        <f t="shared" si="37"/>
        <v>0</v>
      </c>
    </row>
    <row r="869" spans="1:1" x14ac:dyDescent="0.25">
      <c r="A869" s="9">
        <f t="shared" si="37"/>
        <v>0</v>
      </c>
    </row>
    <row r="870" spans="1:1" x14ac:dyDescent="0.25">
      <c r="A870" s="9">
        <f t="shared" si="37"/>
        <v>0</v>
      </c>
    </row>
    <row r="871" spans="1:1" x14ac:dyDescent="0.25">
      <c r="A871" s="9">
        <f t="shared" si="37"/>
        <v>0</v>
      </c>
    </row>
    <row r="872" spans="1:1" x14ac:dyDescent="0.25">
      <c r="A872" s="9">
        <f t="shared" si="37"/>
        <v>0</v>
      </c>
    </row>
    <row r="873" spans="1:1" x14ac:dyDescent="0.25">
      <c r="A873" s="9">
        <f t="shared" si="37"/>
        <v>0</v>
      </c>
    </row>
    <row r="874" spans="1:1" x14ac:dyDescent="0.25">
      <c r="A874" s="9">
        <f t="shared" si="37"/>
        <v>0</v>
      </c>
    </row>
    <row r="875" spans="1:1" x14ac:dyDescent="0.25">
      <c r="A875" s="9">
        <f t="shared" si="37"/>
        <v>0</v>
      </c>
    </row>
    <row r="876" spans="1:1" x14ac:dyDescent="0.25">
      <c r="A876" s="9">
        <f t="shared" si="37"/>
        <v>0</v>
      </c>
    </row>
    <row r="877" spans="1:1" x14ac:dyDescent="0.25">
      <c r="A877" s="9">
        <f t="shared" si="37"/>
        <v>0</v>
      </c>
    </row>
    <row r="878" spans="1:1" x14ac:dyDescent="0.25">
      <c r="A878" s="9">
        <f t="shared" si="37"/>
        <v>0</v>
      </c>
    </row>
    <row r="879" spans="1:1" x14ac:dyDescent="0.25">
      <c r="A879" s="9">
        <f t="shared" si="37"/>
        <v>0</v>
      </c>
    </row>
    <row r="880" spans="1:1" x14ac:dyDescent="0.25">
      <c r="A880" s="9">
        <f t="shared" si="37"/>
        <v>0</v>
      </c>
    </row>
    <row r="881" spans="1:1" x14ac:dyDescent="0.25">
      <c r="A881" s="9">
        <f t="shared" si="37"/>
        <v>0</v>
      </c>
    </row>
    <row r="882" spans="1:1" x14ac:dyDescent="0.25">
      <c r="A882" s="9">
        <f t="shared" si="37"/>
        <v>0</v>
      </c>
    </row>
    <row r="883" spans="1:1" x14ac:dyDescent="0.25">
      <c r="A883" s="9">
        <f t="shared" si="37"/>
        <v>0</v>
      </c>
    </row>
    <row r="884" spans="1:1" x14ac:dyDescent="0.25">
      <c r="A884" s="9">
        <f t="shared" si="37"/>
        <v>0</v>
      </c>
    </row>
    <row r="885" spans="1:1" x14ac:dyDescent="0.25">
      <c r="A885" s="9">
        <f t="shared" si="37"/>
        <v>0</v>
      </c>
    </row>
    <row r="886" spans="1:1" x14ac:dyDescent="0.25">
      <c r="A886" s="9">
        <f t="shared" si="37"/>
        <v>0</v>
      </c>
    </row>
    <row r="887" spans="1:1" x14ac:dyDescent="0.25">
      <c r="A887" s="9">
        <f t="shared" si="37"/>
        <v>0</v>
      </c>
    </row>
    <row r="888" spans="1:1" x14ac:dyDescent="0.25">
      <c r="A888" s="9">
        <f t="shared" si="37"/>
        <v>0</v>
      </c>
    </row>
    <row r="889" spans="1:1" x14ac:dyDescent="0.25">
      <c r="A889" s="9">
        <f t="shared" si="37"/>
        <v>0</v>
      </c>
    </row>
    <row r="890" spans="1:1" x14ac:dyDescent="0.25">
      <c r="A890" s="9">
        <f t="shared" si="37"/>
        <v>0</v>
      </c>
    </row>
    <row r="891" spans="1:1" x14ac:dyDescent="0.25">
      <c r="A891" s="9">
        <f t="shared" si="37"/>
        <v>0</v>
      </c>
    </row>
    <row r="892" spans="1:1" x14ac:dyDescent="0.25">
      <c r="A892" s="9">
        <f t="shared" si="37"/>
        <v>0</v>
      </c>
    </row>
    <row r="893" spans="1:1" x14ac:dyDescent="0.25">
      <c r="A893" s="9">
        <f t="shared" si="37"/>
        <v>0</v>
      </c>
    </row>
    <row r="894" spans="1:1" x14ac:dyDescent="0.25">
      <c r="A894" s="9">
        <f t="shared" si="37"/>
        <v>0</v>
      </c>
    </row>
    <row r="895" spans="1:1" x14ac:dyDescent="0.25">
      <c r="A895" s="9">
        <f t="shared" si="37"/>
        <v>0</v>
      </c>
    </row>
    <row r="896" spans="1:1" x14ac:dyDescent="0.25">
      <c r="A896" s="9">
        <f t="shared" si="37"/>
        <v>0</v>
      </c>
    </row>
    <row r="897" spans="1:1" x14ac:dyDescent="0.25">
      <c r="A897" s="9">
        <f t="shared" si="37"/>
        <v>0</v>
      </c>
    </row>
    <row r="898" spans="1:1" x14ac:dyDescent="0.25">
      <c r="A898" s="9">
        <f t="shared" si="37"/>
        <v>0</v>
      </c>
    </row>
    <row r="899" spans="1:1" x14ac:dyDescent="0.25">
      <c r="A899" s="9">
        <f t="shared" si="37"/>
        <v>0</v>
      </c>
    </row>
    <row r="900" spans="1:1" x14ac:dyDescent="0.25">
      <c r="A900" s="9">
        <f t="shared" si="37"/>
        <v>0</v>
      </c>
    </row>
    <row r="901" spans="1:1" x14ac:dyDescent="0.25">
      <c r="A901" s="9">
        <f t="shared" si="37"/>
        <v>0</v>
      </c>
    </row>
    <row r="902" spans="1:1" x14ac:dyDescent="0.25">
      <c r="A902" s="9">
        <f t="shared" si="37"/>
        <v>0</v>
      </c>
    </row>
    <row r="903" spans="1:1" x14ac:dyDescent="0.25">
      <c r="A903" s="9">
        <f t="shared" si="37"/>
        <v>0</v>
      </c>
    </row>
    <row r="904" spans="1:1" x14ac:dyDescent="0.25">
      <c r="A904" s="9">
        <f t="shared" si="37"/>
        <v>0</v>
      </c>
    </row>
    <row r="905" spans="1:1" x14ac:dyDescent="0.25">
      <c r="A905" s="9">
        <f t="shared" si="37"/>
        <v>0</v>
      </c>
    </row>
    <row r="906" spans="1:1" x14ac:dyDescent="0.25">
      <c r="A906" s="9">
        <f t="shared" si="37"/>
        <v>0</v>
      </c>
    </row>
    <row r="907" spans="1:1" x14ac:dyDescent="0.25">
      <c r="A907" s="9">
        <f t="shared" si="37"/>
        <v>0</v>
      </c>
    </row>
    <row r="908" spans="1:1" x14ac:dyDescent="0.25">
      <c r="A908" s="9">
        <f t="shared" ref="A908:A971" si="38">IF(G908&gt;0,1,0)</f>
        <v>0</v>
      </c>
    </row>
    <row r="909" spans="1:1" x14ac:dyDescent="0.25">
      <c r="A909" s="9">
        <f t="shared" si="38"/>
        <v>0</v>
      </c>
    </row>
    <row r="910" spans="1:1" x14ac:dyDescent="0.25">
      <c r="A910" s="9">
        <f t="shared" si="38"/>
        <v>0</v>
      </c>
    </row>
    <row r="911" spans="1:1" x14ac:dyDescent="0.25">
      <c r="A911" s="9">
        <f t="shared" si="38"/>
        <v>0</v>
      </c>
    </row>
    <row r="912" spans="1:1" x14ac:dyDescent="0.25">
      <c r="A912" s="9">
        <f t="shared" si="38"/>
        <v>0</v>
      </c>
    </row>
    <row r="913" spans="1:1" x14ac:dyDescent="0.25">
      <c r="A913" s="9">
        <f t="shared" si="38"/>
        <v>0</v>
      </c>
    </row>
    <row r="914" spans="1:1" x14ac:dyDescent="0.25">
      <c r="A914" s="9">
        <f t="shared" si="38"/>
        <v>0</v>
      </c>
    </row>
    <row r="915" spans="1:1" x14ac:dyDescent="0.25">
      <c r="A915" s="9">
        <f t="shared" si="38"/>
        <v>0</v>
      </c>
    </row>
    <row r="916" spans="1:1" x14ac:dyDescent="0.25">
      <c r="A916" s="9">
        <f t="shared" si="38"/>
        <v>0</v>
      </c>
    </row>
    <row r="917" spans="1:1" x14ac:dyDescent="0.25">
      <c r="A917" s="9">
        <f t="shared" si="38"/>
        <v>0</v>
      </c>
    </row>
    <row r="918" spans="1:1" x14ac:dyDescent="0.25">
      <c r="A918" s="9">
        <f t="shared" si="38"/>
        <v>0</v>
      </c>
    </row>
    <row r="919" spans="1:1" x14ac:dyDescent="0.25">
      <c r="A919" s="9">
        <f t="shared" si="38"/>
        <v>0</v>
      </c>
    </row>
    <row r="920" spans="1:1" x14ac:dyDescent="0.25">
      <c r="A920" s="9">
        <f t="shared" si="38"/>
        <v>0</v>
      </c>
    </row>
    <row r="921" spans="1:1" x14ac:dyDescent="0.25">
      <c r="A921" s="9">
        <f t="shared" si="38"/>
        <v>0</v>
      </c>
    </row>
    <row r="922" spans="1:1" x14ac:dyDescent="0.25">
      <c r="A922" s="9">
        <f t="shared" si="38"/>
        <v>0</v>
      </c>
    </row>
    <row r="923" spans="1:1" x14ac:dyDescent="0.25">
      <c r="A923" s="9">
        <f t="shared" si="38"/>
        <v>0</v>
      </c>
    </row>
    <row r="924" spans="1:1" x14ac:dyDescent="0.25">
      <c r="A924" s="9">
        <f t="shared" si="38"/>
        <v>0</v>
      </c>
    </row>
    <row r="925" spans="1:1" x14ac:dyDescent="0.25">
      <c r="A925" s="9">
        <f t="shared" si="38"/>
        <v>0</v>
      </c>
    </row>
    <row r="926" spans="1:1" x14ac:dyDescent="0.25">
      <c r="A926" s="9">
        <f t="shared" si="38"/>
        <v>0</v>
      </c>
    </row>
    <row r="927" spans="1:1" x14ac:dyDescent="0.25">
      <c r="A927" s="9">
        <f t="shared" si="38"/>
        <v>0</v>
      </c>
    </row>
    <row r="928" spans="1:1" x14ac:dyDescent="0.25">
      <c r="A928" s="9">
        <f t="shared" si="38"/>
        <v>0</v>
      </c>
    </row>
    <row r="929" spans="1:1" x14ac:dyDescent="0.25">
      <c r="A929" s="9">
        <f t="shared" si="38"/>
        <v>0</v>
      </c>
    </row>
    <row r="930" spans="1:1" x14ac:dyDescent="0.25">
      <c r="A930" s="9">
        <f t="shared" si="38"/>
        <v>0</v>
      </c>
    </row>
    <row r="931" spans="1:1" x14ac:dyDescent="0.25">
      <c r="A931" s="9">
        <f t="shared" si="38"/>
        <v>0</v>
      </c>
    </row>
    <row r="932" spans="1:1" x14ac:dyDescent="0.25">
      <c r="A932" s="9">
        <f t="shared" si="38"/>
        <v>0</v>
      </c>
    </row>
    <row r="933" spans="1:1" x14ac:dyDescent="0.25">
      <c r="A933" s="9">
        <f t="shared" si="38"/>
        <v>0</v>
      </c>
    </row>
    <row r="934" spans="1:1" x14ac:dyDescent="0.25">
      <c r="A934" s="9">
        <f t="shared" si="38"/>
        <v>0</v>
      </c>
    </row>
    <row r="935" spans="1:1" x14ac:dyDescent="0.25">
      <c r="A935" s="9">
        <f t="shared" si="38"/>
        <v>0</v>
      </c>
    </row>
    <row r="936" spans="1:1" x14ac:dyDescent="0.25">
      <c r="A936" s="9">
        <f t="shared" si="38"/>
        <v>0</v>
      </c>
    </row>
    <row r="937" spans="1:1" x14ac:dyDescent="0.25">
      <c r="A937" s="9">
        <f t="shared" si="38"/>
        <v>0</v>
      </c>
    </row>
    <row r="938" spans="1:1" x14ac:dyDescent="0.25">
      <c r="A938" s="9">
        <f t="shared" si="38"/>
        <v>0</v>
      </c>
    </row>
    <row r="939" spans="1:1" x14ac:dyDescent="0.25">
      <c r="A939" s="9">
        <f t="shared" si="38"/>
        <v>0</v>
      </c>
    </row>
    <row r="940" spans="1:1" x14ac:dyDescent="0.25">
      <c r="A940" s="9">
        <f t="shared" si="38"/>
        <v>0</v>
      </c>
    </row>
    <row r="941" spans="1:1" x14ac:dyDescent="0.25">
      <c r="A941" s="9">
        <f t="shared" si="38"/>
        <v>0</v>
      </c>
    </row>
    <row r="942" spans="1:1" x14ac:dyDescent="0.25">
      <c r="A942" s="9">
        <f t="shared" si="38"/>
        <v>0</v>
      </c>
    </row>
    <row r="943" spans="1:1" x14ac:dyDescent="0.25">
      <c r="A943" s="9">
        <f t="shared" si="38"/>
        <v>0</v>
      </c>
    </row>
    <row r="944" spans="1:1" x14ac:dyDescent="0.25">
      <c r="A944" s="9">
        <f t="shared" si="38"/>
        <v>0</v>
      </c>
    </row>
    <row r="945" spans="1:1" x14ac:dyDescent="0.25">
      <c r="A945" s="9">
        <f t="shared" si="38"/>
        <v>0</v>
      </c>
    </row>
    <row r="946" spans="1:1" x14ac:dyDescent="0.25">
      <c r="A946" s="9">
        <f t="shared" si="38"/>
        <v>0</v>
      </c>
    </row>
    <row r="947" spans="1:1" x14ac:dyDescent="0.25">
      <c r="A947" s="9">
        <f t="shared" si="38"/>
        <v>0</v>
      </c>
    </row>
    <row r="948" spans="1:1" x14ac:dyDescent="0.25">
      <c r="A948" s="9">
        <f t="shared" si="38"/>
        <v>0</v>
      </c>
    </row>
    <row r="949" spans="1:1" x14ac:dyDescent="0.25">
      <c r="A949" s="9">
        <f t="shared" si="38"/>
        <v>0</v>
      </c>
    </row>
    <row r="950" spans="1:1" x14ac:dyDescent="0.25">
      <c r="A950" s="9">
        <f t="shared" si="38"/>
        <v>0</v>
      </c>
    </row>
    <row r="951" spans="1:1" x14ac:dyDescent="0.25">
      <c r="A951" s="9">
        <f t="shared" si="38"/>
        <v>0</v>
      </c>
    </row>
    <row r="952" spans="1:1" x14ac:dyDescent="0.25">
      <c r="A952" s="9">
        <f t="shared" si="38"/>
        <v>0</v>
      </c>
    </row>
    <row r="953" spans="1:1" x14ac:dyDescent="0.25">
      <c r="A953" s="9">
        <f t="shared" si="38"/>
        <v>0</v>
      </c>
    </row>
    <row r="954" spans="1:1" x14ac:dyDescent="0.25">
      <c r="A954" s="9">
        <f t="shared" si="38"/>
        <v>0</v>
      </c>
    </row>
    <row r="955" spans="1:1" x14ac:dyDescent="0.25">
      <c r="A955" s="9">
        <f t="shared" si="38"/>
        <v>0</v>
      </c>
    </row>
    <row r="956" spans="1:1" x14ac:dyDescent="0.25">
      <c r="A956" s="9">
        <f t="shared" si="38"/>
        <v>0</v>
      </c>
    </row>
    <row r="957" spans="1:1" x14ac:dyDescent="0.25">
      <c r="A957" s="9">
        <f t="shared" si="38"/>
        <v>0</v>
      </c>
    </row>
    <row r="958" spans="1:1" x14ac:dyDescent="0.25">
      <c r="A958" s="9">
        <f t="shared" si="38"/>
        <v>0</v>
      </c>
    </row>
    <row r="959" spans="1:1" x14ac:dyDescent="0.25">
      <c r="A959" s="9">
        <f t="shared" si="38"/>
        <v>0</v>
      </c>
    </row>
    <row r="960" spans="1:1" x14ac:dyDescent="0.25">
      <c r="A960" s="9">
        <f t="shared" si="38"/>
        <v>0</v>
      </c>
    </row>
    <row r="961" spans="1:1" x14ac:dyDescent="0.25">
      <c r="A961" s="9">
        <f t="shared" si="38"/>
        <v>0</v>
      </c>
    </row>
    <row r="962" spans="1:1" x14ac:dyDescent="0.25">
      <c r="A962" s="9">
        <f t="shared" si="38"/>
        <v>0</v>
      </c>
    </row>
    <row r="963" spans="1:1" x14ac:dyDescent="0.25">
      <c r="A963" s="9">
        <f t="shared" si="38"/>
        <v>0</v>
      </c>
    </row>
    <row r="964" spans="1:1" x14ac:dyDescent="0.25">
      <c r="A964" s="9">
        <f t="shared" si="38"/>
        <v>0</v>
      </c>
    </row>
    <row r="965" spans="1:1" x14ac:dyDescent="0.25">
      <c r="A965" s="9">
        <f t="shared" si="38"/>
        <v>0</v>
      </c>
    </row>
    <row r="966" spans="1:1" x14ac:dyDescent="0.25">
      <c r="A966" s="9">
        <f t="shared" si="38"/>
        <v>0</v>
      </c>
    </row>
    <row r="967" spans="1:1" x14ac:dyDescent="0.25">
      <c r="A967" s="9">
        <f t="shared" si="38"/>
        <v>0</v>
      </c>
    </row>
    <row r="968" spans="1:1" x14ac:dyDescent="0.25">
      <c r="A968" s="9">
        <f t="shared" si="38"/>
        <v>0</v>
      </c>
    </row>
    <row r="969" spans="1:1" x14ac:dyDescent="0.25">
      <c r="A969" s="9">
        <f t="shared" si="38"/>
        <v>0</v>
      </c>
    </row>
    <row r="970" spans="1:1" x14ac:dyDescent="0.25">
      <c r="A970" s="9">
        <f t="shared" si="38"/>
        <v>0</v>
      </c>
    </row>
    <row r="971" spans="1:1" x14ac:dyDescent="0.25">
      <c r="A971" s="9">
        <f t="shared" si="38"/>
        <v>0</v>
      </c>
    </row>
    <row r="972" spans="1:1" x14ac:dyDescent="0.25">
      <c r="A972" s="9">
        <f t="shared" ref="A972:A1035" si="39">IF(G972&gt;0,1,0)</f>
        <v>0</v>
      </c>
    </row>
    <row r="973" spans="1:1" x14ac:dyDescent="0.25">
      <c r="A973" s="9">
        <f t="shared" si="39"/>
        <v>0</v>
      </c>
    </row>
    <row r="974" spans="1:1" x14ac:dyDescent="0.25">
      <c r="A974" s="9">
        <f t="shared" si="39"/>
        <v>0</v>
      </c>
    </row>
    <row r="975" spans="1:1" x14ac:dyDescent="0.25">
      <c r="A975" s="9">
        <f t="shared" si="39"/>
        <v>0</v>
      </c>
    </row>
    <row r="976" spans="1:1" x14ac:dyDescent="0.25">
      <c r="A976" s="9">
        <f t="shared" si="39"/>
        <v>0</v>
      </c>
    </row>
    <row r="977" spans="1:1" x14ac:dyDescent="0.25">
      <c r="A977" s="9">
        <f t="shared" si="39"/>
        <v>0</v>
      </c>
    </row>
    <row r="978" spans="1:1" x14ac:dyDescent="0.25">
      <c r="A978" s="9">
        <f t="shared" si="39"/>
        <v>0</v>
      </c>
    </row>
    <row r="979" spans="1:1" x14ac:dyDescent="0.25">
      <c r="A979" s="9">
        <f t="shared" si="39"/>
        <v>0</v>
      </c>
    </row>
    <row r="980" spans="1:1" x14ac:dyDescent="0.25">
      <c r="A980" s="9">
        <f t="shared" si="39"/>
        <v>0</v>
      </c>
    </row>
    <row r="981" spans="1:1" x14ac:dyDescent="0.25">
      <c r="A981" s="9">
        <f t="shared" si="39"/>
        <v>0</v>
      </c>
    </row>
    <row r="982" spans="1:1" x14ac:dyDescent="0.25">
      <c r="A982" s="9">
        <f t="shared" si="39"/>
        <v>0</v>
      </c>
    </row>
    <row r="983" spans="1:1" x14ac:dyDescent="0.25">
      <c r="A983" s="9">
        <f t="shared" si="39"/>
        <v>0</v>
      </c>
    </row>
    <row r="984" spans="1:1" x14ac:dyDescent="0.25">
      <c r="A984" s="9">
        <f t="shared" si="39"/>
        <v>0</v>
      </c>
    </row>
    <row r="985" spans="1:1" x14ac:dyDescent="0.25">
      <c r="A985" s="9">
        <f t="shared" si="39"/>
        <v>0</v>
      </c>
    </row>
    <row r="986" spans="1:1" x14ac:dyDescent="0.25">
      <c r="A986" s="9">
        <f t="shared" si="39"/>
        <v>0</v>
      </c>
    </row>
    <row r="987" spans="1:1" x14ac:dyDescent="0.25">
      <c r="A987" s="9">
        <f t="shared" si="39"/>
        <v>0</v>
      </c>
    </row>
    <row r="988" spans="1:1" x14ac:dyDescent="0.25">
      <c r="A988" s="9">
        <f t="shared" si="39"/>
        <v>0</v>
      </c>
    </row>
    <row r="989" spans="1:1" x14ac:dyDescent="0.25">
      <c r="A989" s="9">
        <f t="shared" si="39"/>
        <v>0</v>
      </c>
    </row>
    <row r="990" spans="1:1" x14ac:dyDescent="0.25">
      <c r="A990" s="9">
        <f t="shared" si="39"/>
        <v>0</v>
      </c>
    </row>
    <row r="991" spans="1:1" x14ac:dyDescent="0.25">
      <c r="A991" s="9">
        <f t="shared" si="39"/>
        <v>0</v>
      </c>
    </row>
    <row r="992" spans="1:1" x14ac:dyDescent="0.25">
      <c r="A992" s="9">
        <f t="shared" si="39"/>
        <v>0</v>
      </c>
    </row>
    <row r="993" spans="1:1" x14ac:dyDescent="0.25">
      <c r="A993" s="9">
        <f t="shared" si="39"/>
        <v>0</v>
      </c>
    </row>
    <row r="994" spans="1:1" x14ac:dyDescent="0.25">
      <c r="A994" s="9">
        <f t="shared" si="39"/>
        <v>0</v>
      </c>
    </row>
    <row r="995" spans="1:1" x14ac:dyDescent="0.25">
      <c r="A995" s="9">
        <f t="shared" si="39"/>
        <v>0</v>
      </c>
    </row>
    <row r="996" spans="1:1" x14ac:dyDescent="0.25">
      <c r="A996" s="9">
        <f t="shared" si="39"/>
        <v>0</v>
      </c>
    </row>
    <row r="997" spans="1:1" x14ac:dyDescent="0.25">
      <c r="A997" s="9">
        <f t="shared" si="39"/>
        <v>0</v>
      </c>
    </row>
    <row r="998" spans="1:1" x14ac:dyDescent="0.25">
      <c r="A998" s="9">
        <f t="shared" si="39"/>
        <v>0</v>
      </c>
    </row>
    <row r="999" spans="1:1" x14ac:dyDescent="0.25">
      <c r="A999" s="9">
        <f t="shared" si="39"/>
        <v>0</v>
      </c>
    </row>
    <row r="1000" spans="1:1" x14ac:dyDescent="0.25">
      <c r="A1000" s="9">
        <f t="shared" si="39"/>
        <v>0</v>
      </c>
    </row>
    <row r="1001" spans="1:1" x14ac:dyDescent="0.25">
      <c r="A1001" s="9">
        <f t="shared" si="39"/>
        <v>0</v>
      </c>
    </row>
    <row r="1002" spans="1:1" x14ac:dyDescent="0.25">
      <c r="A1002" s="9">
        <f t="shared" si="39"/>
        <v>0</v>
      </c>
    </row>
    <row r="1003" spans="1:1" x14ac:dyDescent="0.25">
      <c r="A1003" s="9">
        <f t="shared" si="39"/>
        <v>0</v>
      </c>
    </row>
    <row r="1004" spans="1:1" x14ac:dyDescent="0.25">
      <c r="A1004" s="9">
        <f t="shared" si="39"/>
        <v>0</v>
      </c>
    </row>
    <row r="1005" spans="1:1" x14ac:dyDescent="0.25">
      <c r="A1005" s="9">
        <f t="shared" si="39"/>
        <v>0</v>
      </c>
    </row>
    <row r="1006" spans="1:1" x14ac:dyDescent="0.25">
      <c r="A1006" s="9">
        <f t="shared" si="39"/>
        <v>0</v>
      </c>
    </row>
    <row r="1007" spans="1:1" x14ac:dyDescent="0.25">
      <c r="A1007" s="9">
        <f t="shared" si="39"/>
        <v>0</v>
      </c>
    </row>
    <row r="1008" spans="1:1" x14ac:dyDescent="0.25">
      <c r="A1008" s="9">
        <f t="shared" si="39"/>
        <v>0</v>
      </c>
    </row>
    <row r="1009" spans="1:1" x14ac:dyDescent="0.25">
      <c r="A1009" s="9">
        <f t="shared" si="39"/>
        <v>0</v>
      </c>
    </row>
    <row r="1010" spans="1:1" x14ac:dyDescent="0.25">
      <c r="A1010" s="9">
        <f t="shared" si="39"/>
        <v>0</v>
      </c>
    </row>
    <row r="1011" spans="1:1" x14ac:dyDescent="0.25">
      <c r="A1011" s="9">
        <f t="shared" si="39"/>
        <v>0</v>
      </c>
    </row>
    <row r="1012" spans="1:1" x14ac:dyDescent="0.25">
      <c r="A1012" s="9">
        <f t="shared" si="39"/>
        <v>0</v>
      </c>
    </row>
    <row r="1013" spans="1:1" x14ac:dyDescent="0.25">
      <c r="A1013" s="9">
        <f t="shared" si="39"/>
        <v>0</v>
      </c>
    </row>
    <row r="1014" spans="1:1" x14ac:dyDescent="0.25">
      <c r="A1014" s="9">
        <f t="shared" si="39"/>
        <v>0</v>
      </c>
    </row>
    <row r="1015" spans="1:1" x14ac:dyDescent="0.25">
      <c r="A1015" s="9">
        <f t="shared" si="39"/>
        <v>0</v>
      </c>
    </row>
    <row r="1016" spans="1:1" x14ac:dyDescent="0.25">
      <c r="A1016" s="9">
        <f t="shared" si="39"/>
        <v>0</v>
      </c>
    </row>
    <row r="1017" spans="1:1" x14ac:dyDescent="0.25">
      <c r="A1017" s="9">
        <f t="shared" si="39"/>
        <v>0</v>
      </c>
    </row>
    <row r="1018" spans="1:1" x14ac:dyDescent="0.25">
      <c r="A1018" s="9">
        <f t="shared" si="39"/>
        <v>0</v>
      </c>
    </row>
    <row r="1019" spans="1:1" x14ac:dyDescent="0.25">
      <c r="A1019" s="9">
        <f t="shared" si="39"/>
        <v>0</v>
      </c>
    </row>
    <row r="1020" spans="1:1" x14ac:dyDescent="0.25">
      <c r="A1020" s="9">
        <f t="shared" si="39"/>
        <v>0</v>
      </c>
    </row>
    <row r="1021" spans="1:1" x14ac:dyDescent="0.25">
      <c r="A1021" s="9">
        <f t="shared" si="39"/>
        <v>0</v>
      </c>
    </row>
    <row r="1022" spans="1:1" x14ac:dyDescent="0.25">
      <c r="A1022" s="9">
        <f t="shared" si="39"/>
        <v>0</v>
      </c>
    </row>
    <row r="1023" spans="1:1" x14ac:dyDescent="0.25">
      <c r="A1023" s="9">
        <f t="shared" si="39"/>
        <v>0</v>
      </c>
    </row>
    <row r="1024" spans="1:1" x14ac:dyDescent="0.25">
      <c r="A1024" s="9">
        <f t="shared" si="39"/>
        <v>0</v>
      </c>
    </row>
    <row r="1025" spans="1:1" x14ac:dyDescent="0.25">
      <c r="A1025" s="9">
        <f t="shared" si="39"/>
        <v>0</v>
      </c>
    </row>
    <row r="1026" spans="1:1" x14ac:dyDescent="0.25">
      <c r="A1026" s="9">
        <f t="shared" si="39"/>
        <v>0</v>
      </c>
    </row>
    <row r="1027" spans="1:1" x14ac:dyDescent="0.25">
      <c r="A1027" s="9">
        <f t="shared" si="39"/>
        <v>0</v>
      </c>
    </row>
    <row r="1028" spans="1:1" x14ac:dyDescent="0.25">
      <c r="A1028" s="9">
        <f t="shared" si="39"/>
        <v>0</v>
      </c>
    </row>
    <row r="1029" spans="1:1" x14ac:dyDescent="0.25">
      <c r="A1029" s="9">
        <f t="shared" si="39"/>
        <v>0</v>
      </c>
    </row>
    <row r="1030" spans="1:1" x14ac:dyDescent="0.25">
      <c r="A1030" s="9">
        <f t="shared" si="39"/>
        <v>0</v>
      </c>
    </row>
    <row r="1031" spans="1:1" x14ac:dyDescent="0.25">
      <c r="A1031" s="9">
        <f t="shared" si="39"/>
        <v>0</v>
      </c>
    </row>
    <row r="1032" spans="1:1" x14ac:dyDescent="0.25">
      <c r="A1032" s="9">
        <f t="shared" si="39"/>
        <v>0</v>
      </c>
    </row>
    <row r="1033" spans="1:1" x14ac:dyDescent="0.25">
      <c r="A1033" s="9">
        <f t="shared" si="39"/>
        <v>0</v>
      </c>
    </row>
    <row r="1034" spans="1:1" x14ac:dyDescent="0.25">
      <c r="A1034" s="9">
        <f t="shared" si="39"/>
        <v>0</v>
      </c>
    </row>
    <row r="1035" spans="1:1" x14ac:dyDescent="0.25">
      <c r="A1035" s="9">
        <f t="shared" si="39"/>
        <v>0</v>
      </c>
    </row>
    <row r="1036" spans="1:1" x14ac:dyDescent="0.25">
      <c r="A1036" s="9">
        <f t="shared" ref="A1036:A1099" si="40">IF(G1036&gt;0,1,0)</f>
        <v>0</v>
      </c>
    </row>
    <row r="1037" spans="1:1" x14ac:dyDescent="0.25">
      <c r="A1037" s="9">
        <f t="shared" si="40"/>
        <v>0</v>
      </c>
    </row>
    <row r="1038" spans="1:1" x14ac:dyDescent="0.25">
      <c r="A1038" s="9">
        <f t="shared" si="40"/>
        <v>0</v>
      </c>
    </row>
    <row r="1039" spans="1:1" x14ac:dyDescent="0.25">
      <c r="A1039" s="9">
        <f t="shared" si="40"/>
        <v>0</v>
      </c>
    </row>
    <row r="1040" spans="1:1" x14ac:dyDescent="0.25">
      <c r="A1040" s="9">
        <f t="shared" si="40"/>
        <v>0</v>
      </c>
    </row>
    <row r="1041" spans="1:1" x14ac:dyDescent="0.25">
      <c r="A1041" s="9">
        <f t="shared" si="40"/>
        <v>0</v>
      </c>
    </row>
    <row r="1042" spans="1:1" x14ac:dyDescent="0.25">
      <c r="A1042" s="9">
        <f t="shared" si="40"/>
        <v>0</v>
      </c>
    </row>
    <row r="1043" spans="1:1" x14ac:dyDescent="0.25">
      <c r="A1043" s="9">
        <f t="shared" si="40"/>
        <v>0</v>
      </c>
    </row>
    <row r="1044" spans="1:1" x14ac:dyDescent="0.25">
      <c r="A1044" s="9">
        <f t="shared" si="40"/>
        <v>0</v>
      </c>
    </row>
    <row r="1045" spans="1:1" x14ac:dyDescent="0.25">
      <c r="A1045" s="9">
        <f t="shared" si="40"/>
        <v>0</v>
      </c>
    </row>
    <row r="1046" spans="1:1" x14ac:dyDescent="0.25">
      <c r="A1046" s="9">
        <f t="shared" si="40"/>
        <v>0</v>
      </c>
    </row>
    <row r="1047" spans="1:1" x14ac:dyDescent="0.25">
      <c r="A1047" s="9">
        <f t="shared" si="40"/>
        <v>0</v>
      </c>
    </row>
    <row r="1048" spans="1:1" x14ac:dyDescent="0.25">
      <c r="A1048" s="9">
        <f t="shared" si="40"/>
        <v>0</v>
      </c>
    </row>
    <row r="1049" spans="1:1" x14ac:dyDescent="0.25">
      <c r="A1049" s="9">
        <f t="shared" si="40"/>
        <v>0</v>
      </c>
    </row>
    <row r="1050" spans="1:1" x14ac:dyDescent="0.25">
      <c r="A1050" s="9">
        <f t="shared" si="40"/>
        <v>0</v>
      </c>
    </row>
    <row r="1051" spans="1:1" x14ac:dyDescent="0.25">
      <c r="A1051" s="9">
        <f t="shared" si="40"/>
        <v>0</v>
      </c>
    </row>
    <row r="1052" spans="1:1" x14ac:dyDescent="0.25">
      <c r="A1052" s="9">
        <f t="shared" si="40"/>
        <v>0</v>
      </c>
    </row>
    <row r="1053" spans="1:1" x14ac:dyDescent="0.25">
      <c r="A1053" s="9">
        <f t="shared" si="40"/>
        <v>0</v>
      </c>
    </row>
    <row r="1054" spans="1:1" x14ac:dyDescent="0.25">
      <c r="A1054" s="9">
        <f t="shared" si="40"/>
        <v>0</v>
      </c>
    </row>
    <row r="1055" spans="1:1" x14ac:dyDescent="0.25">
      <c r="A1055" s="9">
        <f t="shared" si="40"/>
        <v>0</v>
      </c>
    </row>
    <row r="1056" spans="1:1" x14ac:dyDescent="0.25">
      <c r="A1056" s="9">
        <f t="shared" si="40"/>
        <v>0</v>
      </c>
    </row>
    <row r="1057" spans="1:1" x14ac:dyDescent="0.25">
      <c r="A1057" s="9">
        <f t="shared" si="40"/>
        <v>0</v>
      </c>
    </row>
    <row r="1058" spans="1:1" x14ac:dyDescent="0.25">
      <c r="A1058" s="9">
        <f t="shared" si="40"/>
        <v>0</v>
      </c>
    </row>
    <row r="1059" spans="1:1" x14ac:dyDescent="0.25">
      <c r="A1059" s="9">
        <f t="shared" si="40"/>
        <v>0</v>
      </c>
    </row>
    <row r="1060" spans="1:1" x14ac:dyDescent="0.25">
      <c r="A1060" s="9">
        <f t="shared" si="40"/>
        <v>0</v>
      </c>
    </row>
    <row r="1061" spans="1:1" x14ac:dyDescent="0.25">
      <c r="A1061" s="9">
        <f t="shared" si="40"/>
        <v>0</v>
      </c>
    </row>
    <row r="1062" spans="1:1" x14ac:dyDescent="0.25">
      <c r="A1062" s="9">
        <f t="shared" si="40"/>
        <v>0</v>
      </c>
    </row>
    <row r="1063" spans="1:1" x14ac:dyDescent="0.25">
      <c r="A1063" s="9">
        <f t="shared" si="40"/>
        <v>0</v>
      </c>
    </row>
    <row r="1064" spans="1:1" x14ac:dyDescent="0.25">
      <c r="A1064" s="9">
        <f t="shared" si="40"/>
        <v>0</v>
      </c>
    </row>
    <row r="1065" spans="1:1" x14ac:dyDescent="0.25">
      <c r="A1065" s="9">
        <f t="shared" si="40"/>
        <v>0</v>
      </c>
    </row>
    <row r="1066" spans="1:1" x14ac:dyDescent="0.25">
      <c r="A1066" s="9">
        <f t="shared" si="40"/>
        <v>0</v>
      </c>
    </row>
    <row r="1067" spans="1:1" x14ac:dyDescent="0.25">
      <c r="A1067" s="9">
        <f t="shared" si="40"/>
        <v>0</v>
      </c>
    </row>
    <row r="1068" spans="1:1" x14ac:dyDescent="0.25">
      <c r="A1068" s="9">
        <f t="shared" si="40"/>
        <v>0</v>
      </c>
    </row>
    <row r="1069" spans="1:1" x14ac:dyDescent="0.25">
      <c r="A1069" s="9">
        <f t="shared" si="40"/>
        <v>0</v>
      </c>
    </row>
    <row r="1070" spans="1:1" x14ac:dyDescent="0.25">
      <c r="A1070" s="9">
        <f t="shared" si="40"/>
        <v>0</v>
      </c>
    </row>
    <row r="1071" spans="1:1" x14ac:dyDescent="0.25">
      <c r="A1071" s="9">
        <f t="shared" si="40"/>
        <v>0</v>
      </c>
    </row>
    <row r="1072" spans="1:1" x14ac:dyDescent="0.25">
      <c r="A1072" s="9">
        <f t="shared" si="40"/>
        <v>0</v>
      </c>
    </row>
    <row r="1073" spans="1:1" x14ac:dyDescent="0.25">
      <c r="A1073" s="9">
        <f t="shared" si="40"/>
        <v>0</v>
      </c>
    </row>
    <row r="1074" spans="1:1" x14ac:dyDescent="0.25">
      <c r="A1074" s="9">
        <f t="shared" si="40"/>
        <v>0</v>
      </c>
    </row>
    <row r="1075" spans="1:1" x14ac:dyDescent="0.25">
      <c r="A1075" s="9">
        <f t="shared" si="40"/>
        <v>0</v>
      </c>
    </row>
    <row r="1076" spans="1:1" x14ac:dyDescent="0.25">
      <c r="A1076" s="9">
        <f t="shared" si="40"/>
        <v>0</v>
      </c>
    </row>
    <row r="1077" spans="1:1" x14ac:dyDescent="0.25">
      <c r="A1077" s="9">
        <f t="shared" si="40"/>
        <v>0</v>
      </c>
    </row>
    <row r="1078" spans="1:1" x14ac:dyDescent="0.25">
      <c r="A1078" s="9">
        <f t="shared" si="40"/>
        <v>0</v>
      </c>
    </row>
    <row r="1079" spans="1:1" x14ac:dyDescent="0.25">
      <c r="A1079" s="9">
        <f t="shared" si="40"/>
        <v>0</v>
      </c>
    </row>
    <row r="1080" spans="1:1" x14ac:dyDescent="0.25">
      <c r="A1080" s="9">
        <f t="shared" si="40"/>
        <v>0</v>
      </c>
    </row>
    <row r="1081" spans="1:1" x14ac:dyDescent="0.25">
      <c r="A1081" s="9">
        <f t="shared" si="40"/>
        <v>0</v>
      </c>
    </row>
    <row r="1082" spans="1:1" x14ac:dyDescent="0.25">
      <c r="A1082" s="9">
        <f t="shared" si="40"/>
        <v>0</v>
      </c>
    </row>
    <row r="1083" spans="1:1" x14ac:dyDescent="0.25">
      <c r="A1083" s="9">
        <f t="shared" si="40"/>
        <v>0</v>
      </c>
    </row>
    <row r="1084" spans="1:1" x14ac:dyDescent="0.25">
      <c r="A1084" s="9">
        <f t="shared" si="40"/>
        <v>0</v>
      </c>
    </row>
    <row r="1085" spans="1:1" x14ac:dyDescent="0.25">
      <c r="A1085" s="9">
        <f t="shared" si="40"/>
        <v>0</v>
      </c>
    </row>
    <row r="1086" spans="1:1" x14ac:dyDescent="0.25">
      <c r="A1086" s="9">
        <f t="shared" si="40"/>
        <v>0</v>
      </c>
    </row>
    <row r="1087" spans="1:1" x14ac:dyDescent="0.25">
      <c r="A1087" s="9">
        <f t="shared" si="40"/>
        <v>0</v>
      </c>
    </row>
    <row r="1088" spans="1:1" x14ac:dyDescent="0.25">
      <c r="A1088" s="9">
        <f t="shared" si="40"/>
        <v>0</v>
      </c>
    </row>
    <row r="1089" spans="1:1" x14ac:dyDescent="0.25">
      <c r="A1089" s="9">
        <f t="shared" si="40"/>
        <v>0</v>
      </c>
    </row>
    <row r="1090" spans="1:1" x14ac:dyDescent="0.25">
      <c r="A1090" s="9">
        <f t="shared" si="40"/>
        <v>0</v>
      </c>
    </row>
    <row r="1091" spans="1:1" x14ac:dyDescent="0.25">
      <c r="A1091" s="9">
        <f t="shared" si="40"/>
        <v>0</v>
      </c>
    </row>
    <row r="1092" spans="1:1" x14ac:dyDescent="0.25">
      <c r="A1092" s="9">
        <f t="shared" si="40"/>
        <v>0</v>
      </c>
    </row>
    <row r="1093" spans="1:1" x14ac:dyDescent="0.25">
      <c r="A1093" s="9">
        <f t="shared" si="40"/>
        <v>0</v>
      </c>
    </row>
    <row r="1094" spans="1:1" x14ac:dyDescent="0.25">
      <c r="A1094" s="9">
        <f t="shared" si="40"/>
        <v>0</v>
      </c>
    </row>
    <row r="1095" spans="1:1" x14ac:dyDescent="0.25">
      <c r="A1095" s="9">
        <f t="shared" si="40"/>
        <v>0</v>
      </c>
    </row>
    <row r="1096" spans="1:1" x14ac:dyDescent="0.25">
      <c r="A1096" s="9">
        <f t="shared" si="40"/>
        <v>0</v>
      </c>
    </row>
    <row r="1097" spans="1:1" x14ac:dyDescent="0.25">
      <c r="A1097" s="9">
        <f t="shared" si="40"/>
        <v>0</v>
      </c>
    </row>
    <row r="1098" spans="1:1" x14ac:dyDescent="0.25">
      <c r="A1098" s="9">
        <f t="shared" si="40"/>
        <v>0</v>
      </c>
    </row>
    <row r="1099" spans="1:1" x14ac:dyDescent="0.25">
      <c r="A1099" s="9">
        <f t="shared" si="40"/>
        <v>0</v>
      </c>
    </row>
    <row r="1100" spans="1:1" x14ac:dyDescent="0.25">
      <c r="A1100" s="9">
        <f t="shared" ref="A1100:A1163" si="41">IF(G1100&gt;0,1,0)</f>
        <v>0</v>
      </c>
    </row>
    <row r="1101" spans="1:1" x14ac:dyDescent="0.25">
      <c r="A1101" s="9">
        <f t="shared" si="41"/>
        <v>0</v>
      </c>
    </row>
    <row r="1102" spans="1:1" x14ac:dyDescent="0.25">
      <c r="A1102" s="9">
        <f t="shared" si="41"/>
        <v>0</v>
      </c>
    </row>
    <row r="1103" spans="1:1" x14ac:dyDescent="0.25">
      <c r="A1103" s="9">
        <f t="shared" si="41"/>
        <v>0</v>
      </c>
    </row>
    <row r="1104" spans="1:1" x14ac:dyDescent="0.25">
      <c r="A1104" s="9">
        <f t="shared" si="41"/>
        <v>0</v>
      </c>
    </row>
    <row r="1105" spans="1:1" x14ac:dyDescent="0.25">
      <c r="A1105" s="9">
        <f t="shared" si="41"/>
        <v>0</v>
      </c>
    </row>
    <row r="1106" spans="1:1" x14ac:dyDescent="0.25">
      <c r="A1106" s="9">
        <f t="shared" si="41"/>
        <v>0</v>
      </c>
    </row>
    <row r="1107" spans="1:1" x14ac:dyDescent="0.25">
      <c r="A1107" s="9">
        <f t="shared" si="41"/>
        <v>0</v>
      </c>
    </row>
    <row r="1108" spans="1:1" x14ac:dyDescent="0.25">
      <c r="A1108" s="9">
        <f t="shared" si="41"/>
        <v>0</v>
      </c>
    </row>
    <row r="1109" spans="1:1" x14ac:dyDescent="0.25">
      <c r="A1109" s="9">
        <f t="shared" si="41"/>
        <v>0</v>
      </c>
    </row>
    <row r="1110" spans="1:1" x14ac:dyDescent="0.25">
      <c r="A1110" s="9">
        <f t="shared" si="41"/>
        <v>0</v>
      </c>
    </row>
    <row r="1111" spans="1:1" x14ac:dyDescent="0.25">
      <c r="A1111" s="9">
        <f t="shared" si="41"/>
        <v>0</v>
      </c>
    </row>
    <row r="1112" spans="1:1" x14ac:dyDescent="0.25">
      <c r="A1112" s="9">
        <f t="shared" si="41"/>
        <v>0</v>
      </c>
    </row>
    <row r="1113" spans="1:1" x14ac:dyDescent="0.25">
      <c r="A1113" s="9">
        <f t="shared" si="41"/>
        <v>0</v>
      </c>
    </row>
    <row r="1114" spans="1:1" x14ac:dyDescent="0.25">
      <c r="A1114" s="9">
        <f t="shared" si="41"/>
        <v>0</v>
      </c>
    </row>
    <row r="1115" spans="1:1" x14ac:dyDescent="0.25">
      <c r="A1115" s="9">
        <f t="shared" si="41"/>
        <v>0</v>
      </c>
    </row>
    <row r="1116" spans="1:1" x14ac:dyDescent="0.25">
      <c r="A1116" s="9">
        <f t="shared" si="41"/>
        <v>0</v>
      </c>
    </row>
    <row r="1117" spans="1:1" x14ac:dyDescent="0.25">
      <c r="A1117" s="9">
        <f t="shared" si="41"/>
        <v>0</v>
      </c>
    </row>
    <row r="1118" spans="1:1" x14ac:dyDescent="0.25">
      <c r="A1118" s="9">
        <f t="shared" si="41"/>
        <v>0</v>
      </c>
    </row>
    <row r="1119" spans="1:1" x14ac:dyDescent="0.25">
      <c r="A1119" s="9">
        <f t="shared" si="41"/>
        <v>0</v>
      </c>
    </row>
    <row r="1120" spans="1:1" x14ac:dyDescent="0.25">
      <c r="A1120" s="9">
        <f t="shared" si="41"/>
        <v>0</v>
      </c>
    </row>
    <row r="1121" spans="1:1" x14ac:dyDescent="0.25">
      <c r="A1121" s="9">
        <f t="shared" si="41"/>
        <v>0</v>
      </c>
    </row>
    <row r="1122" spans="1:1" x14ac:dyDescent="0.25">
      <c r="A1122" s="9">
        <f t="shared" si="41"/>
        <v>0</v>
      </c>
    </row>
    <row r="1123" spans="1:1" x14ac:dyDescent="0.25">
      <c r="A1123" s="9">
        <f t="shared" si="41"/>
        <v>0</v>
      </c>
    </row>
    <row r="1124" spans="1:1" x14ac:dyDescent="0.25">
      <c r="A1124" s="9">
        <f t="shared" si="41"/>
        <v>0</v>
      </c>
    </row>
    <row r="1125" spans="1:1" x14ac:dyDescent="0.25">
      <c r="A1125" s="9">
        <f t="shared" si="41"/>
        <v>0</v>
      </c>
    </row>
    <row r="1126" spans="1:1" x14ac:dyDescent="0.25">
      <c r="A1126" s="9">
        <f t="shared" si="41"/>
        <v>0</v>
      </c>
    </row>
    <row r="1127" spans="1:1" x14ac:dyDescent="0.25">
      <c r="A1127" s="9">
        <f t="shared" si="41"/>
        <v>0</v>
      </c>
    </row>
    <row r="1128" spans="1:1" x14ac:dyDescent="0.25">
      <c r="A1128" s="9">
        <f t="shared" si="41"/>
        <v>0</v>
      </c>
    </row>
    <row r="1129" spans="1:1" x14ac:dyDescent="0.25">
      <c r="A1129" s="9">
        <f t="shared" si="41"/>
        <v>0</v>
      </c>
    </row>
    <row r="1130" spans="1:1" x14ac:dyDescent="0.25">
      <c r="A1130" s="9">
        <f t="shared" si="41"/>
        <v>0</v>
      </c>
    </row>
    <row r="1131" spans="1:1" x14ac:dyDescent="0.25">
      <c r="A1131" s="9">
        <f t="shared" si="41"/>
        <v>0</v>
      </c>
    </row>
    <row r="1132" spans="1:1" x14ac:dyDescent="0.25">
      <c r="A1132" s="9">
        <f t="shared" si="41"/>
        <v>0</v>
      </c>
    </row>
    <row r="1133" spans="1:1" x14ac:dyDescent="0.25">
      <c r="A1133" s="9">
        <f t="shared" si="41"/>
        <v>0</v>
      </c>
    </row>
    <row r="1134" spans="1:1" x14ac:dyDescent="0.25">
      <c r="A1134" s="9">
        <f t="shared" si="41"/>
        <v>0</v>
      </c>
    </row>
    <row r="1135" spans="1:1" x14ac:dyDescent="0.25">
      <c r="A1135" s="9">
        <f t="shared" si="41"/>
        <v>0</v>
      </c>
    </row>
    <row r="1136" spans="1:1" x14ac:dyDescent="0.25">
      <c r="A1136" s="9">
        <f t="shared" si="41"/>
        <v>0</v>
      </c>
    </row>
    <row r="1137" spans="1:1" x14ac:dyDescent="0.25">
      <c r="A1137" s="9">
        <f t="shared" si="41"/>
        <v>0</v>
      </c>
    </row>
    <row r="1138" spans="1:1" x14ac:dyDescent="0.25">
      <c r="A1138" s="9">
        <f t="shared" si="41"/>
        <v>0</v>
      </c>
    </row>
    <row r="1139" spans="1:1" x14ac:dyDescent="0.25">
      <c r="A1139" s="9">
        <f t="shared" si="41"/>
        <v>0</v>
      </c>
    </row>
    <row r="1140" spans="1:1" x14ac:dyDescent="0.25">
      <c r="A1140" s="9">
        <f t="shared" si="41"/>
        <v>0</v>
      </c>
    </row>
    <row r="1141" spans="1:1" x14ac:dyDescent="0.25">
      <c r="A1141" s="9">
        <f t="shared" si="41"/>
        <v>0</v>
      </c>
    </row>
    <row r="1142" spans="1:1" x14ac:dyDescent="0.25">
      <c r="A1142" s="9">
        <f t="shared" si="41"/>
        <v>0</v>
      </c>
    </row>
    <row r="1143" spans="1:1" x14ac:dyDescent="0.25">
      <c r="A1143" s="9">
        <f t="shared" si="41"/>
        <v>0</v>
      </c>
    </row>
    <row r="1144" spans="1:1" x14ac:dyDescent="0.25">
      <c r="A1144" s="9">
        <f t="shared" si="41"/>
        <v>0</v>
      </c>
    </row>
    <row r="1145" spans="1:1" x14ac:dyDescent="0.25">
      <c r="A1145" s="9">
        <f t="shared" si="41"/>
        <v>0</v>
      </c>
    </row>
    <row r="1146" spans="1:1" x14ac:dyDescent="0.25">
      <c r="A1146" s="9">
        <f t="shared" si="41"/>
        <v>0</v>
      </c>
    </row>
    <row r="1147" spans="1:1" x14ac:dyDescent="0.25">
      <c r="A1147" s="9">
        <f t="shared" si="41"/>
        <v>0</v>
      </c>
    </row>
    <row r="1148" spans="1:1" x14ac:dyDescent="0.25">
      <c r="A1148" s="9">
        <f t="shared" si="41"/>
        <v>0</v>
      </c>
    </row>
    <row r="1149" spans="1:1" x14ac:dyDescent="0.25">
      <c r="A1149" s="9">
        <f t="shared" si="41"/>
        <v>0</v>
      </c>
    </row>
    <row r="1150" spans="1:1" x14ac:dyDescent="0.25">
      <c r="A1150" s="9">
        <f t="shared" si="41"/>
        <v>0</v>
      </c>
    </row>
    <row r="1151" spans="1:1" x14ac:dyDescent="0.25">
      <c r="A1151" s="9">
        <f t="shared" si="41"/>
        <v>0</v>
      </c>
    </row>
    <row r="1152" spans="1:1" x14ac:dyDescent="0.25">
      <c r="A1152" s="9">
        <f t="shared" si="41"/>
        <v>0</v>
      </c>
    </row>
    <row r="1153" spans="1:1" x14ac:dyDescent="0.25">
      <c r="A1153" s="9">
        <f t="shared" si="41"/>
        <v>0</v>
      </c>
    </row>
    <row r="1154" spans="1:1" x14ac:dyDescent="0.25">
      <c r="A1154" s="9">
        <f t="shared" si="41"/>
        <v>0</v>
      </c>
    </row>
    <row r="1155" spans="1:1" x14ac:dyDescent="0.25">
      <c r="A1155" s="9">
        <f t="shared" si="41"/>
        <v>0</v>
      </c>
    </row>
    <row r="1156" spans="1:1" x14ac:dyDescent="0.25">
      <c r="A1156" s="9">
        <f t="shared" si="41"/>
        <v>0</v>
      </c>
    </row>
    <row r="1157" spans="1:1" x14ac:dyDescent="0.25">
      <c r="A1157" s="9">
        <f t="shared" si="41"/>
        <v>0</v>
      </c>
    </row>
    <row r="1158" spans="1:1" x14ac:dyDescent="0.25">
      <c r="A1158" s="9">
        <f t="shared" si="41"/>
        <v>0</v>
      </c>
    </row>
    <row r="1159" spans="1:1" x14ac:dyDescent="0.25">
      <c r="A1159" s="9">
        <f t="shared" si="41"/>
        <v>0</v>
      </c>
    </row>
    <row r="1160" spans="1:1" x14ac:dyDescent="0.25">
      <c r="A1160" s="9">
        <f t="shared" si="41"/>
        <v>0</v>
      </c>
    </row>
    <row r="1161" spans="1:1" x14ac:dyDescent="0.25">
      <c r="A1161" s="9">
        <f t="shared" si="41"/>
        <v>0</v>
      </c>
    </row>
    <row r="1162" spans="1:1" x14ac:dyDescent="0.25">
      <c r="A1162" s="9">
        <f t="shared" si="41"/>
        <v>0</v>
      </c>
    </row>
    <row r="1163" spans="1:1" x14ac:dyDescent="0.25">
      <c r="A1163" s="9">
        <f t="shared" si="41"/>
        <v>0</v>
      </c>
    </row>
    <row r="1164" spans="1:1" x14ac:dyDescent="0.25">
      <c r="A1164" s="9">
        <f t="shared" ref="A1164:A1227" si="42">IF(G1164&gt;0,1,0)</f>
        <v>0</v>
      </c>
    </row>
    <row r="1165" spans="1:1" x14ac:dyDescent="0.25">
      <c r="A1165" s="9">
        <f t="shared" si="42"/>
        <v>0</v>
      </c>
    </row>
    <row r="1166" spans="1:1" x14ac:dyDescent="0.25">
      <c r="A1166" s="9">
        <f t="shared" si="42"/>
        <v>0</v>
      </c>
    </row>
    <row r="1167" spans="1:1" x14ac:dyDescent="0.25">
      <c r="A1167" s="9">
        <f t="shared" si="42"/>
        <v>0</v>
      </c>
    </row>
    <row r="1168" spans="1:1" x14ac:dyDescent="0.25">
      <c r="A1168" s="9">
        <f t="shared" si="42"/>
        <v>0</v>
      </c>
    </row>
    <row r="1169" spans="1:1" x14ac:dyDescent="0.25">
      <c r="A1169" s="9">
        <f t="shared" si="42"/>
        <v>0</v>
      </c>
    </row>
    <row r="1170" spans="1:1" x14ac:dyDescent="0.25">
      <c r="A1170" s="9">
        <f t="shared" si="42"/>
        <v>0</v>
      </c>
    </row>
    <row r="1171" spans="1:1" x14ac:dyDescent="0.25">
      <c r="A1171" s="9">
        <f t="shared" si="42"/>
        <v>0</v>
      </c>
    </row>
    <row r="1172" spans="1:1" x14ac:dyDescent="0.25">
      <c r="A1172" s="9">
        <f t="shared" si="42"/>
        <v>0</v>
      </c>
    </row>
    <row r="1173" spans="1:1" x14ac:dyDescent="0.25">
      <c r="A1173" s="9">
        <f t="shared" si="42"/>
        <v>0</v>
      </c>
    </row>
    <row r="1174" spans="1:1" x14ac:dyDescent="0.25">
      <c r="A1174" s="9">
        <f t="shared" si="42"/>
        <v>0</v>
      </c>
    </row>
    <row r="1175" spans="1:1" x14ac:dyDescent="0.25">
      <c r="A1175" s="9">
        <f t="shared" si="42"/>
        <v>0</v>
      </c>
    </row>
    <row r="1176" spans="1:1" x14ac:dyDescent="0.25">
      <c r="A1176" s="9">
        <f t="shared" si="42"/>
        <v>0</v>
      </c>
    </row>
    <row r="1177" spans="1:1" x14ac:dyDescent="0.25">
      <c r="A1177" s="9">
        <f t="shared" si="42"/>
        <v>0</v>
      </c>
    </row>
    <row r="1178" spans="1:1" x14ac:dyDescent="0.25">
      <c r="A1178" s="9">
        <f t="shared" si="42"/>
        <v>0</v>
      </c>
    </row>
    <row r="1179" spans="1:1" x14ac:dyDescent="0.25">
      <c r="A1179" s="9">
        <f t="shared" si="42"/>
        <v>0</v>
      </c>
    </row>
    <row r="1180" spans="1:1" x14ac:dyDescent="0.25">
      <c r="A1180" s="9">
        <f t="shared" si="42"/>
        <v>0</v>
      </c>
    </row>
    <row r="1181" spans="1:1" x14ac:dyDescent="0.25">
      <c r="A1181" s="9">
        <f t="shared" si="42"/>
        <v>0</v>
      </c>
    </row>
    <row r="1182" spans="1:1" x14ac:dyDescent="0.25">
      <c r="A1182" s="9">
        <f t="shared" si="42"/>
        <v>0</v>
      </c>
    </row>
    <row r="1183" spans="1:1" x14ac:dyDescent="0.25">
      <c r="A1183" s="9">
        <f t="shared" si="42"/>
        <v>0</v>
      </c>
    </row>
    <row r="1184" spans="1:1" x14ac:dyDescent="0.25">
      <c r="A1184" s="9">
        <f t="shared" si="42"/>
        <v>0</v>
      </c>
    </row>
    <row r="1185" spans="1:1" x14ac:dyDescent="0.25">
      <c r="A1185" s="9">
        <f t="shared" si="42"/>
        <v>0</v>
      </c>
    </row>
    <row r="1186" spans="1:1" x14ac:dyDescent="0.25">
      <c r="A1186" s="9">
        <f t="shared" si="42"/>
        <v>0</v>
      </c>
    </row>
    <row r="1187" spans="1:1" x14ac:dyDescent="0.25">
      <c r="A1187" s="9">
        <f t="shared" si="42"/>
        <v>0</v>
      </c>
    </row>
    <row r="1188" spans="1:1" x14ac:dyDescent="0.25">
      <c r="A1188" s="9">
        <f t="shared" si="42"/>
        <v>0</v>
      </c>
    </row>
    <row r="1189" spans="1:1" x14ac:dyDescent="0.25">
      <c r="A1189" s="9">
        <f t="shared" si="42"/>
        <v>0</v>
      </c>
    </row>
    <row r="1190" spans="1:1" x14ac:dyDescent="0.25">
      <c r="A1190" s="9">
        <f t="shared" si="42"/>
        <v>0</v>
      </c>
    </row>
    <row r="1191" spans="1:1" x14ac:dyDescent="0.25">
      <c r="A1191" s="9">
        <f t="shared" si="42"/>
        <v>0</v>
      </c>
    </row>
    <row r="1192" spans="1:1" x14ac:dyDescent="0.25">
      <c r="A1192" s="9">
        <f t="shared" si="42"/>
        <v>0</v>
      </c>
    </row>
    <row r="1193" spans="1:1" x14ac:dyDescent="0.25">
      <c r="A1193" s="9">
        <f t="shared" si="42"/>
        <v>0</v>
      </c>
    </row>
    <row r="1194" spans="1:1" x14ac:dyDescent="0.25">
      <c r="A1194" s="9">
        <f t="shared" si="42"/>
        <v>0</v>
      </c>
    </row>
    <row r="1195" spans="1:1" x14ac:dyDescent="0.25">
      <c r="A1195" s="9">
        <f t="shared" si="42"/>
        <v>0</v>
      </c>
    </row>
    <row r="1196" spans="1:1" x14ac:dyDescent="0.25">
      <c r="A1196" s="9">
        <f t="shared" si="42"/>
        <v>0</v>
      </c>
    </row>
    <row r="1197" spans="1:1" x14ac:dyDescent="0.25">
      <c r="A1197" s="9">
        <f t="shared" si="42"/>
        <v>0</v>
      </c>
    </row>
    <row r="1198" spans="1:1" x14ac:dyDescent="0.25">
      <c r="A1198" s="9">
        <f t="shared" si="42"/>
        <v>0</v>
      </c>
    </row>
    <row r="1199" spans="1:1" x14ac:dyDescent="0.25">
      <c r="A1199" s="9">
        <f t="shared" si="42"/>
        <v>0</v>
      </c>
    </row>
    <row r="1200" spans="1:1" x14ac:dyDescent="0.25">
      <c r="A1200" s="9">
        <f t="shared" si="42"/>
        <v>0</v>
      </c>
    </row>
    <row r="1201" spans="1:1" x14ac:dyDescent="0.25">
      <c r="A1201" s="9">
        <f t="shared" si="42"/>
        <v>0</v>
      </c>
    </row>
    <row r="1202" spans="1:1" x14ac:dyDescent="0.25">
      <c r="A1202" s="9">
        <f t="shared" si="42"/>
        <v>0</v>
      </c>
    </row>
    <row r="1203" spans="1:1" x14ac:dyDescent="0.25">
      <c r="A1203" s="9">
        <f t="shared" si="42"/>
        <v>0</v>
      </c>
    </row>
    <row r="1204" spans="1:1" x14ac:dyDescent="0.25">
      <c r="A1204" s="9">
        <f t="shared" si="42"/>
        <v>0</v>
      </c>
    </row>
    <row r="1205" spans="1:1" x14ac:dyDescent="0.25">
      <c r="A1205" s="9">
        <f t="shared" si="42"/>
        <v>0</v>
      </c>
    </row>
    <row r="1206" spans="1:1" x14ac:dyDescent="0.25">
      <c r="A1206" s="9">
        <f t="shared" si="42"/>
        <v>0</v>
      </c>
    </row>
    <row r="1207" spans="1:1" x14ac:dyDescent="0.25">
      <c r="A1207" s="9">
        <f t="shared" si="42"/>
        <v>0</v>
      </c>
    </row>
    <row r="1208" spans="1:1" x14ac:dyDescent="0.25">
      <c r="A1208" s="9">
        <f t="shared" si="42"/>
        <v>0</v>
      </c>
    </row>
    <row r="1209" spans="1:1" x14ac:dyDescent="0.25">
      <c r="A1209" s="9">
        <f t="shared" si="42"/>
        <v>0</v>
      </c>
    </row>
    <row r="1210" spans="1:1" x14ac:dyDescent="0.25">
      <c r="A1210" s="9">
        <f t="shared" si="42"/>
        <v>0</v>
      </c>
    </row>
    <row r="1211" spans="1:1" x14ac:dyDescent="0.25">
      <c r="A1211" s="9">
        <f t="shared" si="42"/>
        <v>0</v>
      </c>
    </row>
    <row r="1212" spans="1:1" x14ac:dyDescent="0.25">
      <c r="A1212" s="9">
        <f t="shared" si="42"/>
        <v>0</v>
      </c>
    </row>
    <row r="1213" spans="1:1" x14ac:dyDescent="0.25">
      <c r="A1213" s="9">
        <f t="shared" si="42"/>
        <v>0</v>
      </c>
    </row>
    <row r="1214" spans="1:1" x14ac:dyDescent="0.25">
      <c r="A1214" s="9">
        <f t="shared" si="42"/>
        <v>0</v>
      </c>
    </row>
    <row r="1215" spans="1:1" x14ac:dyDescent="0.25">
      <c r="A1215" s="9">
        <f t="shared" si="42"/>
        <v>0</v>
      </c>
    </row>
    <row r="1216" spans="1:1" x14ac:dyDescent="0.25">
      <c r="A1216" s="9">
        <f t="shared" si="42"/>
        <v>0</v>
      </c>
    </row>
    <row r="1217" spans="1:1" x14ac:dyDescent="0.25">
      <c r="A1217" s="9">
        <f t="shared" si="42"/>
        <v>0</v>
      </c>
    </row>
    <row r="1218" spans="1:1" x14ac:dyDescent="0.25">
      <c r="A1218" s="9">
        <f t="shared" si="42"/>
        <v>0</v>
      </c>
    </row>
    <row r="1219" spans="1:1" x14ac:dyDescent="0.25">
      <c r="A1219" s="9">
        <f t="shared" si="42"/>
        <v>0</v>
      </c>
    </row>
    <row r="1220" spans="1:1" x14ac:dyDescent="0.25">
      <c r="A1220" s="9">
        <f t="shared" si="42"/>
        <v>0</v>
      </c>
    </row>
    <row r="1221" spans="1:1" x14ac:dyDescent="0.25">
      <c r="A1221" s="9">
        <f t="shared" si="42"/>
        <v>0</v>
      </c>
    </row>
    <row r="1222" spans="1:1" x14ac:dyDescent="0.25">
      <c r="A1222" s="9">
        <f t="shared" si="42"/>
        <v>0</v>
      </c>
    </row>
    <row r="1223" spans="1:1" x14ac:dyDescent="0.25">
      <c r="A1223" s="9">
        <f t="shared" si="42"/>
        <v>0</v>
      </c>
    </row>
    <row r="1224" spans="1:1" x14ac:dyDescent="0.25">
      <c r="A1224" s="9">
        <f t="shared" si="42"/>
        <v>0</v>
      </c>
    </row>
    <row r="1225" spans="1:1" x14ac:dyDescent="0.25">
      <c r="A1225" s="9">
        <f t="shared" si="42"/>
        <v>0</v>
      </c>
    </row>
    <row r="1226" spans="1:1" x14ac:dyDescent="0.25">
      <c r="A1226" s="9">
        <f t="shared" si="42"/>
        <v>0</v>
      </c>
    </row>
    <row r="1227" spans="1:1" x14ac:dyDescent="0.25">
      <c r="A1227" s="9">
        <f t="shared" si="42"/>
        <v>0</v>
      </c>
    </row>
    <row r="1228" spans="1:1" x14ac:dyDescent="0.25">
      <c r="A1228" s="9">
        <f t="shared" ref="A1228:A1291" si="43">IF(G1228&gt;0,1,0)</f>
        <v>0</v>
      </c>
    </row>
    <row r="1229" spans="1:1" x14ac:dyDescent="0.25">
      <c r="A1229" s="9">
        <f t="shared" si="43"/>
        <v>0</v>
      </c>
    </row>
    <row r="1230" spans="1:1" x14ac:dyDescent="0.25">
      <c r="A1230" s="9">
        <f t="shared" si="43"/>
        <v>0</v>
      </c>
    </row>
    <row r="1231" spans="1:1" x14ac:dyDescent="0.25">
      <c r="A1231" s="9">
        <f t="shared" si="43"/>
        <v>0</v>
      </c>
    </row>
    <row r="1232" spans="1:1" x14ac:dyDescent="0.25">
      <c r="A1232" s="9">
        <f t="shared" si="43"/>
        <v>0</v>
      </c>
    </row>
    <row r="1233" spans="1:1" x14ac:dyDescent="0.25">
      <c r="A1233" s="9">
        <f t="shared" si="43"/>
        <v>0</v>
      </c>
    </row>
    <row r="1234" spans="1:1" x14ac:dyDescent="0.25">
      <c r="A1234" s="9">
        <f t="shared" si="43"/>
        <v>0</v>
      </c>
    </row>
    <row r="1235" spans="1:1" x14ac:dyDescent="0.25">
      <c r="A1235" s="9">
        <f t="shared" si="43"/>
        <v>0</v>
      </c>
    </row>
    <row r="1236" spans="1:1" x14ac:dyDescent="0.25">
      <c r="A1236" s="9">
        <f t="shared" si="43"/>
        <v>0</v>
      </c>
    </row>
    <row r="1237" spans="1:1" x14ac:dyDescent="0.25">
      <c r="A1237" s="9">
        <f t="shared" si="43"/>
        <v>0</v>
      </c>
    </row>
    <row r="1238" spans="1:1" x14ac:dyDescent="0.25">
      <c r="A1238" s="9">
        <f t="shared" si="43"/>
        <v>0</v>
      </c>
    </row>
    <row r="1239" spans="1:1" x14ac:dyDescent="0.25">
      <c r="A1239" s="9">
        <f t="shared" si="43"/>
        <v>0</v>
      </c>
    </row>
    <row r="1240" spans="1:1" x14ac:dyDescent="0.25">
      <c r="A1240" s="9">
        <f t="shared" si="43"/>
        <v>0</v>
      </c>
    </row>
    <row r="1241" spans="1:1" x14ac:dyDescent="0.25">
      <c r="A1241" s="9">
        <f t="shared" si="43"/>
        <v>0</v>
      </c>
    </row>
    <row r="1242" spans="1:1" x14ac:dyDescent="0.25">
      <c r="A1242" s="9">
        <f t="shared" si="43"/>
        <v>0</v>
      </c>
    </row>
    <row r="1243" spans="1:1" x14ac:dyDescent="0.25">
      <c r="A1243" s="9">
        <f t="shared" si="43"/>
        <v>0</v>
      </c>
    </row>
    <row r="1244" spans="1:1" x14ac:dyDescent="0.25">
      <c r="A1244" s="9">
        <f t="shared" si="43"/>
        <v>0</v>
      </c>
    </row>
    <row r="1245" spans="1:1" x14ac:dyDescent="0.25">
      <c r="A1245" s="9">
        <f t="shared" si="43"/>
        <v>0</v>
      </c>
    </row>
    <row r="1246" spans="1:1" x14ac:dyDescent="0.25">
      <c r="A1246" s="9">
        <f t="shared" si="43"/>
        <v>0</v>
      </c>
    </row>
    <row r="1247" spans="1:1" x14ac:dyDescent="0.25">
      <c r="A1247" s="9">
        <f t="shared" si="43"/>
        <v>0</v>
      </c>
    </row>
    <row r="1248" spans="1:1" x14ac:dyDescent="0.25">
      <c r="A1248" s="9">
        <f t="shared" si="43"/>
        <v>0</v>
      </c>
    </row>
    <row r="1249" spans="1:1" x14ac:dyDescent="0.25">
      <c r="A1249" s="9">
        <f t="shared" si="43"/>
        <v>0</v>
      </c>
    </row>
    <row r="1250" spans="1:1" x14ac:dyDescent="0.25">
      <c r="A1250" s="9">
        <f t="shared" si="43"/>
        <v>0</v>
      </c>
    </row>
    <row r="1251" spans="1:1" x14ac:dyDescent="0.25">
      <c r="A1251" s="9">
        <f t="shared" si="43"/>
        <v>0</v>
      </c>
    </row>
    <row r="1252" spans="1:1" x14ac:dyDescent="0.25">
      <c r="A1252" s="9">
        <f t="shared" si="43"/>
        <v>0</v>
      </c>
    </row>
    <row r="1253" spans="1:1" x14ac:dyDescent="0.25">
      <c r="A1253" s="9">
        <f t="shared" si="43"/>
        <v>0</v>
      </c>
    </row>
    <row r="1254" spans="1:1" x14ac:dyDescent="0.25">
      <c r="A1254" s="9">
        <f t="shared" si="43"/>
        <v>0</v>
      </c>
    </row>
    <row r="1255" spans="1:1" x14ac:dyDescent="0.25">
      <c r="A1255" s="9">
        <f t="shared" si="43"/>
        <v>0</v>
      </c>
    </row>
    <row r="1256" spans="1:1" x14ac:dyDescent="0.25">
      <c r="A1256" s="9">
        <f t="shared" si="43"/>
        <v>0</v>
      </c>
    </row>
    <row r="1257" spans="1:1" x14ac:dyDescent="0.25">
      <c r="A1257" s="9">
        <f t="shared" si="43"/>
        <v>0</v>
      </c>
    </row>
    <row r="1258" spans="1:1" x14ac:dyDescent="0.25">
      <c r="A1258" s="9">
        <f t="shared" si="43"/>
        <v>0</v>
      </c>
    </row>
    <row r="1259" spans="1:1" x14ac:dyDescent="0.25">
      <c r="A1259" s="9">
        <f t="shared" si="43"/>
        <v>0</v>
      </c>
    </row>
    <row r="1260" spans="1:1" x14ac:dyDescent="0.25">
      <c r="A1260" s="9">
        <f t="shared" si="43"/>
        <v>0</v>
      </c>
    </row>
    <row r="1261" spans="1:1" x14ac:dyDescent="0.25">
      <c r="A1261" s="9">
        <f t="shared" si="43"/>
        <v>0</v>
      </c>
    </row>
    <row r="1262" spans="1:1" x14ac:dyDescent="0.25">
      <c r="A1262" s="9">
        <f t="shared" si="43"/>
        <v>0</v>
      </c>
    </row>
    <row r="1263" spans="1:1" x14ac:dyDescent="0.25">
      <c r="A1263" s="9">
        <f t="shared" si="43"/>
        <v>0</v>
      </c>
    </row>
    <row r="1264" spans="1:1" x14ac:dyDescent="0.25">
      <c r="A1264" s="9">
        <f t="shared" si="43"/>
        <v>0</v>
      </c>
    </row>
    <row r="1265" spans="1:1" x14ac:dyDescent="0.25">
      <c r="A1265" s="9">
        <f t="shared" si="43"/>
        <v>0</v>
      </c>
    </row>
    <row r="1266" spans="1:1" x14ac:dyDescent="0.25">
      <c r="A1266" s="9">
        <f t="shared" si="43"/>
        <v>0</v>
      </c>
    </row>
    <row r="1267" spans="1:1" x14ac:dyDescent="0.25">
      <c r="A1267" s="9">
        <f t="shared" si="43"/>
        <v>0</v>
      </c>
    </row>
    <row r="1268" spans="1:1" x14ac:dyDescent="0.25">
      <c r="A1268" s="9">
        <f t="shared" si="43"/>
        <v>0</v>
      </c>
    </row>
    <row r="1269" spans="1:1" x14ac:dyDescent="0.25">
      <c r="A1269" s="9">
        <f t="shared" si="43"/>
        <v>0</v>
      </c>
    </row>
    <row r="1270" spans="1:1" x14ac:dyDescent="0.25">
      <c r="A1270" s="9">
        <f t="shared" si="43"/>
        <v>0</v>
      </c>
    </row>
    <row r="1271" spans="1:1" x14ac:dyDescent="0.25">
      <c r="A1271" s="9">
        <f t="shared" si="43"/>
        <v>0</v>
      </c>
    </row>
    <row r="1272" spans="1:1" x14ac:dyDescent="0.25">
      <c r="A1272" s="9">
        <f t="shared" si="43"/>
        <v>0</v>
      </c>
    </row>
    <row r="1273" spans="1:1" x14ac:dyDescent="0.25">
      <c r="A1273" s="9">
        <f t="shared" si="43"/>
        <v>0</v>
      </c>
    </row>
    <row r="1274" spans="1:1" x14ac:dyDescent="0.25">
      <c r="A1274" s="9">
        <f t="shared" si="43"/>
        <v>0</v>
      </c>
    </row>
    <row r="1275" spans="1:1" x14ac:dyDescent="0.25">
      <c r="A1275" s="9">
        <f t="shared" si="43"/>
        <v>0</v>
      </c>
    </row>
    <row r="1276" spans="1:1" x14ac:dyDescent="0.25">
      <c r="A1276" s="9">
        <f t="shared" si="43"/>
        <v>0</v>
      </c>
    </row>
    <row r="1277" spans="1:1" x14ac:dyDescent="0.25">
      <c r="A1277" s="9">
        <f t="shared" si="43"/>
        <v>0</v>
      </c>
    </row>
    <row r="1278" spans="1:1" x14ac:dyDescent="0.25">
      <c r="A1278" s="9">
        <f t="shared" si="43"/>
        <v>0</v>
      </c>
    </row>
    <row r="1279" spans="1:1" x14ac:dyDescent="0.25">
      <c r="A1279" s="9">
        <f t="shared" si="43"/>
        <v>0</v>
      </c>
    </row>
    <row r="1280" spans="1:1" x14ac:dyDescent="0.25">
      <c r="A1280" s="9">
        <f t="shared" si="43"/>
        <v>0</v>
      </c>
    </row>
    <row r="1281" spans="1:1" x14ac:dyDescent="0.25">
      <c r="A1281" s="9">
        <f t="shared" si="43"/>
        <v>0</v>
      </c>
    </row>
    <row r="1282" spans="1:1" x14ac:dyDescent="0.25">
      <c r="A1282" s="9">
        <f t="shared" si="43"/>
        <v>0</v>
      </c>
    </row>
    <row r="1283" spans="1:1" x14ac:dyDescent="0.25">
      <c r="A1283" s="9">
        <f t="shared" si="43"/>
        <v>0</v>
      </c>
    </row>
    <row r="1284" spans="1:1" x14ac:dyDescent="0.25">
      <c r="A1284" s="9">
        <f t="shared" si="43"/>
        <v>0</v>
      </c>
    </row>
    <row r="1285" spans="1:1" x14ac:dyDescent="0.25">
      <c r="A1285" s="9">
        <f t="shared" si="43"/>
        <v>0</v>
      </c>
    </row>
    <row r="1286" spans="1:1" x14ac:dyDescent="0.25">
      <c r="A1286" s="9">
        <f t="shared" si="43"/>
        <v>0</v>
      </c>
    </row>
    <row r="1287" spans="1:1" x14ac:dyDescent="0.25">
      <c r="A1287" s="9">
        <f t="shared" si="43"/>
        <v>0</v>
      </c>
    </row>
    <row r="1288" spans="1:1" x14ac:dyDescent="0.25">
      <c r="A1288" s="9">
        <f t="shared" si="43"/>
        <v>0</v>
      </c>
    </row>
    <row r="1289" spans="1:1" x14ac:dyDescent="0.25">
      <c r="A1289" s="9">
        <f t="shared" si="43"/>
        <v>0</v>
      </c>
    </row>
    <row r="1290" spans="1:1" x14ac:dyDescent="0.25">
      <c r="A1290" s="9">
        <f t="shared" si="43"/>
        <v>0</v>
      </c>
    </row>
    <row r="1291" spans="1:1" x14ac:dyDescent="0.25">
      <c r="A1291" s="9">
        <f t="shared" si="43"/>
        <v>0</v>
      </c>
    </row>
    <row r="1292" spans="1:1" x14ac:dyDescent="0.25">
      <c r="A1292" s="9">
        <f t="shared" ref="A1292:A1355" si="44">IF(G1292&gt;0,1,0)</f>
        <v>0</v>
      </c>
    </row>
    <row r="1293" spans="1:1" x14ac:dyDescent="0.25">
      <c r="A1293" s="9">
        <f t="shared" si="44"/>
        <v>0</v>
      </c>
    </row>
    <row r="1294" spans="1:1" x14ac:dyDescent="0.25">
      <c r="A1294" s="9">
        <f t="shared" si="44"/>
        <v>0</v>
      </c>
    </row>
    <row r="1295" spans="1:1" x14ac:dyDescent="0.25">
      <c r="A1295" s="9">
        <f t="shared" si="44"/>
        <v>0</v>
      </c>
    </row>
    <row r="1296" spans="1:1" x14ac:dyDescent="0.25">
      <c r="A1296" s="9">
        <f t="shared" si="44"/>
        <v>0</v>
      </c>
    </row>
    <row r="1297" spans="1:1" x14ac:dyDescent="0.25">
      <c r="A1297" s="9">
        <f t="shared" si="44"/>
        <v>0</v>
      </c>
    </row>
    <row r="1298" spans="1:1" x14ac:dyDescent="0.25">
      <c r="A1298" s="9">
        <f t="shared" si="44"/>
        <v>0</v>
      </c>
    </row>
    <row r="1299" spans="1:1" x14ac:dyDescent="0.25">
      <c r="A1299" s="9">
        <f t="shared" si="44"/>
        <v>0</v>
      </c>
    </row>
    <row r="1300" spans="1:1" x14ac:dyDescent="0.25">
      <c r="A1300" s="9">
        <f t="shared" si="44"/>
        <v>0</v>
      </c>
    </row>
    <row r="1301" spans="1:1" x14ac:dyDescent="0.25">
      <c r="A1301" s="9">
        <f t="shared" si="44"/>
        <v>0</v>
      </c>
    </row>
    <row r="1302" spans="1:1" x14ac:dyDescent="0.25">
      <c r="A1302" s="9">
        <f t="shared" si="44"/>
        <v>0</v>
      </c>
    </row>
    <row r="1303" spans="1:1" x14ac:dyDescent="0.25">
      <c r="A1303" s="9">
        <f t="shared" si="44"/>
        <v>0</v>
      </c>
    </row>
    <row r="1304" spans="1:1" x14ac:dyDescent="0.25">
      <c r="A1304" s="9">
        <f t="shared" si="44"/>
        <v>0</v>
      </c>
    </row>
    <row r="1305" spans="1:1" x14ac:dyDescent="0.25">
      <c r="A1305" s="9">
        <f t="shared" si="44"/>
        <v>0</v>
      </c>
    </row>
    <row r="1306" spans="1:1" x14ac:dyDescent="0.25">
      <c r="A1306" s="9">
        <f t="shared" si="44"/>
        <v>0</v>
      </c>
    </row>
    <row r="1307" spans="1:1" x14ac:dyDescent="0.25">
      <c r="A1307" s="9">
        <f t="shared" si="44"/>
        <v>0</v>
      </c>
    </row>
    <row r="1308" spans="1:1" x14ac:dyDescent="0.25">
      <c r="A1308" s="9">
        <f t="shared" si="44"/>
        <v>0</v>
      </c>
    </row>
    <row r="1309" spans="1:1" x14ac:dyDescent="0.25">
      <c r="A1309" s="9">
        <f t="shared" si="44"/>
        <v>0</v>
      </c>
    </row>
    <row r="1310" spans="1:1" x14ac:dyDescent="0.25">
      <c r="A1310" s="9">
        <f t="shared" si="44"/>
        <v>0</v>
      </c>
    </row>
    <row r="1311" spans="1:1" x14ac:dyDescent="0.25">
      <c r="A1311" s="9">
        <f t="shared" si="44"/>
        <v>0</v>
      </c>
    </row>
    <row r="1312" spans="1:1" x14ac:dyDescent="0.25">
      <c r="A1312" s="9">
        <f t="shared" si="44"/>
        <v>0</v>
      </c>
    </row>
    <row r="1313" spans="1:1" x14ac:dyDescent="0.25">
      <c r="A1313" s="9">
        <f t="shared" si="44"/>
        <v>0</v>
      </c>
    </row>
    <row r="1314" spans="1:1" x14ac:dyDescent="0.25">
      <c r="A1314" s="9">
        <f t="shared" si="44"/>
        <v>0</v>
      </c>
    </row>
    <row r="1315" spans="1:1" x14ac:dyDescent="0.25">
      <c r="A1315" s="9">
        <f t="shared" si="44"/>
        <v>0</v>
      </c>
    </row>
    <row r="1316" spans="1:1" x14ac:dyDescent="0.25">
      <c r="A1316" s="9">
        <f t="shared" si="44"/>
        <v>0</v>
      </c>
    </row>
    <row r="1317" spans="1:1" x14ac:dyDescent="0.25">
      <c r="A1317" s="9">
        <f t="shared" si="44"/>
        <v>0</v>
      </c>
    </row>
    <row r="1318" spans="1:1" x14ac:dyDescent="0.25">
      <c r="A1318" s="9">
        <f t="shared" si="44"/>
        <v>0</v>
      </c>
    </row>
    <row r="1319" spans="1:1" x14ac:dyDescent="0.25">
      <c r="A1319" s="9">
        <f t="shared" si="44"/>
        <v>0</v>
      </c>
    </row>
    <row r="1320" spans="1:1" x14ac:dyDescent="0.25">
      <c r="A1320" s="9">
        <f t="shared" si="44"/>
        <v>0</v>
      </c>
    </row>
    <row r="1321" spans="1:1" x14ac:dyDescent="0.25">
      <c r="A1321" s="9">
        <f t="shared" si="44"/>
        <v>0</v>
      </c>
    </row>
    <row r="1322" spans="1:1" x14ac:dyDescent="0.25">
      <c r="A1322" s="9">
        <f t="shared" si="44"/>
        <v>0</v>
      </c>
    </row>
    <row r="1323" spans="1:1" x14ac:dyDescent="0.25">
      <c r="A1323" s="9">
        <f t="shared" si="44"/>
        <v>0</v>
      </c>
    </row>
    <row r="1324" spans="1:1" x14ac:dyDescent="0.25">
      <c r="A1324" s="9">
        <f t="shared" si="44"/>
        <v>0</v>
      </c>
    </row>
    <row r="1325" spans="1:1" x14ac:dyDescent="0.25">
      <c r="A1325" s="9">
        <f t="shared" si="44"/>
        <v>0</v>
      </c>
    </row>
    <row r="1326" spans="1:1" x14ac:dyDescent="0.25">
      <c r="A1326" s="9">
        <f t="shared" si="44"/>
        <v>0</v>
      </c>
    </row>
    <row r="1327" spans="1:1" x14ac:dyDescent="0.25">
      <c r="A1327" s="9">
        <f t="shared" si="44"/>
        <v>0</v>
      </c>
    </row>
    <row r="1328" spans="1:1" x14ac:dyDescent="0.25">
      <c r="A1328" s="9">
        <f t="shared" si="44"/>
        <v>0</v>
      </c>
    </row>
    <row r="1329" spans="1:1" x14ac:dyDescent="0.25">
      <c r="A1329" s="9">
        <f t="shared" si="44"/>
        <v>0</v>
      </c>
    </row>
    <row r="1330" spans="1:1" x14ac:dyDescent="0.25">
      <c r="A1330" s="9">
        <f t="shared" si="44"/>
        <v>0</v>
      </c>
    </row>
    <row r="1331" spans="1:1" x14ac:dyDescent="0.25">
      <c r="A1331" s="9">
        <f t="shared" si="44"/>
        <v>0</v>
      </c>
    </row>
    <row r="1332" spans="1:1" x14ac:dyDescent="0.25">
      <c r="A1332" s="9">
        <f t="shared" si="44"/>
        <v>0</v>
      </c>
    </row>
    <row r="1333" spans="1:1" x14ac:dyDescent="0.25">
      <c r="A1333" s="9">
        <f t="shared" si="44"/>
        <v>0</v>
      </c>
    </row>
    <row r="1334" spans="1:1" x14ac:dyDescent="0.25">
      <c r="A1334" s="9">
        <f t="shared" si="44"/>
        <v>0</v>
      </c>
    </row>
    <row r="1335" spans="1:1" x14ac:dyDescent="0.25">
      <c r="A1335" s="9">
        <f t="shared" si="44"/>
        <v>0</v>
      </c>
    </row>
    <row r="1336" spans="1:1" x14ac:dyDescent="0.25">
      <c r="A1336" s="9">
        <f t="shared" si="44"/>
        <v>0</v>
      </c>
    </row>
    <row r="1337" spans="1:1" x14ac:dyDescent="0.25">
      <c r="A1337" s="9">
        <f t="shared" si="44"/>
        <v>0</v>
      </c>
    </row>
    <row r="1338" spans="1:1" x14ac:dyDescent="0.25">
      <c r="A1338" s="9">
        <f t="shared" si="44"/>
        <v>0</v>
      </c>
    </row>
    <row r="1339" spans="1:1" x14ac:dyDescent="0.25">
      <c r="A1339" s="9">
        <f t="shared" si="44"/>
        <v>0</v>
      </c>
    </row>
    <row r="1340" spans="1:1" x14ac:dyDescent="0.25">
      <c r="A1340" s="9">
        <f t="shared" si="44"/>
        <v>0</v>
      </c>
    </row>
    <row r="1341" spans="1:1" x14ac:dyDescent="0.25">
      <c r="A1341" s="9">
        <f t="shared" si="44"/>
        <v>0</v>
      </c>
    </row>
    <row r="1342" spans="1:1" x14ac:dyDescent="0.25">
      <c r="A1342" s="9">
        <f t="shared" si="44"/>
        <v>0</v>
      </c>
    </row>
    <row r="1343" spans="1:1" x14ac:dyDescent="0.25">
      <c r="A1343" s="9">
        <f t="shared" si="44"/>
        <v>0</v>
      </c>
    </row>
    <row r="1344" spans="1:1" x14ac:dyDescent="0.25">
      <c r="A1344" s="9">
        <f t="shared" si="44"/>
        <v>0</v>
      </c>
    </row>
    <row r="1345" spans="1:1" x14ac:dyDescent="0.25">
      <c r="A1345" s="9">
        <f t="shared" si="44"/>
        <v>0</v>
      </c>
    </row>
    <row r="1346" spans="1:1" x14ac:dyDescent="0.25">
      <c r="A1346" s="9">
        <f t="shared" si="44"/>
        <v>0</v>
      </c>
    </row>
    <row r="1347" spans="1:1" x14ac:dyDescent="0.25">
      <c r="A1347" s="9">
        <f t="shared" si="44"/>
        <v>0</v>
      </c>
    </row>
    <row r="1348" spans="1:1" x14ac:dyDescent="0.25">
      <c r="A1348" s="9">
        <f t="shared" si="44"/>
        <v>0</v>
      </c>
    </row>
    <row r="1349" spans="1:1" x14ac:dyDescent="0.25">
      <c r="A1349" s="9">
        <f t="shared" si="44"/>
        <v>0</v>
      </c>
    </row>
    <row r="1350" spans="1:1" x14ac:dyDescent="0.25">
      <c r="A1350" s="9">
        <f t="shared" si="44"/>
        <v>0</v>
      </c>
    </row>
    <row r="1351" spans="1:1" x14ac:dyDescent="0.25">
      <c r="A1351" s="9">
        <f t="shared" si="44"/>
        <v>0</v>
      </c>
    </row>
    <row r="1352" spans="1:1" x14ac:dyDescent="0.25">
      <c r="A1352" s="9">
        <f t="shared" si="44"/>
        <v>0</v>
      </c>
    </row>
    <row r="1353" spans="1:1" x14ac:dyDescent="0.25">
      <c r="A1353" s="9">
        <f t="shared" si="44"/>
        <v>0</v>
      </c>
    </row>
    <row r="1354" spans="1:1" x14ac:dyDescent="0.25">
      <c r="A1354" s="9">
        <f t="shared" si="44"/>
        <v>0</v>
      </c>
    </row>
    <row r="1355" spans="1:1" x14ac:dyDescent="0.25">
      <c r="A1355" s="9">
        <f t="shared" si="44"/>
        <v>0</v>
      </c>
    </row>
    <row r="1356" spans="1:1" x14ac:dyDescent="0.25">
      <c r="A1356" s="9">
        <f t="shared" ref="A1356:A1419" si="45">IF(G1356&gt;0,1,0)</f>
        <v>0</v>
      </c>
    </row>
    <row r="1357" spans="1:1" x14ac:dyDescent="0.25">
      <c r="A1357" s="9">
        <f t="shared" si="45"/>
        <v>0</v>
      </c>
    </row>
    <row r="1358" spans="1:1" x14ac:dyDescent="0.25">
      <c r="A1358" s="9">
        <f t="shared" si="45"/>
        <v>0</v>
      </c>
    </row>
    <row r="1359" spans="1:1" x14ac:dyDescent="0.25">
      <c r="A1359" s="9">
        <f t="shared" si="45"/>
        <v>0</v>
      </c>
    </row>
    <row r="1360" spans="1:1" x14ac:dyDescent="0.25">
      <c r="A1360" s="9">
        <f t="shared" si="45"/>
        <v>0</v>
      </c>
    </row>
    <row r="1361" spans="1:1" x14ac:dyDescent="0.25">
      <c r="A1361" s="9">
        <f t="shared" si="45"/>
        <v>0</v>
      </c>
    </row>
    <row r="1362" spans="1:1" x14ac:dyDescent="0.25">
      <c r="A1362" s="9">
        <f t="shared" si="45"/>
        <v>0</v>
      </c>
    </row>
    <row r="1363" spans="1:1" x14ac:dyDescent="0.25">
      <c r="A1363" s="9">
        <f t="shared" si="45"/>
        <v>0</v>
      </c>
    </row>
    <row r="1364" spans="1:1" x14ac:dyDescent="0.25">
      <c r="A1364" s="9">
        <f t="shared" si="45"/>
        <v>0</v>
      </c>
    </row>
    <row r="1365" spans="1:1" x14ac:dyDescent="0.25">
      <c r="A1365" s="9">
        <f t="shared" si="45"/>
        <v>0</v>
      </c>
    </row>
    <row r="1366" spans="1:1" x14ac:dyDescent="0.25">
      <c r="A1366" s="9">
        <f t="shared" si="45"/>
        <v>0</v>
      </c>
    </row>
    <row r="1367" spans="1:1" x14ac:dyDescent="0.25">
      <c r="A1367" s="9">
        <f t="shared" si="45"/>
        <v>0</v>
      </c>
    </row>
    <row r="1368" spans="1:1" x14ac:dyDescent="0.25">
      <c r="A1368" s="9">
        <f t="shared" si="45"/>
        <v>0</v>
      </c>
    </row>
    <row r="1369" spans="1:1" x14ac:dyDescent="0.25">
      <c r="A1369" s="9">
        <f t="shared" si="45"/>
        <v>0</v>
      </c>
    </row>
    <row r="1370" spans="1:1" x14ac:dyDescent="0.25">
      <c r="A1370" s="9">
        <f t="shared" si="45"/>
        <v>0</v>
      </c>
    </row>
    <row r="1371" spans="1:1" x14ac:dyDescent="0.25">
      <c r="A1371" s="9">
        <f t="shared" si="45"/>
        <v>0</v>
      </c>
    </row>
    <row r="1372" spans="1:1" x14ac:dyDescent="0.25">
      <c r="A1372" s="9">
        <f t="shared" si="45"/>
        <v>0</v>
      </c>
    </row>
    <row r="1373" spans="1:1" x14ac:dyDescent="0.25">
      <c r="A1373" s="9">
        <f t="shared" si="45"/>
        <v>0</v>
      </c>
    </row>
    <row r="1374" spans="1:1" x14ac:dyDescent="0.25">
      <c r="A1374" s="9">
        <f t="shared" si="45"/>
        <v>0</v>
      </c>
    </row>
    <row r="1375" spans="1:1" x14ac:dyDescent="0.25">
      <c r="A1375" s="9">
        <f t="shared" si="45"/>
        <v>0</v>
      </c>
    </row>
    <row r="1376" spans="1:1" x14ac:dyDescent="0.25">
      <c r="A1376" s="9">
        <f t="shared" si="45"/>
        <v>0</v>
      </c>
    </row>
    <row r="1377" spans="1:1" x14ac:dyDescent="0.25">
      <c r="A1377" s="9">
        <f t="shared" si="45"/>
        <v>0</v>
      </c>
    </row>
    <row r="1378" spans="1:1" x14ac:dyDescent="0.25">
      <c r="A1378" s="9">
        <f t="shared" si="45"/>
        <v>0</v>
      </c>
    </row>
    <row r="1379" spans="1:1" x14ac:dyDescent="0.25">
      <c r="A1379" s="9">
        <f t="shared" si="45"/>
        <v>0</v>
      </c>
    </row>
    <row r="1380" spans="1:1" x14ac:dyDescent="0.25">
      <c r="A1380" s="9">
        <f t="shared" si="45"/>
        <v>0</v>
      </c>
    </row>
    <row r="1381" spans="1:1" x14ac:dyDescent="0.25">
      <c r="A1381" s="9">
        <f t="shared" si="45"/>
        <v>0</v>
      </c>
    </row>
    <row r="1382" spans="1:1" x14ac:dyDescent="0.25">
      <c r="A1382" s="9">
        <f t="shared" si="45"/>
        <v>0</v>
      </c>
    </row>
    <row r="1383" spans="1:1" x14ac:dyDescent="0.25">
      <c r="A1383" s="9">
        <f t="shared" si="45"/>
        <v>0</v>
      </c>
    </row>
    <row r="1384" spans="1:1" x14ac:dyDescent="0.25">
      <c r="A1384" s="9">
        <f t="shared" si="45"/>
        <v>0</v>
      </c>
    </row>
    <row r="1385" spans="1:1" x14ac:dyDescent="0.25">
      <c r="A1385" s="9">
        <f t="shared" si="45"/>
        <v>0</v>
      </c>
    </row>
    <row r="1386" spans="1:1" x14ac:dyDescent="0.25">
      <c r="A1386" s="9">
        <f t="shared" si="45"/>
        <v>0</v>
      </c>
    </row>
    <row r="1387" spans="1:1" x14ac:dyDescent="0.25">
      <c r="A1387" s="9">
        <f t="shared" si="45"/>
        <v>0</v>
      </c>
    </row>
    <row r="1388" spans="1:1" x14ac:dyDescent="0.25">
      <c r="A1388" s="9">
        <f t="shared" si="45"/>
        <v>0</v>
      </c>
    </row>
    <row r="1389" spans="1:1" x14ac:dyDescent="0.25">
      <c r="A1389" s="9">
        <f t="shared" si="45"/>
        <v>0</v>
      </c>
    </row>
    <row r="1390" spans="1:1" x14ac:dyDescent="0.25">
      <c r="A1390" s="9">
        <f t="shared" si="45"/>
        <v>0</v>
      </c>
    </row>
    <row r="1391" spans="1:1" x14ac:dyDescent="0.25">
      <c r="A1391" s="9">
        <f t="shared" si="45"/>
        <v>0</v>
      </c>
    </row>
    <row r="1392" spans="1:1" x14ac:dyDescent="0.25">
      <c r="A1392" s="9">
        <f t="shared" si="45"/>
        <v>0</v>
      </c>
    </row>
    <row r="1393" spans="1:1" x14ac:dyDescent="0.25">
      <c r="A1393" s="9">
        <f t="shared" si="45"/>
        <v>0</v>
      </c>
    </row>
    <row r="1394" spans="1:1" x14ac:dyDescent="0.25">
      <c r="A1394" s="9">
        <f t="shared" si="45"/>
        <v>0</v>
      </c>
    </row>
    <row r="1395" spans="1:1" x14ac:dyDescent="0.25">
      <c r="A1395" s="9">
        <f t="shared" si="45"/>
        <v>0</v>
      </c>
    </row>
    <row r="1396" spans="1:1" x14ac:dyDescent="0.25">
      <c r="A1396" s="9">
        <f t="shared" si="45"/>
        <v>0</v>
      </c>
    </row>
    <row r="1397" spans="1:1" x14ac:dyDescent="0.25">
      <c r="A1397" s="9">
        <f t="shared" si="45"/>
        <v>0</v>
      </c>
    </row>
    <row r="1398" spans="1:1" x14ac:dyDescent="0.25">
      <c r="A1398" s="9">
        <f t="shared" si="45"/>
        <v>0</v>
      </c>
    </row>
    <row r="1399" spans="1:1" x14ac:dyDescent="0.25">
      <c r="A1399" s="9">
        <f t="shared" si="45"/>
        <v>0</v>
      </c>
    </row>
    <row r="1400" spans="1:1" x14ac:dyDescent="0.25">
      <c r="A1400" s="9">
        <f t="shared" si="45"/>
        <v>0</v>
      </c>
    </row>
    <row r="1401" spans="1:1" x14ac:dyDescent="0.25">
      <c r="A1401" s="9">
        <f t="shared" si="45"/>
        <v>0</v>
      </c>
    </row>
    <row r="1402" spans="1:1" x14ac:dyDescent="0.25">
      <c r="A1402" s="9">
        <f t="shared" si="45"/>
        <v>0</v>
      </c>
    </row>
    <row r="1403" spans="1:1" x14ac:dyDescent="0.25">
      <c r="A1403" s="9">
        <f t="shared" si="45"/>
        <v>0</v>
      </c>
    </row>
    <row r="1404" spans="1:1" x14ac:dyDescent="0.25">
      <c r="A1404" s="9">
        <f t="shared" si="45"/>
        <v>0</v>
      </c>
    </row>
    <row r="1405" spans="1:1" x14ac:dyDescent="0.25">
      <c r="A1405" s="9">
        <f t="shared" si="45"/>
        <v>0</v>
      </c>
    </row>
    <row r="1406" spans="1:1" x14ac:dyDescent="0.25">
      <c r="A1406" s="9">
        <f t="shared" si="45"/>
        <v>0</v>
      </c>
    </row>
    <row r="1407" spans="1:1" x14ac:dyDescent="0.25">
      <c r="A1407" s="9">
        <f t="shared" si="45"/>
        <v>0</v>
      </c>
    </row>
    <row r="1408" spans="1:1" x14ac:dyDescent="0.25">
      <c r="A1408" s="9">
        <f t="shared" si="45"/>
        <v>0</v>
      </c>
    </row>
    <row r="1409" spans="1:1" x14ac:dyDescent="0.25">
      <c r="A1409" s="9">
        <f t="shared" si="45"/>
        <v>0</v>
      </c>
    </row>
    <row r="1410" spans="1:1" x14ac:dyDescent="0.25">
      <c r="A1410" s="9">
        <f t="shared" si="45"/>
        <v>0</v>
      </c>
    </row>
    <row r="1411" spans="1:1" x14ac:dyDescent="0.25">
      <c r="A1411" s="9">
        <f t="shared" si="45"/>
        <v>0</v>
      </c>
    </row>
    <row r="1412" spans="1:1" x14ac:dyDescent="0.25">
      <c r="A1412" s="9">
        <f t="shared" si="45"/>
        <v>0</v>
      </c>
    </row>
    <row r="1413" spans="1:1" x14ac:dyDescent="0.25">
      <c r="A1413" s="9">
        <f t="shared" si="45"/>
        <v>0</v>
      </c>
    </row>
    <row r="1414" spans="1:1" x14ac:dyDescent="0.25">
      <c r="A1414" s="9">
        <f t="shared" si="45"/>
        <v>0</v>
      </c>
    </row>
    <row r="1415" spans="1:1" x14ac:dyDescent="0.25">
      <c r="A1415" s="9">
        <f t="shared" si="45"/>
        <v>0</v>
      </c>
    </row>
    <row r="1416" spans="1:1" x14ac:dyDescent="0.25">
      <c r="A1416" s="9">
        <f t="shared" si="45"/>
        <v>0</v>
      </c>
    </row>
    <row r="1417" spans="1:1" x14ac:dyDescent="0.25">
      <c r="A1417" s="9">
        <f t="shared" si="45"/>
        <v>0</v>
      </c>
    </row>
    <row r="1418" spans="1:1" x14ac:dyDescent="0.25">
      <c r="A1418" s="9">
        <f t="shared" si="45"/>
        <v>0</v>
      </c>
    </row>
    <row r="1419" spans="1:1" x14ac:dyDescent="0.25">
      <c r="A1419" s="9">
        <f t="shared" si="45"/>
        <v>0</v>
      </c>
    </row>
    <row r="1420" spans="1:1" x14ac:dyDescent="0.25">
      <c r="A1420" s="9">
        <f t="shared" ref="A1420:A1483" si="46">IF(G1420&gt;0,1,0)</f>
        <v>0</v>
      </c>
    </row>
    <row r="1421" spans="1:1" x14ac:dyDescent="0.25">
      <c r="A1421" s="9">
        <f t="shared" si="46"/>
        <v>0</v>
      </c>
    </row>
    <row r="1422" spans="1:1" x14ac:dyDescent="0.25">
      <c r="A1422" s="9">
        <f t="shared" si="46"/>
        <v>0</v>
      </c>
    </row>
    <row r="1423" spans="1:1" x14ac:dyDescent="0.25">
      <c r="A1423" s="9">
        <f t="shared" si="46"/>
        <v>0</v>
      </c>
    </row>
    <row r="1424" spans="1:1" x14ac:dyDescent="0.25">
      <c r="A1424" s="9">
        <f t="shared" si="46"/>
        <v>0</v>
      </c>
    </row>
    <row r="1425" spans="1:1" x14ac:dyDescent="0.25">
      <c r="A1425" s="9">
        <f t="shared" si="46"/>
        <v>0</v>
      </c>
    </row>
    <row r="1426" spans="1:1" x14ac:dyDescent="0.25">
      <c r="A1426" s="9">
        <f t="shared" si="46"/>
        <v>0</v>
      </c>
    </row>
    <row r="1427" spans="1:1" x14ac:dyDescent="0.25">
      <c r="A1427" s="9">
        <f t="shared" si="46"/>
        <v>0</v>
      </c>
    </row>
    <row r="1428" spans="1:1" x14ac:dyDescent="0.25">
      <c r="A1428" s="9">
        <f t="shared" si="46"/>
        <v>0</v>
      </c>
    </row>
    <row r="1429" spans="1:1" x14ac:dyDescent="0.25">
      <c r="A1429" s="9">
        <f t="shared" si="46"/>
        <v>0</v>
      </c>
    </row>
    <row r="1430" spans="1:1" x14ac:dyDescent="0.25">
      <c r="A1430" s="9">
        <f t="shared" si="46"/>
        <v>0</v>
      </c>
    </row>
    <row r="1431" spans="1:1" x14ac:dyDescent="0.25">
      <c r="A1431" s="9">
        <f t="shared" si="46"/>
        <v>0</v>
      </c>
    </row>
    <row r="1432" spans="1:1" x14ac:dyDescent="0.25">
      <c r="A1432" s="9">
        <f t="shared" si="46"/>
        <v>0</v>
      </c>
    </row>
    <row r="1433" spans="1:1" x14ac:dyDescent="0.25">
      <c r="A1433" s="9">
        <f t="shared" si="46"/>
        <v>0</v>
      </c>
    </row>
    <row r="1434" spans="1:1" x14ac:dyDescent="0.25">
      <c r="A1434" s="9">
        <f t="shared" si="46"/>
        <v>0</v>
      </c>
    </row>
    <row r="1435" spans="1:1" x14ac:dyDescent="0.25">
      <c r="A1435" s="9">
        <f t="shared" si="46"/>
        <v>0</v>
      </c>
    </row>
    <row r="1436" spans="1:1" x14ac:dyDescent="0.25">
      <c r="A1436" s="9">
        <f t="shared" si="46"/>
        <v>0</v>
      </c>
    </row>
    <row r="1437" spans="1:1" x14ac:dyDescent="0.25">
      <c r="A1437" s="9">
        <f t="shared" si="46"/>
        <v>0</v>
      </c>
    </row>
    <row r="1438" spans="1:1" x14ac:dyDescent="0.25">
      <c r="A1438" s="9">
        <f t="shared" si="46"/>
        <v>0</v>
      </c>
    </row>
    <row r="1439" spans="1:1" x14ac:dyDescent="0.25">
      <c r="A1439" s="9">
        <f t="shared" si="46"/>
        <v>0</v>
      </c>
    </row>
    <row r="1440" spans="1:1" x14ac:dyDescent="0.25">
      <c r="A1440" s="9">
        <f t="shared" si="46"/>
        <v>0</v>
      </c>
    </row>
    <row r="1441" spans="1:1" x14ac:dyDescent="0.25">
      <c r="A1441" s="9">
        <f t="shared" si="46"/>
        <v>0</v>
      </c>
    </row>
    <row r="1442" spans="1:1" x14ac:dyDescent="0.25">
      <c r="A1442" s="9">
        <f t="shared" si="46"/>
        <v>0</v>
      </c>
    </row>
    <row r="1443" spans="1:1" x14ac:dyDescent="0.25">
      <c r="A1443" s="9">
        <f t="shared" si="46"/>
        <v>0</v>
      </c>
    </row>
    <row r="1444" spans="1:1" x14ac:dyDescent="0.25">
      <c r="A1444" s="9">
        <f t="shared" si="46"/>
        <v>0</v>
      </c>
    </row>
    <row r="1445" spans="1:1" x14ac:dyDescent="0.25">
      <c r="A1445" s="9">
        <f t="shared" si="46"/>
        <v>0</v>
      </c>
    </row>
    <row r="1446" spans="1:1" x14ac:dyDescent="0.25">
      <c r="A1446" s="9">
        <f t="shared" si="46"/>
        <v>0</v>
      </c>
    </row>
    <row r="1447" spans="1:1" x14ac:dyDescent="0.25">
      <c r="A1447" s="9">
        <f t="shared" si="46"/>
        <v>0</v>
      </c>
    </row>
    <row r="1448" spans="1:1" x14ac:dyDescent="0.25">
      <c r="A1448" s="9">
        <f t="shared" si="46"/>
        <v>0</v>
      </c>
    </row>
    <row r="1449" spans="1:1" x14ac:dyDescent="0.25">
      <c r="A1449" s="9">
        <f t="shared" si="46"/>
        <v>0</v>
      </c>
    </row>
    <row r="1450" spans="1:1" x14ac:dyDescent="0.25">
      <c r="A1450" s="9">
        <f t="shared" si="46"/>
        <v>0</v>
      </c>
    </row>
    <row r="1451" spans="1:1" x14ac:dyDescent="0.25">
      <c r="A1451" s="9">
        <f t="shared" si="46"/>
        <v>0</v>
      </c>
    </row>
    <row r="1452" spans="1:1" x14ac:dyDescent="0.25">
      <c r="A1452" s="9">
        <f t="shared" si="46"/>
        <v>0</v>
      </c>
    </row>
    <row r="1453" spans="1:1" x14ac:dyDescent="0.25">
      <c r="A1453" s="9">
        <f t="shared" si="46"/>
        <v>0</v>
      </c>
    </row>
    <row r="1454" spans="1:1" x14ac:dyDescent="0.25">
      <c r="A1454" s="9">
        <f t="shared" si="46"/>
        <v>0</v>
      </c>
    </row>
    <row r="1455" spans="1:1" x14ac:dyDescent="0.25">
      <c r="A1455" s="9">
        <f t="shared" si="46"/>
        <v>0</v>
      </c>
    </row>
    <row r="1456" spans="1:1" x14ac:dyDescent="0.25">
      <c r="A1456" s="9">
        <f t="shared" si="46"/>
        <v>0</v>
      </c>
    </row>
    <row r="1457" spans="1:1" x14ac:dyDescent="0.25">
      <c r="A1457" s="9">
        <f t="shared" si="46"/>
        <v>0</v>
      </c>
    </row>
    <row r="1458" spans="1:1" x14ac:dyDescent="0.25">
      <c r="A1458" s="9">
        <f t="shared" si="46"/>
        <v>0</v>
      </c>
    </row>
    <row r="1459" spans="1:1" x14ac:dyDescent="0.25">
      <c r="A1459" s="9">
        <f t="shared" si="46"/>
        <v>0</v>
      </c>
    </row>
    <row r="1460" spans="1:1" x14ac:dyDescent="0.25">
      <c r="A1460" s="9">
        <f t="shared" si="46"/>
        <v>0</v>
      </c>
    </row>
    <row r="1461" spans="1:1" x14ac:dyDescent="0.25">
      <c r="A1461" s="9">
        <f t="shared" si="46"/>
        <v>0</v>
      </c>
    </row>
    <row r="1462" spans="1:1" x14ac:dyDescent="0.25">
      <c r="A1462" s="9">
        <f t="shared" si="46"/>
        <v>0</v>
      </c>
    </row>
    <row r="1463" spans="1:1" x14ac:dyDescent="0.25">
      <c r="A1463" s="9">
        <f t="shared" si="46"/>
        <v>0</v>
      </c>
    </row>
    <row r="1464" spans="1:1" x14ac:dyDescent="0.25">
      <c r="A1464" s="9">
        <f t="shared" si="46"/>
        <v>0</v>
      </c>
    </row>
    <row r="1465" spans="1:1" x14ac:dyDescent="0.25">
      <c r="A1465" s="9">
        <f t="shared" si="46"/>
        <v>0</v>
      </c>
    </row>
    <row r="1466" spans="1:1" x14ac:dyDescent="0.25">
      <c r="A1466" s="9">
        <f t="shared" si="46"/>
        <v>0</v>
      </c>
    </row>
    <row r="1467" spans="1:1" x14ac:dyDescent="0.25">
      <c r="A1467" s="9">
        <f t="shared" si="46"/>
        <v>0</v>
      </c>
    </row>
    <row r="1468" spans="1:1" x14ac:dyDescent="0.25">
      <c r="A1468" s="9">
        <f t="shared" si="46"/>
        <v>0</v>
      </c>
    </row>
    <row r="1469" spans="1:1" x14ac:dyDescent="0.25">
      <c r="A1469" s="9">
        <f t="shared" si="46"/>
        <v>0</v>
      </c>
    </row>
    <row r="1470" spans="1:1" x14ac:dyDescent="0.25">
      <c r="A1470" s="9">
        <f t="shared" si="46"/>
        <v>0</v>
      </c>
    </row>
    <row r="1471" spans="1:1" x14ac:dyDescent="0.25">
      <c r="A1471" s="9">
        <f t="shared" si="46"/>
        <v>0</v>
      </c>
    </row>
    <row r="1472" spans="1:1" x14ac:dyDescent="0.25">
      <c r="A1472" s="9">
        <f t="shared" si="46"/>
        <v>0</v>
      </c>
    </row>
    <row r="1473" spans="1:1" x14ac:dyDescent="0.25">
      <c r="A1473" s="9">
        <f t="shared" si="46"/>
        <v>0</v>
      </c>
    </row>
    <row r="1474" spans="1:1" x14ac:dyDescent="0.25">
      <c r="A1474" s="9">
        <f t="shared" si="46"/>
        <v>0</v>
      </c>
    </row>
    <row r="1475" spans="1:1" x14ac:dyDescent="0.25">
      <c r="A1475" s="9">
        <f t="shared" si="46"/>
        <v>0</v>
      </c>
    </row>
    <row r="1476" spans="1:1" x14ac:dyDescent="0.25">
      <c r="A1476" s="9">
        <f t="shared" si="46"/>
        <v>0</v>
      </c>
    </row>
    <row r="1477" spans="1:1" x14ac:dyDescent="0.25">
      <c r="A1477" s="9">
        <f t="shared" si="46"/>
        <v>0</v>
      </c>
    </row>
    <row r="1478" spans="1:1" x14ac:dyDescent="0.25">
      <c r="A1478" s="9">
        <f t="shared" si="46"/>
        <v>0</v>
      </c>
    </row>
    <row r="1479" spans="1:1" x14ac:dyDescent="0.25">
      <c r="A1479" s="9">
        <f t="shared" si="46"/>
        <v>0</v>
      </c>
    </row>
    <row r="1480" spans="1:1" x14ac:dyDescent="0.25">
      <c r="A1480" s="9">
        <f t="shared" si="46"/>
        <v>0</v>
      </c>
    </row>
    <row r="1481" spans="1:1" x14ac:dyDescent="0.25">
      <c r="A1481" s="9">
        <f t="shared" si="46"/>
        <v>0</v>
      </c>
    </row>
    <row r="1482" spans="1:1" x14ac:dyDescent="0.25">
      <c r="A1482" s="9">
        <f t="shared" si="46"/>
        <v>0</v>
      </c>
    </row>
    <row r="1483" spans="1:1" x14ac:dyDescent="0.25">
      <c r="A1483" s="9">
        <f t="shared" si="46"/>
        <v>0</v>
      </c>
    </row>
    <row r="1484" spans="1:1" x14ac:dyDescent="0.25">
      <c r="A1484" s="9">
        <f t="shared" ref="A1484:A1547" si="47">IF(G1484&gt;0,1,0)</f>
        <v>0</v>
      </c>
    </row>
    <row r="1485" spans="1:1" x14ac:dyDescent="0.25">
      <c r="A1485" s="9">
        <f t="shared" si="47"/>
        <v>0</v>
      </c>
    </row>
    <row r="1486" spans="1:1" x14ac:dyDescent="0.25">
      <c r="A1486" s="9">
        <f t="shared" si="47"/>
        <v>0</v>
      </c>
    </row>
    <row r="1487" spans="1:1" x14ac:dyDescent="0.25">
      <c r="A1487" s="9">
        <f t="shared" si="47"/>
        <v>0</v>
      </c>
    </row>
    <row r="1488" spans="1:1" x14ac:dyDescent="0.25">
      <c r="A1488" s="9">
        <f t="shared" si="47"/>
        <v>0</v>
      </c>
    </row>
    <row r="1489" spans="1:1" x14ac:dyDescent="0.25">
      <c r="A1489" s="9">
        <f t="shared" si="47"/>
        <v>0</v>
      </c>
    </row>
    <row r="1490" spans="1:1" x14ac:dyDescent="0.25">
      <c r="A1490" s="9">
        <f t="shared" si="47"/>
        <v>0</v>
      </c>
    </row>
    <row r="1491" spans="1:1" x14ac:dyDescent="0.25">
      <c r="A1491" s="9">
        <f t="shared" si="47"/>
        <v>0</v>
      </c>
    </row>
    <row r="1492" spans="1:1" x14ac:dyDescent="0.25">
      <c r="A1492" s="9">
        <f t="shared" si="47"/>
        <v>0</v>
      </c>
    </row>
    <row r="1493" spans="1:1" x14ac:dyDescent="0.25">
      <c r="A1493" s="9">
        <f t="shared" si="47"/>
        <v>0</v>
      </c>
    </row>
    <row r="1494" spans="1:1" x14ac:dyDescent="0.25">
      <c r="A1494" s="9">
        <f t="shared" si="47"/>
        <v>0</v>
      </c>
    </row>
    <row r="1495" spans="1:1" x14ac:dyDescent="0.25">
      <c r="A1495" s="9">
        <f t="shared" si="47"/>
        <v>0</v>
      </c>
    </row>
    <row r="1496" spans="1:1" x14ac:dyDescent="0.25">
      <c r="A1496" s="9">
        <f t="shared" si="47"/>
        <v>0</v>
      </c>
    </row>
    <row r="1497" spans="1:1" x14ac:dyDescent="0.25">
      <c r="A1497" s="9">
        <f t="shared" si="47"/>
        <v>0</v>
      </c>
    </row>
    <row r="1498" spans="1:1" x14ac:dyDescent="0.25">
      <c r="A1498" s="9">
        <f t="shared" si="47"/>
        <v>0</v>
      </c>
    </row>
    <row r="1499" spans="1:1" x14ac:dyDescent="0.25">
      <c r="A1499" s="9">
        <f t="shared" si="47"/>
        <v>0</v>
      </c>
    </row>
    <row r="1500" spans="1:1" x14ac:dyDescent="0.25">
      <c r="A1500" s="9">
        <f t="shared" si="47"/>
        <v>0</v>
      </c>
    </row>
    <row r="1501" spans="1:1" x14ac:dyDescent="0.25">
      <c r="A1501" s="9">
        <f t="shared" si="47"/>
        <v>0</v>
      </c>
    </row>
    <row r="1502" spans="1:1" x14ac:dyDescent="0.25">
      <c r="A1502" s="9">
        <f t="shared" si="47"/>
        <v>0</v>
      </c>
    </row>
    <row r="1503" spans="1:1" x14ac:dyDescent="0.25">
      <c r="A1503" s="9">
        <f t="shared" si="47"/>
        <v>0</v>
      </c>
    </row>
    <row r="1504" spans="1:1" x14ac:dyDescent="0.25">
      <c r="A1504" s="9">
        <f t="shared" si="47"/>
        <v>0</v>
      </c>
    </row>
    <row r="1505" spans="1:1" x14ac:dyDescent="0.25">
      <c r="A1505" s="9">
        <f t="shared" si="47"/>
        <v>0</v>
      </c>
    </row>
    <row r="1506" spans="1:1" x14ac:dyDescent="0.25">
      <c r="A1506" s="9">
        <f t="shared" si="47"/>
        <v>0</v>
      </c>
    </row>
    <row r="1507" spans="1:1" x14ac:dyDescent="0.25">
      <c r="A1507" s="9">
        <f t="shared" si="47"/>
        <v>0</v>
      </c>
    </row>
    <row r="1508" spans="1:1" x14ac:dyDescent="0.25">
      <c r="A1508" s="9">
        <f t="shared" si="47"/>
        <v>0</v>
      </c>
    </row>
    <row r="1509" spans="1:1" x14ac:dyDescent="0.25">
      <c r="A1509" s="9">
        <f t="shared" si="47"/>
        <v>0</v>
      </c>
    </row>
    <row r="1510" spans="1:1" x14ac:dyDescent="0.25">
      <c r="A1510" s="9">
        <f t="shared" si="47"/>
        <v>0</v>
      </c>
    </row>
    <row r="1511" spans="1:1" x14ac:dyDescent="0.25">
      <c r="A1511" s="9">
        <f t="shared" si="47"/>
        <v>0</v>
      </c>
    </row>
    <row r="1512" spans="1:1" x14ac:dyDescent="0.25">
      <c r="A1512" s="9">
        <f t="shared" si="47"/>
        <v>0</v>
      </c>
    </row>
    <row r="1513" spans="1:1" x14ac:dyDescent="0.25">
      <c r="A1513" s="9">
        <f t="shared" si="47"/>
        <v>0</v>
      </c>
    </row>
    <row r="1514" spans="1:1" x14ac:dyDescent="0.25">
      <c r="A1514" s="9">
        <f t="shared" si="47"/>
        <v>0</v>
      </c>
    </row>
    <row r="1515" spans="1:1" x14ac:dyDescent="0.25">
      <c r="A1515" s="9">
        <f t="shared" si="47"/>
        <v>0</v>
      </c>
    </row>
    <row r="1516" spans="1:1" x14ac:dyDescent="0.25">
      <c r="A1516" s="9">
        <f t="shared" si="47"/>
        <v>0</v>
      </c>
    </row>
    <row r="1517" spans="1:1" x14ac:dyDescent="0.25">
      <c r="A1517" s="9">
        <f t="shared" si="47"/>
        <v>0</v>
      </c>
    </row>
    <row r="1518" spans="1:1" x14ac:dyDescent="0.25">
      <c r="A1518" s="9">
        <f t="shared" si="47"/>
        <v>0</v>
      </c>
    </row>
    <row r="1519" spans="1:1" x14ac:dyDescent="0.25">
      <c r="A1519" s="9">
        <f t="shared" si="47"/>
        <v>0</v>
      </c>
    </row>
    <row r="1520" spans="1:1" x14ac:dyDescent="0.25">
      <c r="A1520" s="9">
        <f t="shared" si="47"/>
        <v>0</v>
      </c>
    </row>
    <row r="1521" spans="1:1" x14ac:dyDescent="0.25">
      <c r="A1521" s="9">
        <f t="shared" si="47"/>
        <v>0</v>
      </c>
    </row>
    <row r="1522" spans="1:1" x14ac:dyDescent="0.25">
      <c r="A1522" s="9">
        <f t="shared" si="47"/>
        <v>0</v>
      </c>
    </row>
    <row r="1523" spans="1:1" x14ac:dyDescent="0.25">
      <c r="A1523" s="9">
        <f t="shared" si="47"/>
        <v>0</v>
      </c>
    </row>
    <row r="1524" spans="1:1" x14ac:dyDescent="0.25">
      <c r="A1524" s="9">
        <f t="shared" si="47"/>
        <v>0</v>
      </c>
    </row>
    <row r="1525" spans="1:1" x14ac:dyDescent="0.25">
      <c r="A1525" s="9">
        <f t="shared" si="47"/>
        <v>0</v>
      </c>
    </row>
    <row r="1526" spans="1:1" x14ac:dyDescent="0.25">
      <c r="A1526" s="9">
        <f t="shared" si="47"/>
        <v>0</v>
      </c>
    </row>
    <row r="1527" spans="1:1" x14ac:dyDescent="0.25">
      <c r="A1527" s="9">
        <f t="shared" si="47"/>
        <v>0</v>
      </c>
    </row>
    <row r="1528" spans="1:1" x14ac:dyDescent="0.25">
      <c r="A1528" s="9">
        <f t="shared" si="47"/>
        <v>0</v>
      </c>
    </row>
    <row r="1529" spans="1:1" x14ac:dyDescent="0.25">
      <c r="A1529" s="9">
        <f t="shared" si="47"/>
        <v>0</v>
      </c>
    </row>
    <row r="1530" spans="1:1" x14ac:dyDescent="0.25">
      <c r="A1530" s="9">
        <f t="shared" si="47"/>
        <v>0</v>
      </c>
    </row>
    <row r="1531" spans="1:1" x14ac:dyDescent="0.25">
      <c r="A1531" s="9">
        <f t="shared" si="47"/>
        <v>0</v>
      </c>
    </row>
    <row r="1532" spans="1:1" x14ac:dyDescent="0.25">
      <c r="A1532" s="9">
        <f t="shared" si="47"/>
        <v>0</v>
      </c>
    </row>
    <row r="1533" spans="1:1" x14ac:dyDescent="0.25">
      <c r="A1533" s="9">
        <f t="shared" si="47"/>
        <v>0</v>
      </c>
    </row>
    <row r="1534" spans="1:1" x14ac:dyDescent="0.25">
      <c r="A1534" s="9">
        <f t="shared" si="47"/>
        <v>0</v>
      </c>
    </row>
    <row r="1535" spans="1:1" x14ac:dyDescent="0.25">
      <c r="A1535" s="9">
        <f t="shared" si="47"/>
        <v>0</v>
      </c>
    </row>
    <row r="1536" spans="1:1" x14ac:dyDescent="0.25">
      <c r="A1536" s="9">
        <f t="shared" si="47"/>
        <v>0</v>
      </c>
    </row>
    <row r="1537" spans="1:1" x14ac:dyDescent="0.25">
      <c r="A1537" s="9">
        <f t="shared" si="47"/>
        <v>0</v>
      </c>
    </row>
    <row r="1538" spans="1:1" x14ac:dyDescent="0.25">
      <c r="A1538" s="9">
        <f t="shared" si="47"/>
        <v>0</v>
      </c>
    </row>
    <row r="1539" spans="1:1" x14ac:dyDescent="0.25">
      <c r="A1539" s="9">
        <f t="shared" si="47"/>
        <v>0</v>
      </c>
    </row>
    <row r="1540" spans="1:1" x14ac:dyDescent="0.25">
      <c r="A1540" s="9">
        <f t="shared" si="47"/>
        <v>0</v>
      </c>
    </row>
    <row r="1541" spans="1:1" x14ac:dyDescent="0.25">
      <c r="A1541" s="9">
        <f t="shared" si="47"/>
        <v>0</v>
      </c>
    </row>
    <row r="1542" spans="1:1" x14ac:dyDescent="0.25">
      <c r="A1542" s="9">
        <f t="shared" si="47"/>
        <v>0</v>
      </c>
    </row>
    <row r="1543" spans="1:1" x14ac:dyDescent="0.25">
      <c r="A1543" s="9">
        <f t="shared" si="47"/>
        <v>0</v>
      </c>
    </row>
    <row r="1544" spans="1:1" x14ac:dyDescent="0.25">
      <c r="A1544" s="9">
        <f t="shared" si="47"/>
        <v>0</v>
      </c>
    </row>
    <row r="1545" spans="1:1" x14ac:dyDescent="0.25">
      <c r="A1545" s="9">
        <f t="shared" si="47"/>
        <v>0</v>
      </c>
    </row>
    <row r="1546" spans="1:1" x14ac:dyDescent="0.25">
      <c r="A1546" s="9">
        <f t="shared" si="47"/>
        <v>0</v>
      </c>
    </row>
    <row r="1547" spans="1:1" x14ac:dyDescent="0.25">
      <c r="A1547" s="9">
        <f t="shared" si="47"/>
        <v>0</v>
      </c>
    </row>
    <row r="1548" spans="1:1" x14ac:dyDescent="0.25">
      <c r="A1548" s="9">
        <f t="shared" ref="A1548:A1611" si="48">IF(G1548&gt;0,1,0)</f>
        <v>0</v>
      </c>
    </row>
    <row r="1549" spans="1:1" x14ac:dyDescent="0.25">
      <c r="A1549" s="9">
        <f t="shared" si="48"/>
        <v>0</v>
      </c>
    </row>
    <row r="1550" spans="1:1" x14ac:dyDescent="0.25">
      <c r="A1550" s="9">
        <f t="shared" si="48"/>
        <v>0</v>
      </c>
    </row>
    <row r="1551" spans="1:1" x14ac:dyDescent="0.25">
      <c r="A1551" s="9">
        <f t="shared" si="48"/>
        <v>0</v>
      </c>
    </row>
    <row r="1552" spans="1:1" x14ac:dyDescent="0.25">
      <c r="A1552" s="9">
        <f t="shared" si="48"/>
        <v>0</v>
      </c>
    </row>
    <row r="1553" spans="1:1" x14ac:dyDescent="0.25">
      <c r="A1553" s="9">
        <f t="shared" si="48"/>
        <v>0</v>
      </c>
    </row>
    <row r="1554" spans="1:1" x14ac:dyDescent="0.25">
      <c r="A1554" s="9">
        <f t="shared" si="48"/>
        <v>0</v>
      </c>
    </row>
    <row r="1555" spans="1:1" x14ac:dyDescent="0.25">
      <c r="A1555" s="9">
        <f t="shared" si="48"/>
        <v>0</v>
      </c>
    </row>
    <row r="1556" spans="1:1" x14ac:dyDescent="0.25">
      <c r="A1556" s="9">
        <f t="shared" si="48"/>
        <v>0</v>
      </c>
    </row>
    <row r="1557" spans="1:1" x14ac:dyDescent="0.25">
      <c r="A1557" s="9">
        <f t="shared" si="48"/>
        <v>0</v>
      </c>
    </row>
    <row r="1558" spans="1:1" x14ac:dyDescent="0.25">
      <c r="A1558" s="9">
        <f t="shared" si="48"/>
        <v>0</v>
      </c>
    </row>
    <row r="1559" spans="1:1" x14ac:dyDescent="0.25">
      <c r="A1559" s="9">
        <f t="shared" si="48"/>
        <v>0</v>
      </c>
    </row>
    <row r="1560" spans="1:1" x14ac:dyDescent="0.25">
      <c r="A1560" s="9">
        <f t="shared" si="48"/>
        <v>0</v>
      </c>
    </row>
    <row r="1561" spans="1:1" x14ac:dyDescent="0.25">
      <c r="A1561" s="9">
        <f t="shared" si="48"/>
        <v>0</v>
      </c>
    </row>
    <row r="1562" spans="1:1" x14ac:dyDescent="0.25">
      <c r="A1562" s="9">
        <f t="shared" si="48"/>
        <v>0</v>
      </c>
    </row>
    <row r="1563" spans="1:1" x14ac:dyDescent="0.25">
      <c r="A1563" s="9">
        <f t="shared" si="48"/>
        <v>0</v>
      </c>
    </row>
    <row r="1564" spans="1:1" x14ac:dyDescent="0.25">
      <c r="A1564" s="9">
        <f t="shared" si="48"/>
        <v>0</v>
      </c>
    </row>
    <row r="1565" spans="1:1" x14ac:dyDescent="0.25">
      <c r="A1565" s="9">
        <f t="shared" si="48"/>
        <v>0</v>
      </c>
    </row>
    <row r="1566" spans="1:1" x14ac:dyDescent="0.25">
      <c r="A1566" s="9">
        <f t="shared" si="48"/>
        <v>0</v>
      </c>
    </row>
    <row r="1567" spans="1:1" x14ac:dyDescent="0.25">
      <c r="A1567" s="9">
        <f t="shared" si="48"/>
        <v>0</v>
      </c>
    </row>
    <row r="1568" spans="1:1" x14ac:dyDescent="0.25">
      <c r="A1568" s="9">
        <f t="shared" si="48"/>
        <v>0</v>
      </c>
    </row>
    <row r="1569" spans="1:1" x14ac:dyDescent="0.25">
      <c r="A1569" s="9">
        <f t="shared" si="48"/>
        <v>0</v>
      </c>
    </row>
    <row r="1570" spans="1:1" x14ac:dyDescent="0.25">
      <c r="A1570" s="9">
        <f t="shared" si="48"/>
        <v>0</v>
      </c>
    </row>
    <row r="1571" spans="1:1" x14ac:dyDescent="0.25">
      <c r="A1571" s="9">
        <f t="shared" si="48"/>
        <v>0</v>
      </c>
    </row>
    <row r="1572" spans="1:1" x14ac:dyDescent="0.25">
      <c r="A1572" s="9">
        <f t="shared" si="48"/>
        <v>0</v>
      </c>
    </row>
    <row r="1573" spans="1:1" x14ac:dyDescent="0.25">
      <c r="A1573" s="9">
        <f t="shared" si="48"/>
        <v>0</v>
      </c>
    </row>
    <row r="1574" spans="1:1" x14ac:dyDescent="0.25">
      <c r="A1574" s="9">
        <f t="shared" si="48"/>
        <v>0</v>
      </c>
    </row>
    <row r="1575" spans="1:1" x14ac:dyDescent="0.25">
      <c r="A1575" s="9">
        <f t="shared" si="48"/>
        <v>0</v>
      </c>
    </row>
    <row r="1576" spans="1:1" x14ac:dyDescent="0.25">
      <c r="A1576" s="9">
        <f t="shared" si="48"/>
        <v>0</v>
      </c>
    </row>
    <row r="1577" spans="1:1" x14ac:dyDescent="0.25">
      <c r="A1577" s="9">
        <f t="shared" si="48"/>
        <v>0</v>
      </c>
    </row>
    <row r="1578" spans="1:1" x14ac:dyDescent="0.25">
      <c r="A1578" s="9">
        <f t="shared" si="48"/>
        <v>0</v>
      </c>
    </row>
    <row r="1579" spans="1:1" x14ac:dyDescent="0.25">
      <c r="A1579" s="9">
        <f t="shared" si="48"/>
        <v>0</v>
      </c>
    </row>
    <row r="1580" spans="1:1" x14ac:dyDescent="0.25">
      <c r="A1580" s="9">
        <f t="shared" si="48"/>
        <v>0</v>
      </c>
    </row>
    <row r="1581" spans="1:1" x14ac:dyDescent="0.25">
      <c r="A1581" s="9">
        <f t="shared" si="48"/>
        <v>0</v>
      </c>
    </row>
    <row r="1582" spans="1:1" x14ac:dyDescent="0.25">
      <c r="A1582" s="9">
        <f t="shared" si="48"/>
        <v>0</v>
      </c>
    </row>
    <row r="1583" spans="1:1" x14ac:dyDescent="0.25">
      <c r="A1583" s="9">
        <f t="shared" si="48"/>
        <v>0</v>
      </c>
    </row>
    <row r="1584" spans="1:1" x14ac:dyDescent="0.25">
      <c r="A1584" s="9">
        <f t="shared" si="48"/>
        <v>0</v>
      </c>
    </row>
    <row r="1585" spans="1:1" x14ac:dyDescent="0.25">
      <c r="A1585" s="9">
        <f t="shared" si="48"/>
        <v>0</v>
      </c>
    </row>
    <row r="1586" spans="1:1" x14ac:dyDescent="0.25">
      <c r="A1586" s="9">
        <f t="shared" si="48"/>
        <v>0</v>
      </c>
    </row>
    <row r="1587" spans="1:1" x14ac:dyDescent="0.25">
      <c r="A1587" s="9">
        <f t="shared" si="48"/>
        <v>0</v>
      </c>
    </row>
    <row r="1588" spans="1:1" x14ac:dyDescent="0.25">
      <c r="A1588" s="9">
        <f t="shared" si="48"/>
        <v>0</v>
      </c>
    </row>
    <row r="1589" spans="1:1" x14ac:dyDescent="0.25">
      <c r="A1589" s="9">
        <f t="shared" si="48"/>
        <v>0</v>
      </c>
    </row>
    <row r="1590" spans="1:1" x14ac:dyDescent="0.25">
      <c r="A1590" s="9">
        <f t="shared" si="48"/>
        <v>0</v>
      </c>
    </row>
    <row r="1591" spans="1:1" x14ac:dyDescent="0.25">
      <c r="A1591" s="9">
        <f t="shared" si="48"/>
        <v>0</v>
      </c>
    </row>
    <row r="1592" spans="1:1" x14ac:dyDescent="0.25">
      <c r="A1592" s="9">
        <f t="shared" si="48"/>
        <v>0</v>
      </c>
    </row>
    <row r="1593" spans="1:1" x14ac:dyDescent="0.25">
      <c r="A1593" s="9">
        <f t="shared" si="48"/>
        <v>0</v>
      </c>
    </row>
    <row r="1594" spans="1:1" x14ac:dyDescent="0.25">
      <c r="A1594" s="9">
        <f t="shared" si="48"/>
        <v>0</v>
      </c>
    </row>
    <row r="1595" spans="1:1" x14ac:dyDescent="0.25">
      <c r="A1595" s="9">
        <f t="shared" si="48"/>
        <v>0</v>
      </c>
    </row>
    <row r="1596" spans="1:1" x14ac:dyDescent="0.25">
      <c r="A1596" s="9">
        <f t="shared" si="48"/>
        <v>0</v>
      </c>
    </row>
    <row r="1597" spans="1:1" x14ac:dyDescent="0.25">
      <c r="A1597" s="9">
        <f t="shared" si="48"/>
        <v>0</v>
      </c>
    </row>
    <row r="1598" spans="1:1" x14ac:dyDescent="0.25">
      <c r="A1598" s="9">
        <f t="shared" si="48"/>
        <v>0</v>
      </c>
    </row>
    <row r="1599" spans="1:1" x14ac:dyDescent="0.25">
      <c r="A1599" s="9">
        <f t="shared" si="48"/>
        <v>0</v>
      </c>
    </row>
    <row r="1600" spans="1:1" x14ac:dyDescent="0.25">
      <c r="A1600" s="9">
        <f t="shared" si="48"/>
        <v>0</v>
      </c>
    </row>
    <row r="1601" spans="1:1" x14ac:dyDescent="0.25">
      <c r="A1601" s="9">
        <f t="shared" si="48"/>
        <v>0</v>
      </c>
    </row>
    <row r="1602" spans="1:1" x14ac:dyDescent="0.25">
      <c r="A1602" s="9">
        <f t="shared" si="48"/>
        <v>0</v>
      </c>
    </row>
    <row r="1603" spans="1:1" x14ac:dyDescent="0.25">
      <c r="A1603" s="9">
        <f t="shared" si="48"/>
        <v>0</v>
      </c>
    </row>
    <row r="1604" spans="1:1" x14ac:dyDescent="0.25">
      <c r="A1604" s="9">
        <f t="shared" si="48"/>
        <v>0</v>
      </c>
    </row>
    <row r="1605" spans="1:1" x14ac:dyDescent="0.25">
      <c r="A1605" s="9">
        <f t="shared" si="48"/>
        <v>0</v>
      </c>
    </row>
    <row r="1606" spans="1:1" x14ac:dyDescent="0.25">
      <c r="A1606" s="9">
        <f t="shared" si="48"/>
        <v>0</v>
      </c>
    </row>
    <row r="1607" spans="1:1" x14ac:dyDescent="0.25">
      <c r="A1607" s="9">
        <f t="shared" si="48"/>
        <v>0</v>
      </c>
    </row>
    <row r="1608" spans="1:1" x14ac:dyDescent="0.25">
      <c r="A1608" s="9">
        <f t="shared" si="48"/>
        <v>0</v>
      </c>
    </row>
    <row r="1609" spans="1:1" x14ac:dyDescent="0.25">
      <c r="A1609" s="9">
        <f t="shared" si="48"/>
        <v>0</v>
      </c>
    </row>
    <row r="1610" spans="1:1" x14ac:dyDescent="0.25">
      <c r="A1610" s="9">
        <f t="shared" si="48"/>
        <v>0</v>
      </c>
    </row>
    <row r="1611" spans="1:1" x14ac:dyDescent="0.25">
      <c r="A1611" s="9">
        <f t="shared" si="48"/>
        <v>0</v>
      </c>
    </row>
    <row r="1612" spans="1:1" x14ac:dyDescent="0.25">
      <c r="A1612" s="9">
        <f t="shared" ref="A1612:A1675" si="49">IF(G1612&gt;0,1,0)</f>
        <v>0</v>
      </c>
    </row>
    <row r="1613" spans="1:1" x14ac:dyDescent="0.25">
      <c r="A1613" s="9">
        <f t="shared" si="49"/>
        <v>0</v>
      </c>
    </row>
    <row r="1614" spans="1:1" x14ac:dyDescent="0.25">
      <c r="A1614" s="9">
        <f t="shared" si="49"/>
        <v>0</v>
      </c>
    </row>
    <row r="1615" spans="1:1" x14ac:dyDescent="0.25">
      <c r="A1615" s="9">
        <f t="shared" si="49"/>
        <v>0</v>
      </c>
    </row>
    <row r="1616" spans="1:1" x14ac:dyDescent="0.25">
      <c r="A1616" s="9">
        <f t="shared" si="49"/>
        <v>0</v>
      </c>
    </row>
    <row r="1617" spans="1:1" x14ac:dyDescent="0.25">
      <c r="A1617" s="9">
        <f t="shared" si="49"/>
        <v>0</v>
      </c>
    </row>
    <row r="1618" spans="1:1" x14ac:dyDescent="0.25">
      <c r="A1618" s="9">
        <f t="shared" si="49"/>
        <v>0</v>
      </c>
    </row>
    <row r="1619" spans="1:1" x14ac:dyDescent="0.25">
      <c r="A1619" s="9">
        <f t="shared" si="49"/>
        <v>0</v>
      </c>
    </row>
    <row r="1620" spans="1:1" x14ac:dyDescent="0.25">
      <c r="A1620" s="9">
        <f t="shared" si="49"/>
        <v>0</v>
      </c>
    </row>
    <row r="1621" spans="1:1" x14ac:dyDescent="0.25">
      <c r="A1621" s="9">
        <f t="shared" si="49"/>
        <v>0</v>
      </c>
    </row>
    <row r="1622" spans="1:1" x14ac:dyDescent="0.25">
      <c r="A1622" s="9">
        <f t="shared" si="49"/>
        <v>0</v>
      </c>
    </row>
    <row r="1623" spans="1:1" x14ac:dyDescent="0.25">
      <c r="A1623" s="9">
        <f t="shared" si="49"/>
        <v>0</v>
      </c>
    </row>
    <row r="1624" spans="1:1" x14ac:dyDescent="0.25">
      <c r="A1624" s="9">
        <f t="shared" si="49"/>
        <v>0</v>
      </c>
    </row>
    <row r="1625" spans="1:1" x14ac:dyDescent="0.25">
      <c r="A1625" s="9">
        <f t="shared" si="49"/>
        <v>0</v>
      </c>
    </row>
    <row r="1626" spans="1:1" x14ac:dyDescent="0.25">
      <c r="A1626" s="9">
        <f t="shared" si="49"/>
        <v>0</v>
      </c>
    </row>
    <row r="1627" spans="1:1" x14ac:dyDescent="0.25">
      <c r="A1627" s="9">
        <f t="shared" si="49"/>
        <v>0</v>
      </c>
    </row>
    <row r="1628" spans="1:1" x14ac:dyDescent="0.25">
      <c r="A1628" s="9">
        <f t="shared" si="49"/>
        <v>0</v>
      </c>
    </row>
    <row r="1629" spans="1:1" x14ac:dyDescent="0.25">
      <c r="A1629" s="9">
        <f t="shared" si="49"/>
        <v>0</v>
      </c>
    </row>
    <row r="1630" spans="1:1" x14ac:dyDescent="0.25">
      <c r="A1630" s="9">
        <f t="shared" si="49"/>
        <v>0</v>
      </c>
    </row>
    <row r="1631" spans="1:1" x14ac:dyDescent="0.25">
      <c r="A1631" s="9">
        <f t="shared" si="49"/>
        <v>0</v>
      </c>
    </row>
    <row r="1632" spans="1:1" x14ac:dyDescent="0.25">
      <c r="A1632" s="9">
        <f t="shared" si="49"/>
        <v>0</v>
      </c>
    </row>
    <row r="1633" spans="1:1" x14ac:dyDescent="0.25">
      <c r="A1633" s="9">
        <f t="shared" si="49"/>
        <v>0</v>
      </c>
    </row>
    <row r="1634" spans="1:1" x14ac:dyDescent="0.25">
      <c r="A1634" s="9">
        <f t="shared" si="49"/>
        <v>0</v>
      </c>
    </row>
    <row r="1635" spans="1:1" x14ac:dyDescent="0.25">
      <c r="A1635" s="9">
        <f t="shared" si="49"/>
        <v>0</v>
      </c>
    </row>
    <row r="1636" spans="1:1" x14ac:dyDescent="0.25">
      <c r="A1636" s="9">
        <f t="shared" si="49"/>
        <v>0</v>
      </c>
    </row>
    <row r="1637" spans="1:1" x14ac:dyDescent="0.25">
      <c r="A1637" s="9">
        <f t="shared" si="49"/>
        <v>0</v>
      </c>
    </row>
    <row r="1638" spans="1:1" x14ac:dyDescent="0.25">
      <c r="A1638" s="9">
        <f t="shared" si="49"/>
        <v>0</v>
      </c>
    </row>
    <row r="1639" spans="1:1" x14ac:dyDescent="0.25">
      <c r="A1639" s="9">
        <f t="shared" si="49"/>
        <v>0</v>
      </c>
    </row>
    <row r="1640" spans="1:1" x14ac:dyDescent="0.25">
      <c r="A1640" s="9">
        <f t="shared" si="49"/>
        <v>0</v>
      </c>
    </row>
    <row r="1641" spans="1:1" x14ac:dyDescent="0.25">
      <c r="A1641" s="9">
        <f t="shared" si="49"/>
        <v>0</v>
      </c>
    </row>
    <row r="1642" spans="1:1" x14ac:dyDescent="0.25">
      <c r="A1642" s="9">
        <f t="shared" si="49"/>
        <v>0</v>
      </c>
    </row>
    <row r="1643" spans="1:1" x14ac:dyDescent="0.25">
      <c r="A1643" s="9">
        <f t="shared" si="49"/>
        <v>0</v>
      </c>
    </row>
    <row r="1644" spans="1:1" x14ac:dyDescent="0.25">
      <c r="A1644" s="9">
        <f t="shared" si="49"/>
        <v>0</v>
      </c>
    </row>
    <row r="1645" spans="1:1" x14ac:dyDescent="0.25">
      <c r="A1645" s="9">
        <f t="shared" si="49"/>
        <v>0</v>
      </c>
    </row>
    <row r="1646" spans="1:1" x14ac:dyDescent="0.25">
      <c r="A1646" s="9">
        <f t="shared" si="49"/>
        <v>0</v>
      </c>
    </row>
    <row r="1647" spans="1:1" x14ac:dyDescent="0.25">
      <c r="A1647" s="9">
        <f t="shared" si="49"/>
        <v>0</v>
      </c>
    </row>
    <row r="1648" spans="1:1" x14ac:dyDescent="0.25">
      <c r="A1648" s="9">
        <f t="shared" si="49"/>
        <v>0</v>
      </c>
    </row>
    <row r="1649" spans="1:1" x14ac:dyDescent="0.25">
      <c r="A1649" s="9">
        <f t="shared" si="49"/>
        <v>0</v>
      </c>
    </row>
    <row r="1650" spans="1:1" x14ac:dyDescent="0.25">
      <c r="A1650" s="9">
        <f t="shared" si="49"/>
        <v>0</v>
      </c>
    </row>
    <row r="1651" spans="1:1" x14ac:dyDescent="0.25">
      <c r="A1651" s="9">
        <f t="shared" si="49"/>
        <v>0</v>
      </c>
    </row>
    <row r="1652" spans="1:1" x14ac:dyDescent="0.25">
      <c r="A1652" s="9">
        <f t="shared" si="49"/>
        <v>0</v>
      </c>
    </row>
    <row r="1653" spans="1:1" x14ac:dyDescent="0.25">
      <c r="A1653" s="9">
        <f t="shared" si="49"/>
        <v>0</v>
      </c>
    </row>
    <row r="1654" spans="1:1" x14ac:dyDescent="0.25">
      <c r="A1654" s="9">
        <f t="shared" si="49"/>
        <v>0</v>
      </c>
    </row>
    <row r="1655" spans="1:1" x14ac:dyDescent="0.25">
      <c r="A1655" s="9">
        <f t="shared" si="49"/>
        <v>0</v>
      </c>
    </row>
    <row r="1656" spans="1:1" x14ac:dyDescent="0.25">
      <c r="A1656" s="9">
        <f t="shared" si="49"/>
        <v>0</v>
      </c>
    </row>
    <row r="1657" spans="1:1" x14ac:dyDescent="0.25">
      <c r="A1657" s="9">
        <f t="shared" si="49"/>
        <v>0</v>
      </c>
    </row>
    <row r="1658" spans="1:1" x14ac:dyDescent="0.25">
      <c r="A1658" s="9">
        <f t="shared" si="49"/>
        <v>0</v>
      </c>
    </row>
    <row r="1659" spans="1:1" x14ac:dyDescent="0.25">
      <c r="A1659" s="9">
        <f t="shared" si="49"/>
        <v>0</v>
      </c>
    </row>
    <row r="1660" spans="1:1" x14ac:dyDescent="0.25">
      <c r="A1660" s="9">
        <f t="shared" si="49"/>
        <v>0</v>
      </c>
    </row>
    <row r="1661" spans="1:1" x14ac:dyDescent="0.25">
      <c r="A1661" s="9">
        <f t="shared" si="49"/>
        <v>0</v>
      </c>
    </row>
    <row r="1662" spans="1:1" x14ac:dyDescent="0.25">
      <c r="A1662" s="9">
        <f t="shared" si="49"/>
        <v>0</v>
      </c>
    </row>
    <row r="1663" spans="1:1" x14ac:dyDescent="0.25">
      <c r="A1663" s="9">
        <f t="shared" si="49"/>
        <v>0</v>
      </c>
    </row>
    <row r="1664" spans="1:1" x14ac:dyDescent="0.25">
      <c r="A1664" s="9">
        <f t="shared" si="49"/>
        <v>0</v>
      </c>
    </row>
    <row r="1665" spans="1:1" x14ac:dyDescent="0.25">
      <c r="A1665" s="9">
        <f t="shared" si="49"/>
        <v>0</v>
      </c>
    </row>
    <row r="1666" spans="1:1" x14ac:dyDescent="0.25">
      <c r="A1666" s="9">
        <f t="shared" si="49"/>
        <v>0</v>
      </c>
    </row>
    <row r="1667" spans="1:1" x14ac:dyDescent="0.25">
      <c r="A1667" s="9">
        <f t="shared" si="49"/>
        <v>0</v>
      </c>
    </row>
    <row r="1668" spans="1:1" x14ac:dyDescent="0.25">
      <c r="A1668" s="9">
        <f t="shared" si="49"/>
        <v>0</v>
      </c>
    </row>
    <row r="1669" spans="1:1" x14ac:dyDescent="0.25">
      <c r="A1669" s="9">
        <f t="shared" si="49"/>
        <v>0</v>
      </c>
    </row>
    <row r="1670" spans="1:1" x14ac:dyDescent="0.25">
      <c r="A1670" s="9">
        <f t="shared" si="49"/>
        <v>0</v>
      </c>
    </row>
    <row r="1671" spans="1:1" x14ac:dyDescent="0.25">
      <c r="A1671" s="9">
        <f t="shared" si="49"/>
        <v>0</v>
      </c>
    </row>
    <row r="1672" spans="1:1" x14ac:dyDescent="0.25">
      <c r="A1672" s="9">
        <f t="shared" si="49"/>
        <v>0</v>
      </c>
    </row>
    <row r="1673" spans="1:1" x14ac:dyDescent="0.25">
      <c r="A1673" s="9">
        <f t="shared" si="49"/>
        <v>0</v>
      </c>
    </row>
    <row r="1674" spans="1:1" x14ac:dyDescent="0.25">
      <c r="A1674" s="9">
        <f t="shared" si="49"/>
        <v>0</v>
      </c>
    </row>
    <row r="1675" spans="1:1" x14ac:dyDescent="0.25">
      <c r="A1675" s="9">
        <f t="shared" si="49"/>
        <v>0</v>
      </c>
    </row>
    <row r="1676" spans="1:1" x14ac:dyDescent="0.25">
      <c r="A1676" s="9">
        <f t="shared" ref="A1676:A1739" si="50">IF(G1676&gt;0,1,0)</f>
        <v>0</v>
      </c>
    </row>
    <row r="1677" spans="1:1" x14ac:dyDescent="0.25">
      <c r="A1677" s="9">
        <f t="shared" si="50"/>
        <v>0</v>
      </c>
    </row>
    <row r="1678" spans="1:1" x14ac:dyDescent="0.25">
      <c r="A1678" s="9">
        <f t="shared" si="50"/>
        <v>0</v>
      </c>
    </row>
    <row r="1679" spans="1:1" x14ac:dyDescent="0.25">
      <c r="A1679" s="9">
        <f t="shared" si="50"/>
        <v>0</v>
      </c>
    </row>
    <row r="1680" spans="1:1" x14ac:dyDescent="0.25">
      <c r="A1680" s="9">
        <f t="shared" si="50"/>
        <v>0</v>
      </c>
    </row>
    <row r="1681" spans="1:1" x14ac:dyDescent="0.25">
      <c r="A1681" s="9">
        <f t="shared" si="50"/>
        <v>0</v>
      </c>
    </row>
    <row r="1682" spans="1:1" x14ac:dyDescent="0.25">
      <c r="A1682" s="9">
        <f t="shared" si="50"/>
        <v>0</v>
      </c>
    </row>
    <row r="1683" spans="1:1" x14ac:dyDescent="0.25">
      <c r="A1683" s="9">
        <f t="shared" si="50"/>
        <v>0</v>
      </c>
    </row>
    <row r="1684" spans="1:1" x14ac:dyDescent="0.25">
      <c r="A1684" s="9">
        <f t="shared" si="50"/>
        <v>0</v>
      </c>
    </row>
    <row r="1685" spans="1:1" x14ac:dyDescent="0.25">
      <c r="A1685" s="9">
        <f t="shared" si="50"/>
        <v>0</v>
      </c>
    </row>
    <row r="1686" spans="1:1" x14ac:dyDescent="0.25">
      <c r="A1686" s="9">
        <f t="shared" si="50"/>
        <v>0</v>
      </c>
    </row>
    <row r="1687" spans="1:1" x14ac:dyDescent="0.25">
      <c r="A1687" s="9">
        <f t="shared" si="50"/>
        <v>0</v>
      </c>
    </row>
    <row r="1688" spans="1:1" x14ac:dyDescent="0.25">
      <c r="A1688" s="9">
        <f t="shared" si="50"/>
        <v>0</v>
      </c>
    </row>
    <row r="1689" spans="1:1" x14ac:dyDescent="0.25">
      <c r="A1689" s="9">
        <f t="shared" si="50"/>
        <v>0</v>
      </c>
    </row>
    <row r="1690" spans="1:1" x14ac:dyDescent="0.25">
      <c r="A1690" s="9">
        <f t="shared" si="50"/>
        <v>0</v>
      </c>
    </row>
    <row r="1691" spans="1:1" x14ac:dyDescent="0.25">
      <c r="A1691" s="9">
        <f t="shared" si="50"/>
        <v>0</v>
      </c>
    </row>
    <row r="1692" spans="1:1" x14ac:dyDescent="0.25">
      <c r="A1692" s="9">
        <f t="shared" si="50"/>
        <v>0</v>
      </c>
    </row>
    <row r="1693" spans="1:1" x14ac:dyDescent="0.25">
      <c r="A1693" s="9">
        <f t="shared" si="50"/>
        <v>0</v>
      </c>
    </row>
    <row r="1694" spans="1:1" x14ac:dyDescent="0.25">
      <c r="A1694" s="9">
        <f t="shared" si="50"/>
        <v>0</v>
      </c>
    </row>
    <row r="1695" spans="1:1" x14ac:dyDescent="0.25">
      <c r="A1695" s="9">
        <f t="shared" si="50"/>
        <v>0</v>
      </c>
    </row>
    <row r="1696" spans="1:1" x14ac:dyDescent="0.25">
      <c r="A1696" s="9">
        <f t="shared" si="50"/>
        <v>0</v>
      </c>
    </row>
    <row r="1697" spans="1:1" x14ac:dyDescent="0.25">
      <c r="A1697" s="9">
        <f t="shared" si="50"/>
        <v>0</v>
      </c>
    </row>
    <row r="1698" spans="1:1" x14ac:dyDescent="0.25">
      <c r="A1698" s="9">
        <f t="shared" si="50"/>
        <v>0</v>
      </c>
    </row>
    <row r="1699" spans="1:1" x14ac:dyDescent="0.25">
      <c r="A1699" s="9">
        <f t="shared" si="50"/>
        <v>0</v>
      </c>
    </row>
    <row r="1700" spans="1:1" x14ac:dyDescent="0.25">
      <c r="A1700" s="9">
        <f t="shared" si="50"/>
        <v>0</v>
      </c>
    </row>
    <row r="1701" spans="1:1" x14ac:dyDescent="0.25">
      <c r="A1701" s="9">
        <f t="shared" si="50"/>
        <v>0</v>
      </c>
    </row>
    <row r="1702" spans="1:1" x14ac:dyDescent="0.25">
      <c r="A1702" s="9">
        <f t="shared" si="50"/>
        <v>0</v>
      </c>
    </row>
    <row r="1703" spans="1:1" x14ac:dyDescent="0.25">
      <c r="A1703" s="9">
        <f t="shared" si="50"/>
        <v>0</v>
      </c>
    </row>
    <row r="1704" spans="1:1" x14ac:dyDescent="0.25">
      <c r="A1704" s="9">
        <f t="shared" si="50"/>
        <v>0</v>
      </c>
    </row>
    <row r="1705" spans="1:1" x14ac:dyDescent="0.25">
      <c r="A1705" s="9">
        <f t="shared" si="50"/>
        <v>0</v>
      </c>
    </row>
    <row r="1706" spans="1:1" x14ac:dyDescent="0.25">
      <c r="A1706" s="9">
        <f t="shared" si="50"/>
        <v>0</v>
      </c>
    </row>
    <row r="1707" spans="1:1" x14ac:dyDescent="0.25">
      <c r="A1707" s="9">
        <f t="shared" si="50"/>
        <v>0</v>
      </c>
    </row>
    <row r="1708" spans="1:1" x14ac:dyDescent="0.25">
      <c r="A1708" s="9">
        <f t="shared" si="50"/>
        <v>0</v>
      </c>
    </row>
    <row r="1709" spans="1:1" x14ac:dyDescent="0.25">
      <c r="A1709" s="9">
        <f t="shared" si="50"/>
        <v>0</v>
      </c>
    </row>
    <row r="1710" spans="1:1" x14ac:dyDescent="0.25">
      <c r="A1710" s="9">
        <f t="shared" si="50"/>
        <v>0</v>
      </c>
    </row>
    <row r="1711" spans="1:1" x14ac:dyDescent="0.25">
      <c r="A1711" s="9">
        <f t="shared" si="50"/>
        <v>0</v>
      </c>
    </row>
    <row r="1712" spans="1:1" x14ac:dyDescent="0.25">
      <c r="A1712" s="9">
        <f t="shared" si="50"/>
        <v>0</v>
      </c>
    </row>
    <row r="1713" spans="1:1" x14ac:dyDescent="0.25">
      <c r="A1713" s="9">
        <f t="shared" si="50"/>
        <v>0</v>
      </c>
    </row>
    <row r="1714" spans="1:1" x14ac:dyDescent="0.25">
      <c r="A1714" s="9">
        <f t="shared" si="50"/>
        <v>0</v>
      </c>
    </row>
    <row r="1715" spans="1:1" x14ac:dyDescent="0.25">
      <c r="A1715" s="9">
        <f t="shared" si="50"/>
        <v>0</v>
      </c>
    </row>
    <row r="1716" spans="1:1" x14ac:dyDescent="0.25">
      <c r="A1716" s="9">
        <f t="shared" si="50"/>
        <v>0</v>
      </c>
    </row>
    <row r="1717" spans="1:1" x14ac:dyDescent="0.25">
      <c r="A1717" s="9">
        <f t="shared" si="50"/>
        <v>0</v>
      </c>
    </row>
    <row r="1718" spans="1:1" x14ac:dyDescent="0.25">
      <c r="A1718" s="9">
        <f t="shared" si="50"/>
        <v>0</v>
      </c>
    </row>
    <row r="1719" spans="1:1" x14ac:dyDescent="0.25">
      <c r="A1719" s="9">
        <f t="shared" si="50"/>
        <v>0</v>
      </c>
    </row>
    <row r="1720" spans="1:1" x14ac:dyDescent="0.25">
      <c r="A1720" s="9">
        <f t="shared" si="50"/>
        <v>0</v>
      </c>
    </row>
    <row r="1721" spans="1:1" x14ac:dyDescent="0.25">
      <c r="A1721" s="9">
        <f t="shared" si="50"/>
        <v>0</v>
      </c>
    </row>
    <row r="1722" spans="1:1" x14ac:dyDescent="0.25">
      <c r="A1722" s="9">
        <f t="shared" si="50"/>
        <v>0</v>
      </c>
    </row>
    <row r="1723" spans="1:1" x14ac:dyDescent="0.25">
      <c r="A1723" s="9">
        <f t="shared" si="50"/>
        <v>0</v>
      </c>
    </row>
    <row r="1724" spans="1:1" x14ac:dyDescent="0.25">
      <c r="A1724" s="9">
        <f t="shared" si="50"/>
        <v>0</v>
      </c>
    </row>
    <row r="1725" spans="1:1" x14ac:dyDescent="0.25">
      <c r="A1725" s="9">
        <f t="shared" si="50"/>
        <v>0</v>
      </c>
    </row>
    <row r="1726" spans="1:1" x14ac:dyDescent="0.25">
      <c r="A1726" s="9">
        <f t="shared" si="50"/>
        <v>0</v>
      </c>
    </row>
    <row r="1727" spans="1:1" x14ac:dyDescent="0.25">
      <c r="A1727" s="9">
        <f t="shared" si="50"/>
        <v>0</v>
      </c>
    </row>
    <row r="1728" spans="1:1" x14ac:dyDescent="0.25">
      <c r="A1728" s="9">
        <f t="shared" si="50"/>
        <v>0</v>
      </c>
    </row>
    <row r="1729" spans="1:1" x14ac:dyDescent="0.25">
      <c r="A1729" s="9">
        <f t="shared" si="50"/>
        <v>0</v>
      </c>
    </row>
    <row r="1730" spans="1:1" x14ac:dyDescent="0.25">
      <c r="A1730" s="9">
        <f t="shared" si="50"/>
        <v>0</v>
      </c>
    </row>
    <row r="1731" spans="1:1" x14ac:dyDescent="0.25">
      <c r="A1731" s="9">
        <f t="shared" si="50"/>
        <v>0</v>
      </c>
    </row>
    <row r="1732" spans="1:1" x14ac:dyDescent="0.25">
      <c r="A1732" s="9">
        <f t="shared" si="50"/>
        <v>0</v>
      </c>
    </row>
    <row r="1733" spans="1:1" x14ac:dyDescent="0.25">
      <c r="A1733" s="9">
        <f t="shared" si="50"/>
        <v>0</v>
      </c>
    </row>
    <row r="1734" spans="1:1" x14ac:dyDescent="0.25">
      <c r="A1734" s="9">
        <f t="shared" si="50"/>
        <v>0</v>
      </c>
    </row>
    <row r="1735" spans="1:1" x14ac:dyDescent="0.25">
      <c r="A1735" s="9">
        <f t="shared" si="50"/>
        <v>0</v>
      </c>
    </row>
    <row r="1736" spans="1:1" x14ac:dyDescent="0.25">
      <c r="A1736" s="9">
        <f t="shared" si="50"/>
        <v>0</v>
      </c>
    </row>
    <row r="1737" spans="1:1" x14ac:dyDescent="0.25">
      <c r="A1737" s="9">
        <f t="shared" si="50"/>
        <v>0</v>
      </c>
    </row>
    <row r="1738" spans="1:1" x14ac:dyDescent="0.25">
      <c r="A1738" s="9">
        <f t="shared" si="50"/>
        <v>0</v>
      </c>
    </row>
    <row r="1739" spans="1:1" x14ac:dyDescent="0.25">
      <c r="A1739" s="9">
        <f t="shared" si="50"/>
        <v>0</v>
      </c>
    </row>
    <row r="1740" spans="1:1" x14ac:dyDescent="0.25">
      <c r="A1740" s="9">
        <f t="shared" ref="A1740:A1803" si="51">IF(G1740&gt;0,1,0)</f>
        <v>0</v>
      </c>
    </row>
    <row r="1741" spans="1:1" x14ac:dyDescent="0.25">
      <c r="A1741" s="9">
        <f t="shared" si="51"/>
        <v>0</v>
      </c>
    </row>
    <row r="1742" spans="1:1" x14ac:dyDescent="0.25">
      <c r="A1742" s="9">
        <f t="shared" si="51"/>
        <v>0</v>
      </c>
    </row>
    <row r="1743" spans="1:1" x14ac:dyDescent="0.25">
      <c r="A1743" s="9">
        <f t="shared" si="51"/>
        <v>0</v>
      </c>
    </row>
    <row r="1744" spans="1:1" x14ac:dyDescent="0.25">
      <c r="A1744" s="9">
        <f t="shared" si="51"/>
        <v>0</v>
      </c>
    </row>
    <row r="1745" spans="1:1" x14ac:dyDescent="0.25">
      <c r="A1745" s="9">
        <f t="shared" si="51"/>
        <v>0</v>
      </c>
    </row>
    <row r="1746" spans="1:1" x14ac:dyDescent="0.25">
      <c r="A1746" s="9">
        <f t="shared" si="51"/>
        <v>0</v>
      </c>
    </row>
    <row r="1747" spans="1:1" x14ac:dyDescent="0.25">
      <c r="A1747" s="9">
        <f t="shared" si="51"/>
        <v>0</v>
      </c>
    </row>
    <row r="1748" spans="1:1" x14ac:dyDescent="0.25">
      <c r="A1748" s="9">
        <f t="shared" si="51"/>
        <v>0</v>
      </c>
    </row>
    <row r="1749" spans="1:1" x14ac:dyDescent="0.25">
      <c r="A1749" s="9">
        <f t="shared" si="51"/>
        <v>0</v>
      </c>
    </row>
    <row r="1750" spans="1:1" x14ac:dyDescent="0.25">
      <c r="A1750" s="9">
        <f t="shared" si="51"/>
        <v>0</v>
      </c>
    </row>
    <row r="1751" spans="1:1" x14ac:dyDescent="0.25">
      <c r="A1751" s="9">
        <f t="shared" si="51"/>
        <v>0</v>
      </c>
    </row>
    <row r="1752" spans="1:1" x14ac:dyDescent="0.25">
      <c r="A1752" s="9">
        <f t="shared" si="51"/>
        <v>0</v>
      </c>
    </row>
    <row r="1753" spans="1:1" x14ac:dyDescent="0.25">
      <c r="A1753" s="9">
        <f t="shared" si="51"/>
        <v>0</v>
      </c>
    </row>
    <row r="1754" spans="1:1" x14ac:dyDescent="0.25">
      <c r="A1754" s="9">
        <f t="shared" si="51"/>
        <v>0</v>
      </c>
    </row>
    <row r="1755" spans="1:1" x14ac:dyDescent="0.25">
      <c r="A1755" s="9">
        <f t="shared" si="51"/>
        <v>0</v>
      </c>
    </row>
    <row r="1756" spans="1:1" x14ac:dyDescent="0.25">
      <c r="A1756" s="9">
        <f t="shared" si="51"/>
        <v>0</v>
      </c>
    </row>
    <row r="1757" spans="1:1" x14ac:dyDescent="0.25">
      <c r="A1757" s="9">
        <f t="shared" si="51"/>
        <v>0</v>
      </c>
    </row>
    <row r="1758" spans="1:1" x14ac:dyDescent="0.25">
      <c r="A1758" s="9">
        <f t="shared" si="51"/>
        <v>0</v>
      </c>
    </row>
    <row r="1759" spans="1:1" x14ac:dyDescent="0.25">
      <c r="A1759" s="9">
        <f t="shared" si="51"/>
        <v>0</v>
      </c>
    </row>
    <row r="1760" spans="1:1" x14ac:dyDescent="0.25">
      <c r="A1760" s="9">
        <f t="shared" si="51"/>
        <v>0</v>
      </c>
    </row>
    <row r="1761" spans="1:1" x14ac:dyDescent="0.25">
      <c r="A1761" s="9">
        <f t="shared" si="51"/>
        <v>0</v>
      </c>
    </row>
    <row r="1762" spans="1:1" x14ac:dyDescent="0.25">
      <c r="A1762" s="9">
        <f t="shared" si="51"/>
        <v>0</v>
      </c>
    </row>
    <row r="1763" spans="1:1" x14ac:dyDescent="0.25">
      <c r="A1763" s="9">
        <f t="shared" si="51"/>
        <v>0</v>
      </c>
    </row>
    <row r="1764" spans="1:1" x14ac:dyDescent="0.25">
      <c r="A1764" s="9">
        <f t="shared" si="51"/>
        <v>0</v>
      </c>
    </row>
    <row r="1765" spans="1:1" x14ac:dyDescent="0.25">
      <c r="A1765" s="9">
        <f t="shared" si="51"/>
        <v>0</v>
      </c>
    </row>
    <row r="1766" spans="1:1" x14ac:dyDescent="0.25">
      <c r="A1766" s="9">
        <f t="shared" si="51"/>
        <v>0</v>
      </c>
    </row>
    <row r="1767" spans="1:1" x14ac:dyDescent="0.25">
      <c r="A1767" s="9">
        <f t="shared" si="51"/>
        <v>0</v>
      </c>
    </row>
    <row r="1768" spans="1:1" x14ac:dyDescent="0.25">
      <c r="A1768" s="9">
        <f t="shared" si="51"/>
        <v>0</v>
      </c>
    </row>
    <row r="1769" spans="1:1" x14ac:dyDescent="0.25">
      <c r="A1769" s="9">
        <f t="shared" si="51"/>
        <v>0</v>
      </c>
    </row>
    <row r="1770" spans="1:1" x14ac:dyDescent="0.25">
      <c r="A1770" s="9">
        <f t="shared" si="51"/>
        <v>0</v>
      </c>
    </row>
    <row r="1771" spans="1:1" x14ac:dyDescent="0.25">
      <c r="A1771" s="9">
        <f t="shared" si="51"/>
        <v>0</v>
      </c>
    </row>
    <row r="1772" spans="1:1" x14ac:dyDescent="0.25">
      <c r="A1772" s="9">
        <f t="shared" si="51"/>
        <v>0</v>
      </c>
    </row>
    <row r="1773" spans="1:1" x14ac:dyDescent="0.25">
      <c r="A1773" s="9">
        <f t="shared" si="51"/>
        <v>0</v>
      </c>
    </row>
    <row r="1774" spans="1:1" x14ac:dyDescent="0.25">
      <c r="A1774" s="9">
        <f t="shared" si="51"/>
        <v>0</v>
      </c>
    </row>
    <row r="1775" spans="1:1" x14ac:dyDescent="0.25">
      <c r="A1775" s="9">
        <f t="shared" si="51"/>
        <v>0</v>
      </c>
    </row>
    <row r="1776" spans="1:1" x14ac:dyDescent="0.25">
      <c r="A1776" s="9">
        <f t="shared" si="51"/>
        <v>0</v>
      </c>
    </row>
    <row r="1777" spans="1:1" x14ac:dyDescent="0.25">
      <c r="A1777" s="9">
        <f t="shared" si="51"/>
        <v>0</v>
      </c>
    </row>
    <row r="1778" spans="1:1" x14ac:dyDescent="0.25">
      <c r="A1778" s="9">
        <f t="shared" si="51"/>
        <v>0</v>
      </c>
    </row>
    <row r="1779" spans="1:1" x14ac:dyDescent="0.25">
      <c r="A1779" s="9">
        <f t="shared" si="51"/>
        <v>0</v>
      </c>
    </row>
    <row r="1780" spans="1:1" x14ac:dyDescent="0.25">
      <c r="A1780" s="9">
        <f t="shared" si="51"/>
        <v>0</v>
      </c>
    </row>
    <row r="1781" spans="1:1" x14ac:dyDescent="0.25">
      <c r="A1781" s="9">
        <f t="shared" si="51"/>
        <v>0</v>
      </c>
    </row>
    <row r="1782" spans="1:1" x14ac:dyDescent="0.25">
      <c r="A1782" s="9">
        <f t="shared" si="51"/>
        <v>0</v>
      </c>
    </row>
    <row r="1783" spans="1:1" x14ac:dyDescent="0.25">
      <c r="A1783" s="9">
        <f t="shared" si="51"/>
        <v>0</v>
      </c>
    </row>
    <row r="1784" spans="1:1" x14ac:dyDescent="0.25">
      <c r="A1784" s="9">
        <f t="shared" si="51"/>
        <v>0</v>
      </c>
    </row>
    <row r="1785" spans="1:1" x14ac:dyDescent="0.25">
      <c r="A1785" s="9">
        <f t="shared" si="51"/>
        <v>0</v>
      </c>
    </row>
    <row r="1786" spans="1:1" x14ac:dyDescent="0.25">
      <c r="A1786" s="9">
        <f t="shared" si="51"/>
        <v>0</v>
      </c>
    </row>
    <row r="1787" spans="1:1" x14ac:dyDescent="0.25">
      <c r="A1787" s="9">
        <f t="shared" si="51"/>
        <v>0</v>
      </c>
    </row>
    <row r="1788" spans="1:1" x14ac:dyDescent="0.25">
      <c r="A1788" s="9">
        <f t="shared" si="51"/>
        <v>0</v>
      </c>
    </row>
    <row r="1789" spans="1:1" x14ac:dyDescent="0.25">
      <c r="A1789" s="9">
        <f t="shared" si="51"/>
        <v>0</v>
      </c>
    </row>
    <row r="1790" spans="1:1" x14ac:dyDescent="0.25">
      <c r="A1790" s="9">
        <f t="shared" si="51"/>
        <v>0</v>
      </c>
    </row>
    <row r="1791" spans="1:1" x14ac:dyDescent="0.25">
      <c r="A1791" s="9">
        <f t="shared" si="51"/>
        <v>0</v>
      </c>
    </row>
    <row r="1792" spans="1:1" x14ac:dyDescent="0.25">
      <c r="A1792" s="9">
        <f t="shared" si="51"/>
        <v>0</v>
      </c>
    </row>
    <row r="1793" spans="1:1" x14ac:dyDescent="0.25">
      <c r="A1793" s="9">
        <f t="shared" si="51"/>
        <v>0</v>
      </c>
    </row>
    <row r="1794" spans="1:1" x14ac:dyDescent="0.25">
      <c r="A1794" s="9">
        <f t="shared" si="51"/>
        <v>0</v>
      </c>
    </row>
    <row r="1795" spans="1:1" x14ac:dyDescent="0.25">
      <c r="A1795" s="9">
        <f t="shared" si="51"/>
        <v>0</v>
      </c>
    </row>
    <row r="1796" spans="1:1" x14ac:dyDescent="0.25">
      <c r="A1796" s="9">
        <f t="shared" si="51"/>
        <v>0</v>
      </c>
    </row>
    <row r="1797" spans="1:1" x14ac:dyDescent="0.25">
      <c r="A1797" s="9">
        <f t="shared" si="51"/>
        <v>0</v>
      </c>
    </row>
    <row r="1798" spans="1:1" x14ac:dyDescent="0.25">
      <c r="A1798" s="9">
        <f t="shared" si="51"/>
        <v>0</v>
      </c>
    </row>
    <row r="1799" spans="1:1" x14ac:dyDescent="0.25">
      <c r="A1799" s="9">
        <f t="shared" si="51"/>
        <v>0</v>
      </c>
    </row>
    <row r="1800" spans="1:1" x14ac:dyDescent="0.25">
      <c r="A1800" s="9">
        <f t="shared" si="51"/>
        <v>0</v>
      </c>
    </row>
    <row r="1801" spans="1:1" x14ac:dyDescent="0.25">
      <c r="A1801" s="9">
        <f t="shared" si="51"/>
        <v>0</v>
      </c>
    </row>
    <row r="1802" spans="1:1" x14ac:dyDescent="0.25">
      <c r="A1802" s="9">
        <f t="shared" si="51"/>
        <v>0</v>
      </c>
    </row>
    <row r="1803" spans="1:1" x14ac:dyDescent="0.25">
      <c r="A1803" s="9">
        <f t="shared" si="51"/>
        <v>0</v>
      </c>
    </row>
    <row r="1804" spans="1:1" x14ac:dyDescent="0.25">
      <c r="A1804" s="9">
        <f t="shared" ref="A1804:A1867" si="52">IF(G1804&gt;0,1,0)</f>
        <v>0</v>
      </c>
    </row>
    <row r="1805" spans="1:1" x14ac:dyDescent="0.25">
      <c r="A1805" s="9">
        <f t="shared" si="52"/>
        <v>0</v>
      </c>
    </row>
    <row r="1806" spans="1:1" x14ac:dyDescent="0.25">
      <c r="A1806" s="9">
        <f t="shared" si="52"/>
        <v>0</v>
      </c>
    </row>
    <row r="1807" spans="1:1" x14ac:dyDescent="0.25">
      <c r="A1807" s="9">
        <f t="shared" si="52"/>
        <v>0</v>
      </c>
    </row>
    <row r="1808" spans="1:1" x14ac:dyDescent="0.25">
      <c r="A1808" s="9">
        <f t="shared" si="52"/>
        <v>0</v>
      </c>
    </row>
    <row r="1809" spans="1:1" x14ac:dyDescent="0.25">
      <c r="A1809" s="9">
        <f t="shared" si="52"/>
        <v>0</v>
      </c>
    </row>
    <row r="1810" spans="1:1" x14ac:dyDescent="0.25">
      <c r="A1810" s="9">
        <f t="shared" si="52"/>
        <v>0</v>
      </c>
    </row>
    <row r="1811" spans="1:1" x14ac:dyDescent="0.25">
      <c r="A1811" s="9">
        <f t="shared" si="52"/>
        <v>0</v>
      </c>
    </row>
    <row r="1812" spans="1:1" x14ac:dyDescent="0.25">
      <c r="A1812" s="9">
        <f t="shared" si="52"/>
        <v>0</v>
      </c>
    </row>
    <row r="1813" spans="1:1" x14ac:dyDescent="0.25">
      <c r="A1813" s="9">
        <f t="shared" si="52"/>
        <v>0</v>
      </c>
    </row>
    <row r="1814" spans="1:1" x14ac:dyDescent="0.25">
      <c r="A1814" s="9">
        <f t="shared" si="52"/>
        <v>0</v>
      </c>
    </row>
    <row r="1815" spans="1:1" x14ac:dyDescent="0.25">
      <c r="A1815" s="9">
        <f t="shared" si="52"/>
        <v>0</v>
      </c>
    </row>
    <row r="1816" spans="1:1" x14ac:dyDescent="0.25">
      <c r="A1816" s="9">
        <f t="shared" si="52"/>
        <v>0</v>
      </c>
    </row>
    <row r="1817" spans="1:1" x14ac:dyDescent="0.25">
      <c r="A1817" s="9">
        <f t="shared" si="52"/>
        <v>0</v>
      </c>
    </row>
    <row r="1818" spans="1:1" x14ac:dyDescent="0.25">
      <c r="A1818" s="9">
        <f t="shared" si="52"/>
        <v>0</v>
      </c>
    </row>
    <row r="1819" spans="1:1" x14ac:dyDescent="0.25">
      <c r="A1819" s="9">
        <f t="shared" si="52"/>
        <v>0</v>
      </c>
    </row>
    <row r="1820" spans="1:1" x14ac:dyDescent="0.25">
      <c r="A1820" s="9">
        <f t="shared" si="52"/>
        <v>0</v>
      </c>
    </row>
    <row r="1821" spans="1:1" x14ac:dyDescent="0.25">
      <c r="A1821" s="9">
        <f t="shared" si="52"/>
        <v>0</v>
      </c>
    </row>
    <row r="1822" spans="1:1" x14ac:dyDescent="0.25">
      <c r="A1822" s="9">
        <f t="shared" si="52"/>
        <v>0</v>
      </c>
    </row>
    <row r="1823" spans="1:1" x14ac:dyDescent="0.25">
      <c r="A1823" s="9">
        <f t="shared" si="52"/>
        <v>0</v>
      </c>
    </row>
    <row r="1824" spans="1:1" x14ac:dyDescent="0.25">
      <c r="A1824" s="9">
        <f t="shared" si="52"/>
        <v>0</v>
      </c>
    </row>
    <row r="1825" spans="1:1" x14ac:dyDescent="0.25">
      <c r="A1825" s="9">
        <f t="shared" si="52"/>
        <v>0</v>
      </c>
    </row>
    <row r="1826" spans="1:1" x14ac:dyDescent="0.25">
      <c r="A1826" s="9">
        <f t="shared" si="52"/>
        <v>0</v>
      </c>
    </row>
    <row r="1827" spans="1:1" x14ac:dyDescent="0.25">
      <c r="A1827" s="9">
        <f t="shared" si="52"/>
        <v>0</v>
      </c>
    </row>
    <row r="1828" spans="1:1" x14ac:dyDescent="0.25">
      <c r="A1828" s="9">
        <f t="shared" si="52"/>
        <v>0</v>
      </c>
    </row>
    <row r="1829" spans="1:1" x14ac:dyDescent="0.25">
      <c r="A1829" s="9">
        <f t="shared" si="52"/>
        <v>0</v>
      </c>
    </row>
    <row r="1830" spans="1:1" x14ac:dyDescent="0.25">
      <c r="A1830" s="9">
        <f t="shared" si="52"/>
        <v>0</v>
      </c>
    </row>
    <row r="1831" spans="1:1" x14ac:dyDescent="0.25">
      <c r="A1831" s="9">
        <f t="shared" si="52"/>
        <v>0</v>
      </c>
    </row>
    <row r="1832" spans="1:1" x14ac:dyDescent="0.25">
      <c r="A1832" s="9">
        <f t="shared" si="52"/>
        <v>0</v>
      </c>
    </row>
    <row r="1833" spans="1:1" x14ac:dyDescent="0.25">
      <c r="A1833" s="9">
        <f t="shared" si="52"/>
        <v>0</v>
      </c>
    </row>
    <row r="1834" spans="1:1" x14ac:dyDescent="0.25">
      <c r="A1834" s="9">
        <f t="shared" si="52"/>
        <v>0</v>
      </c>
    </row>
    <row r="1835" spans="1:1" x14ac:dyDescent="0.25">
      <c r="A1835" s="9">
        <f t="shared" si="52"/>
        <v>0</v>
      </c>
    </row>
    <row r="1836" spans="1:1" x14ac:dyDescent="0.25">
      <c r="A1836" s="9">
        <f t="shared" si="52"/>
        <v>0</v>
      </c>
    </row>
    <row r="1837" spans="1:1" x14ac:dyDescent="0.25">
      <c r="A1837" s="9">
        <f t="shared" si="52"/>
        <v>0</v>
      </c>
    </row>
    <row r="1838" spans="1:1" x14ac:dyDescent="0.25">
      <c r="A1838" s="9">
        <f t="shared" si="52"/>
        <v>0</v>
      </c>
    </row>
    <row r="1839" spans="1:1" x14ac:dyDescent="0.25">
      <c r="A1839" s="9">
        <f t="shared" si="52"/>
        <v>0</v>
      </c>
    </row>
    <row r="1840" spans="1:1" x14ac:dyDescent="0.25">
      <c r="A1840" s="9">
        <f t="shared" si="52"/>
        <v>0</v>
      </c>
    </row>
    <row r="1841" spans="1:1" x14ac:dyDescent="0.25">
      <c r="A1841" s="9">
        <f t="shared" si="52"/>
        <v>0</v>
      </c>
    </row>
    <row r="1842" spans="1:1" x14ac:dyDescent="0.25">
      <c r="A1842" s="9">
        <f t="shared" si="52"/>
        <v>0</v>
      </c>
    </row>
    <row r="1843" spans="1:1" x14ac:dyDescent="0.25">
      <c r="A1843" s="9">
        <f t="shared" si="52"/>
        <v>0</v>
      </c>
    </row>
    <row r="1844" spans="1:1" x14ac:dyDescent="0.25">
      <c r="A1844" s="9">
        <f t="shared" si="52"/>
        <v>0</v>
      </c>
    </row>
    <row r="1845" spans="1:1" x14ac:dyDescent="0.25">
      <c r="A1845" s="9">
        <f t="shared" si="52"/>
        <v>0</v>
      </c>
    </row>
    <row r="1846" spans="1:1" x14ac:dyDescent="0.25">
      <c r="A1846" s="9">
        <f t="shared" si="52"/>
        <v>0</v>
      </c>
    </row>
    <row r="1847" spans="1:1" x14ac:dyDescent="0.25">
      <c r="A1847" s="9">
        <f t="shared" si="52"/>
        <v>0</v>
      </c>
    </row>
    <row r="1848" spans="1:1" x14ac:dyDescent="0.25">
      <c r="A1848" s="9">
        <f t="shared" si="52"/>
        <v>0</v>
      </c>
    </row>
    <row r="1849" spans="1:1" x14ac:dyDescent="0.25">
      <c r="A1849" s="9">
        <f t="shared" si="52"/>
        <v>0</v>
      </c>
    </row>
    <row r="1850" spans="1:1" x14ac:dyDescent="0.25">
      <c r="A1850" s="9">
        <f t="shared" si="52"/>
        <v>0</v>
      </c>
    </row>
    <row r="1851" spans="1:1" x14ac:dyDescent="0.25">
      <c r="A1851" s="9">
        <f t="shared" si="52"/>
        <v>0</v>
      </c>
    </row>
    <row r="1852" spans="1:1" x14ac:dyDescent="0.25">
      <c r="A1852" s="9">
        <f t="shared" si="52"/>
        <v>0</v>
      </c>
    </row>
    <row r="1853" spans="1:1" x14ac:dyDescent="0.25">
      <c r="A1853" s="9">
        <f t="shared" si="52"/>
        <v>0</v>
      </c>
    </row>
    <row r="1854" spans="1:1" x14ac:dyDescent="0.25">
      <c r="A1854" s="9">
        <f t="shared" si="52"/>
        <v>0</v>
      </c>
    </row>
    <row r="1855" spans="1:1" x14ac:dyDescent="0.25">
      <c r="A1855" s="9">
        <f t="shared" si="52"/>
        <v>0</v>
      </c>
    </row>
    <row r="1856" spans="1:1" x14ac:dyDescent="0.25">
      <c r="A1856" s="9">
        <f t="shared" si="52"/>
        <v>0</v>
      </c>
    </row>
    <row r="1857" spans="1:1" x14ac:dyDescent="0.25">
      <c r="A1857" s="9">
        <f t="shared" si="52"/>
        <v>0</v>
      </c>
    </row>
    <row r="1858" spans="1:1" x14ac:dyDescent="0.25">
      <c r="A1858" s="9">
        <f t="shared" si="52"/>
        <v>0</v>
      </c>
    </row>
    <row r="1859" spans="1:1" x14ac:dyDescent="0.25">
      <c r="A1859" s="9">
        <f t="shared" si="52"/>
        <v>0</v>
      </c>
    </row>
    <row r="1860" spans="1:1" x14ac:dyDescent="0.25">
      <c r="A1860" s="9">
        <f t="shared" si="52"/>
        <v>0</v>
      </c>
    </row>
    <row r="1861" spans="1:1" x14ac:dyDescent="0.25">
      <c r="A1861" s="9">
        <f t="shared" si="52"/>
        <v>0</v>
      </c>
    </row>
    <row r="1862" spans="1:1" x14ac:dyDescent="0.25">
      <c r="A1862" s="9">
        <f t="shared" si="52"/>
        <v>0</v>
      </c>
    </row>
    <row r="1863" spans="1:1" x14ac:dyDescent="0.25">
      <c r="A1863" s="9">
        <f t="shared" si="52"/>
        <v>0</v>
      </c>
    </row>
    <row r="1864" spans="1:1" x14ac:dyDescent="0.25">
      <c r="A1864" s="9">
        <f t="shared" si="52"/>
        <v>0</v>
      </c>
    </row>
    <row r="1865" spans="1:1" x14ac:dyDescent="0.25">
      <c r="A1865" s="9">
        <f t="shared" si="52"/>
        <v>0</v>
      </c>
    </row>
    <row r="1866" spans="1:1" x14ac:dyDescent="0.25">
      <c r="A1866" s="9">
        <f t="shared" si="52"/>
        <v>0</v>
      </c>
    </row>
    <row r="1867" spans="1:1" x14ac:dyDescent="0.25">
      <c r="A1867" s="9">
        <f t="shared" si="52"/>
        <v>0</v>
      </c>
    </row>
    <row r="1868" spans="1:1" x14ac:dyDescent="0.25">
      <c r="A1868" s="9">
        <f t="shared" ref="A1868:A1931" si="53">IF(G1868&gt;0,1,0)</f>
        <v>0</v>
      </c>
    </row>
    <row r="1869" spans="1:1" x14ac:dyDescent="0.25">
      <c r="A1869" s="9">
        <f t="shared" si="53"/>
        <v>0</v>
      </c>
    </row>
    <row r="1870" spans="1:1" x14ac:dyDescent="0.25">
      <c r="A1870" s="9">
        <f t="shared" si="53"/>
        <v>0</v>
      </c>
    </row>
    <row r="1871" spans="1:1" x14ac:dyDescent="0.25">
      <c r="A1871" s="9">
        <f t="shared" si="53"/>
        <v>0</v>
      </c>
    </row>
    <row r="1872" spans="1:1" x14ac:dyDescent="0.25">
      <c r="A1872" s="9">
        <f t="shared" si="53"/>
        <v>0</v>
      </c>
    </row>
    <row r="1873" spans="1:1" x14ac:dyDescent="0.25">
      <c r="A1873" s="9">
        <f t="shared" si="53"/>
        <v>0</v>
      </c>
    </row>
    <row r="1874" spans="1:1" x14ac:dyDescent="0.25">
      <c r="A1874" s="9">
        <f t="shared" si="53"/>
        <v>0</v>
      </c>
    </row>
    <row r="1875" spans="1:1" x14ac:dyDescent="0.25">
      <c r="A1875" s="9">
        <f t="shared" si="53"/>
        <v>0</v>
      </c>
    </row>
    <row r="1876" spans="1:1" x14ac:dyDescent="0.25">
      <c r="A1876" s="9">
        <f t="shared" si="53"/>
        <v>0</v>
      </c>
    </row>
    <row r="1877" spans="1:1" x14ac:dyDescent="0.25">
      <c r="A1877" s="9">
        <f t="shared" si="53"/>
        <v>0</v>
      </c>
    </row>
    <row r="1878" spans="1:1" x14ac:dyDescent="0.25">
      <c r="A1878" s="9">
        <f t="shared" si="53"/>
        <v>0</v>
      </c>
    </row>
    <row r="1879" spans="1:1" x14ac:dyDescent="0.25">
      <c r="A1879" s="9">
        <f t="shared" si="53"/>
        <v>0</v>
      </c>
    </row>
    <row r="1880" spans="1:1" x14ac:dyDescent="0.25">
      <c r="A1880" s="9">
        <f t="shared" si="53"/>
        <v>0</v>
      </c>
    </row>
    <row r="1881" spans="1:1" x14ac:dyDescent="0.25">
      <c r="A1881" s="9">
        <f t="shared" si="53"/>
        <v>0</v>
      </c>
    </row>
    <row r="1882" spans="1:1" x14ac:dyDescent="0.25">
      <c r="A1882" s="9">
        <f t="shared" si="53"/>
        <v>0</v>
      </c>
    </row>
    <row r="1883" spans="1:1" x14ac:dyDescent="0.25">
      <c r="A1883" s="9">
        <f t="shared" si="53"/>
        <v>0</v>
      </c>
    </row>
    <row r="1884" spans="1:1" x14ac:dyDescent="0.25">
      <c r="A1884" s="9">
        <f t="shared" si="53"/>
        <v>0</v>
      </c>
    </row>
    <row r="1885" spans="1:1" x14ac:dyDescent="0.25">
      <c r="A1885" s="9">
        <f t="shared" si="53"/>
        <v>0</v>
      </c>
    </row>
    <row r="1886" spans="1:1" x14ac:dyDescent="0.25">
      <c r="A1886" s="9">
        <f t="shared" si="53"/>
        <v>0</v>
      </c>
    </row>
    <row r="1887" spans="1:1" x14ac:dyDescent="0.25">
      <c r="A1887" s="9">
        <f t="shared" si="53"/>
        <v>0</v>
      </c>
    </row>
    <row r="1888" spans="1:1" x14ac:dyDescent="0.25">
      <c r="A1888" s="9">
        <f t="shared" si="53"/>
        <v>0</v>
      </c>
    </row>
    <row r="1889" spans="1:1" x14ac:dyDescent="0.25">
      <c r="A1889" s="9">
        <f t="shared" si="53"/>
        <v>0</v>
      </c>
    </row>
    <row r="1890" spans="1:1" x14ac:dyDescent="0.25">
      <c r="A1890" s="9">
        <f t="shared" si="53"/>
        <v>0</v>
      </c>
    </row>
    <row r="1891" spans="1:1" x14ac:dyDescent="0.25">
      <c r="A1891" s="9">
        <f t="shared" si="53"/>
        <v>0</v>
      </c>
    </row>
    <row r="1892" spans="1:1" x14ac:dyDescent="0.25">
      <c r="A1892" s="9">
        <f t="shared" si="53"/>
        <v>0</v>
      </c>
    </row>
    <row r="1893" spans="1:1" x14ac:dyDescent="0.25">
      <c r="A1893" s="9">
        <f t="shared" si="53"/>
        <v>0</v>
      </c>
    </row>
    <row r="1894" spans="1:1" x14ac:dyDescent="0.25">
      <c r="A1894" s="9">
        <f t="shared" si="53"/>
        <v>0</v>
      </c>
    </row>
    <row r="1895" spans="1:1" x14ac:dyDescent="0.25">
      <c r="A1895" s="9">
        <f t="shared" si="53"/>
        <v>0</v>
      </c>
    </row>
    <row r="1896" spans="1:1" x14ac:dyDescent="0.25">
      <c r="A1896" s="9">
        <f t="shared" si="53"/>
        <v>0</v>
      </c>
    </row>
    <row r="1897" spans="1:1" x14ac:dyDescent="0.25">
      <c r="A1897" s="9">
        <f t="shared" si="53"/>
        <v>0</v>
      </c>
    </row>
    <row r="1898" spans="1:1" x14ac:dyDescent="0.25">
      <c r="A1898" s="9">
        <f t="shared" si="53"/>
        <v>0</v>
      </c>
    </row>
    <row r="1899" spans="1:1" x14ac:dyDescent="0.25">
      <c r="A1899" s="9">
        <f t="shared" si="53"/>
        <v>0</v>
      </c>
    </row>
    <row r="1900" spans="1:1" x14ac:dyDescent="0.25">
      <c r="A1900" s="9">
        <f t="shared" si="53"/>
        <v>0</v>
      </c>
    </row>
    <row r="1901" spans="1:1" x14ac:dyDescent="0.25">
      <c r="A1901" s="9">
        <f t="shared" si="53"/>
        <v>0</v>
      </c>
    </row>
    <row r="1902" spans="1:1" x14ac:dyDescent="0.25">
      <c r="A1902" s="9">
        <f t="shared" si="53"/>
        <v>0</v>
      </c>
    </row>
    <row r="1903" spans="1:1" x14ac:dyDescent="0.25">
      <c r="A1903" s="9">
        <f t="shared" si="53"/>
        <v>0</v>
      </c>
    </row>
    <row r="1904" spans="1:1" x14ac:dyDescent="0.25">
      <c r="A1904" s="9">
        <f t="shared" si="53"/>
        <v>0</v>
      </c>
    </row>
    <row r="1905" spans="1:1" x14ac:dyDescent="0.25">
      <c r="A1905" s="9">
        <f t="shared" si="53"/>
        <v>0</v>
      </c>
    </row>
    <row r="1906" spans="1:1" x14ac:dyDescent="0.25">
      <c r="A1906" s="9">
        <f t="shared" si="53"/>
        <v>0</v>
      </c>
    </row>
    <row r="1907" spans="1:1" x14ac:dyDescent="0.25">
      <c r="A1907" s="9">
        <f t="shared" si="53"/>
        <v>0</v>
      </c>
    </row>
    <row r="1908" spans="1:1" x14ac:dyDescent="0.25">
      <c r="A1908" s="9">
        <f t="shared" si="53"/>
        <v>0</v>
      </c>
    </row>
    <row r="1909" spans="1:1" x14ac:dyDescent="0.25">
      <c r="A1909" s="9">
        <f t="shared" si="53"/>
        <v>0</v>
      </c>
    </row>
    <row r="1910" spans="1:1" x14ac:dyDescent="0.25">
      <c r="A1910" s="9">
        <f t="shared" si="53"/>
        <v>0</v>
      </c>
    </row>
    <row r="1911" spans="1:1" x14ac:dyDescent="0.25">
      <c r="A1911" s="9">
        <f t="shared" si="53"/>
        <v>0</v>
      </c>
    </row>
    <row r="1912" spans="1:1" x14ac:dyDescent="0.25">
      <c r="A1912" s="9">
        <f t="shared" si="53"/>
        <v>0</v>
      </c>
    </row>
    <row r="1913" spans="1:1" x14ac:dyDescent="0.25">
      <c r="A1913" s="9">
        <f t="shared" si="53"/>
        <v>0</v>
      </c>
    </row>
    <row r="1914" spans="1:1" x14ac:dyDescent="0.25">
      <c r="A1914" s="9">
        <f t="shared" si="53"/>
        <v>0</v>
      </c>
    </row>
    <row r="1915" spans="1:1" x14ac:dyDescent="0.25">
      <c r="A1915" s="9">
        <f t="shared" si="53"/>
        <v>0</v>
      </c>
    </row>
    <row r="1916" spans="1:1" x14ac:dyDescent="0.25">
      <c r="A1916" s="9">
        <f t="shared" si="53"/>
        <v>0</v>
      </c>
    </row>
    <row r="1917" spans="1:1" x14ac:dyDescent="0.25">
      <c r="A1917" s="9">
        <f t="shared" si="53"/>
        <v>0</v>
      </c>
    </row>
    <row r="1918" spans="1:1" x14ac:dyDescent="0.25">
      <c r="A1918" s="9">
        <f t="shared" si="53"/>
        <v>0</v>
      </c>
    </row>
    <row r="1919" spans="1:1" x14ac:dyDescent="0.25">
      <c r="A1919" s="9">
        <f t="shared" si="53"/>
        <v>0</v>
      </c>
    </row>
    <row r="1920" spans="1:1" x14ac:dyDescent="0.25">
      <c r="A1920" s="9">
        <f t="shared" si="53"/>
        <v>0</v>
      </c>
    </row>
    <row r="1921" spans="1:1" x14ac:dyDescent="0.25">
      <c r="A1921" s="9">
        <f t="shared" si="53"/>
        <v>0</v>
      </c>
    </row>
    <row r="1922" spans="1:1" x14ac:dyDescent="0.25">
      <c r="A1922" s="9">
        <f t="shared" si="53"/>
        <v>0</v>
      </c>
    </row>
    <row r="1923" spans="1:1" x14ac:dyDescent="0.25">
      <c r="A1923" s="9">
        <f t="shared" si="53"/>
        <v>0</v>
      </c>
    </row>
    <row r="1924" spans="1:1" x14ac:dyDescent="0.25">
      <c r="A1924" s="9">
        <f t="shared" si="53"/>
        <v>0</v>
      </c>
    </row>
    <row r="1925" spans="1:1" x14ac:dyDescent="0.25">
      <c r="A1925" s="9">
        <f t="shared" si="53"/>
        <v>0</v>
      </c>
    </row>
    <row r="1926" spans="1:1" x14ac:dyDescent="0.25">
      <c r="A1926" s="9">
        <f t="shared" si="53"/>
        <v>0</v>
      </c>
    </row>
    <row r="1927" spans="1:1" x14ac:dyDescent="0.25">
      <c r="A1927" s="9">
        <f t="shared" si="53"/>
        <v>0</v>
      </c>
    </row>
    <row r="1928" spans="1:1" x14ac:dyDescent="0.25">
      <c r="A1928" s="9">
        <f t="shared" si="53"/>
        <v>0</v>
      </c>
    </row>
    <row r="1929" spans="1:1" x14ac:dyDescent="0.25">
      <c r="A1929" s="9">
        <f t="shared" si="53"/>
        <v>0</v>
      </c>
    </row>
    <row r="1930" spans="1:1" x14ac:dyDescent="0.25">
      <c r="A1930" s="9">
        <f t="shared" si="53"/>
        <v>0</v>
      </c>
    </row>
    <row r="1931" spans="1:1" x14ac:dyDescent="0.25">
      <c r="A1931" s="9">
        <f t="shared" si="53"/>
        <v>0</v>
      </c>
    </row>
    <row r="1932" spans="1:1" x14ac:dyDescent="0.25">
      <c r="A1932" s="9">
        <f t="shared" ref="A1932:A1995" si="54">IF(G1932&gt;0,1,0)</f>
        <v>0</v>
      </c>
    </row>
    <row r="1933" spans="1:1" x14ac:dyDescent="0.25">
      <c r="A1933" s="9">
        <f t="shared" si="54"/>
        <v>0</v>
      </c>
    </row>
    <row r="1934" spans="1:1" x14ac:dyDescent="0.25">
      <c r="A1934" s="9">
        <f t="shared" si="54"/>
        <v>0</v>
      </c>
    </row>
    <row r="1935" spans="1:1" x14ac:dyDescent="0.25">
      <c r="A1935" s="9">
        <f t="shared" si="54"/>
        <v>0</v>
      </c>
    </row>
    <row r="1936" spans="1:1" x14ac:dyDescent="0.25">
      <c r="A1936" s="9">
        <f t="shared" si="54"/>
        <v>0</v>
      </c>
    </row>
    <row r="1937" spans="1:1" x14ac:dyDescent="0.25">
      <c r="A1937" s="9">
        <f t="shared" si="54"/>
        <v>0</v>
      </c>
    </row>
    <row r="1938" spans="1:1" x14ac:dyDescent="0.25">
      <c r="A1938" s="9">
        <f t="shared" si="54"/>
        <v>0</v>
      </c>
    </row>
    <row r="1939" spans="1:1" x14ac:dyDescent="0.25">
      <c r="A1939" s="9">
        <f t="shared" si="54"/>
        <v>0</v>
      </c>
    </row>
    <row r="1940" spans="1:1" x14ac:dyDescent="0.25">
      <c r="A1940" s="9">
        <f t="shared" si="54"/>
        <v>0</v>
      </c>
    </row>
    <row r="1941" spans="1:1" x14ac:dyDescent="0.25">
      <c r="A1941" s="9">
        <f t="shared" si="54"/>
        <v>0</v>
      </c>
    </row>
    <row r="1942" spans="1:1" x14ac:dyDescent="0.25">
      <c r="A1942" s="9">
        <f t="shared" si="54"/>
        <v>0</v>
      </c>
    </row>
    <row r="1943" spans="1:1" x14ac:dyDescent="0.25">
      <c r="A1943" s="9">
        <f t="shared" si="54"/>
        <v>0</v>
      </c>
    </row>
    <row r="1944" spans="1:1" x14ac:dyDescent="0.25">
      <c r="A1944" s="9">
        <f t="shared" si="54"/>
        <v>0</v>
      </c>
    </row>
    <row r="1945" spans="1:1" x14ac:dyDescent="0.25">
      <c r="A1945" s="9">
        <f t="shared" si="54"/>
        <v>0</v>
      </c>
    </row>
    <row r="1946" spans="1:1" x14ac:dyDescent="0.25">
      <c r="A1946" s="9">
        <f t="shared" si="54"/>
        <v>0</v>
      </c>
    </row>
    <row r="1947" spans="1:1" x14ac:dyDescent="0.25">
      <c r="A1947" s="9">
        <f t="shared" si="54"/>
        <v>0</v>
      </c>
    </row>
    <row r="1948" spans="1:1" x14ac:dyDescent="0.25">
      <c r="A1948" s="9">
        <f t="shared" si="54"/>
        <v>0</v>
      </c>
    </row>
    <row r="1949" spans="1:1" x14ac:dyDescent="0.25">
      <c r="A1949" s="9">
        <f t="shared" si="54"/>
        <v>0</v>
      </c>
    </row>
    <row r="1950" spans="1:1" x14ac:dyDescent="0.25">
      <c r="A1950" s="9">
        <f t="shared" si="54"/>
        <v>0</v>
      </c>
    </row>
    <row r="1951" spans="1:1" x14ac:dyDescent="0.25">
      <c r="A1951" s="9">
        <f t="shared" si="54"/>
        <v>0</v>
      </c>
    </row>
    <row r="1952" spans="1:1" x14ac:dyDescent="0.25">
      <c r="A1952" s="9">
        <f t="shared" si="54"/>
        <v>0</v>
      </c>
    </row>
    <row r="1953" spans="1:1" x14ac:dyDescent="0.25">
      <c r="A1953" s="9">
        <f t="shared" si="54"/>
        <v>0</v>
      </c>
    </row>
    <row r="1954" spans="1:1" x14ac:dyDescent="0.25">
      <c r="A1954" s="9">
        <f t="shared" si="54"/>
        <v>0</v>
      </c>
    </row>
    <row r="1955" spans="1:1" x14ac:dyDescent="0.25">
      <c r="A1955" s="9">
        <f t="shared" si="54"/>
        <v>0</v>
      </c>
    </row>
    <row r="1956" spans="1:1" x14ac:dyDescent="0.25">
      <c r="A1956" s="9">
        <f t="shared" si="54"/>
        <v>0</v>
      </c>
    </row>
    <row r="1957" spans="1:1" x14ac:dyDescent="0.25">
      <c r="A1957" s="9">
        <f t="shared" si="54"/>
        <v>0</v>
      </c>
    </row>
    <row r="1958" spans="1:1" x14ac:dyDescent="0.25">
      <c r="A1958" s="9">
        <f t="shared" si="54"/>
        <v>0</v>
      </c>
    </row>
    <row r="1959" spans="1:1" x14ac:dyDescent="0.25">
      <c r="A1959" s="9">
        <f t="shared" si="54"/>
        <v>0</v>
      </c>
    </row>
    <row r="1960" spans="1:1" x14ac:dyDescent="0.25">
      <c r="A1960" s="9">
        <f t="shared" si="54"/>
        <v>0</v>
      </c>
    </row>
    <row r="1961" spans="1:1" x14ac:dyDescent="0.25">
      <c r="A1961" s="9">
        <f t="shared" si="54"/>
        <v>0</v>
      </c>
    </row>
    <row r="1962" spans="1:1" x14ac:dyDescent="0.25">
      <c r="A1962" s="9">
        <f t="shared" si="54"/>
        <v>0</v>
      </c>
    </row>
    <row r="1963" spans="1:1" x14ac:dyDescent="0.25">
      <c r="A1963" s="9">
        <f t="shared" si="54"/>
        <v>0</v>
      </c>
    </row>
    <row r="1964" spans="1:1" x14ac:dyDescent="0.25">
      <c r="A1964" s="9">
        <f t="shared" si="54"/>
        <v>0</v>
      </c>
    </row>
    <row r="1965" spans="1:1" x14ac:dyDescent="0.25">
      <c r="A1965" s="9">
        <f t="shared" si="54"/>
        <v>0</v>
      </c>
    </row>
    <row r="1966" spans="1:1" x14ac:dyDescent="0.25">
      <c r="A1966" s="9">
        <f t="shared" si="54"/>
        <v>0</v>
      </c>
    </row>
    <row r="1967" spans="1:1" x14ac:dyDescent="0.25">
      <c r="A1967" s="9">
        <f t="shared" si="54"/>
        <v>0</v>
      </c>
    </row>
    <row r="1968" spans="1:1" x14ac:dyDescent="0.25">
      <c r="A1968" s="9">
        <f t="shared" si="54"/>
        <v>0</v>
      </c>
    </row>
    <row r="1969" spans="1:1" x14ac:dyDescent="0.25">
      <c r="A1969" s="9">
        <f t="shared" si="54"/>
        <v>0</v>
      </c>
    </row>
    <row r="1970" spans="1:1" x14ac:dyDescent="0.25">
      <c r="A1970" s="9">
        <f t="shared" si="54"/>
        <v>0</v>
      </c>
    </row>
    <row r="1971" spans="1:1" x14ac:dyDescent="0.25">
      <c r="A1971" s="9">
        <f t="shared" si="54"/>
        <v>0</v>
      </c>
    </row>
    <row r="1972" spans="1:1" x14ac:dyDescent="0.25">
      <c r="A1972" s="9">
        <f t="shared" si="54"/>
        <v>0</v>
      </c>
    </row>
    <row r="1973" spans="1:1" x14ac:dyDescent="0.25">
      <c r="A1973" s="9">
        <f t="shared" si="54"/>
        <v>0</v>
      </c>
    </row>
    <row r="1974" spans="1:1" x14ac:dyDescent="0.25">
      <c r="A1974" s="9">
        <f t="shared" si="54"/>
        <v>0</v>
      </c>
    </row>
    <row r="1975" spans="1:1" x14ac:dyDescent="0.25">
      <c r="A1975" s="9">
        <f t="shared" si="54"/>
        <v>0</v>
      </c>
    </row>
    <row r="1976" spans="1:1" x14ac:dyDescent="0.25">
      <c r="A1976" s="9">
        <f t="shared" si="54"/>
        <v>0</v>
      </c>
    </row>
    <row r="1977" spans="1:1" x14ac:dyDescent="0.25">
      <c r="A1977" s="9">
        <f t="shared" si="54"/>
        <v>0</v>
      </c>
    </row>
    <row r="1978" spans="1:1" x14ac:dyDescent="0.25">
      <c r="A1978" s="9">
        <f t="shared" si="54"/>
        <v>0</v>
      </c>
    </row>
    <row r="1979" spans="1:1" x14ac:dyDescent="0.25">
      <c r="A1979" s="9">
        <f t="shared" si="54"/>
        <v>0</v>
      </c>
    </row>
    <row r="1980" spans="1:1" x14ac:dyDescent="0.25">
      <c r="A1980" s="9">
        <f t="shared" si="54"/>
        <v>0</v>
      </c>
    </row>
    <row r="1981" spans="1:1" x14ac:dyDescent="0.25">
      <c r="A1981" s="9">
        <f t="shared" si="54"/>
        <v>0</v>
      </c>
    </row>
    <row r="1982" spans="1:1" x14ac:dyDescent="0.25">
      <c r="A1982" s="9">
        <f t="shared" si="54"/>
        <v>0</v>
      </c>
    </row>
    <row r="1983" spans="1:1" x14ac:dyDescent="0.25">
      <c r="A1983" s="9">
        <f t="shared" si="54"/>
        <v>0</v>
      </c>
    </row>
    <row r="1984" spans="1:1" x14ac:dyDescent="0.25">
      <c r="A1984" s="9">
        <f t="shared" si="54"/>
        <v>0</v>
      </c>
    </row>
    <row r="1985" spans="1:1" x14ac:dyDescent="0.25">
      <c r="A1985" s="9">
        <f t="shared" si="54"/>
        <v>0</v>
      </c>
    </row>
    <row r="1986" spans="1:1" x14ac:dyDescent="0.25">
      <c r="A1986" s="9">
        <f t="shared" si="54"/>
        <v>0</v>
      </c>
    </row>
    <row r="1987" spans="1:1" x14ac:dyDescent="0.25">
      <c r="A1987" s="9">
        <f t="shared" si="54"/>
        <v>0</v>
      </c>
    </row>
    <row r="1988" spans="1:1" x14ac:dyDescent="0.25">
      <c r="A1988" s="9">
        <f t="shared" si="54"/>
        <v>0</v>
      </c>
    </row>
    <row r="1989" spans="1:1" x14ac:dyDescent="0.25">
      <c r="A1989" s="9">
        <f t="shared" si="54"/>
        <v>0</v>
      </c>
    </row>
    <row r="1990" spans="1:1" x14ac:dyDescent="0.25">
      <c r="A1990" s="9">
        <f t="shared" si="54"/>
        <v>0</v>
      </c>
    </row>
    <row r="1991" spans="1:1" x14ac:dyDescent="0.25">
      <c r="A1991" s="9">
        <f t="shared" si="54"/>
        <v>0</v>
      </c>
    </row>
    <row r="1992" spans="1:1" x14ac:dyDescent="0.25">
      <c r="A1992" s="9">
        <f t="shared" si="54"/>
        <v>0</v>
      </c>
    </row>
    <row r="1993" spans="1:1" x14ac:dyDescent="0.25">
      <c r="A1993" s="9">
        <f t="shared" si="54"/>
        <v>0</v>
      </c>
    </row>
    <row r="1994" spans="1:1" x14ac:dyDescent="0.25">
      <c r="A1994" s="9">
        <f t="shared" si="54"/>
        <v>0</v>
      </c>
    </row>
    <row r="1995" spans="1:1" x14ac:dyDescent="0.25">
      <c r="A1995" s="9">
        <f t="shared" si="54"/>
        <v>0</v>
      </c>
    </row>
    <row r="1996" spans="1:1" x14ac:dyDescent="0.25">
      <c r="A1996" s="9">
        <f t="shared" ref="A1996:A2059" si="55">IF(G1996&gt;0,1,0)</f>
        <v>0</v>
      </c>
    </row>
    <row r="1997" spans="1:1" x14ac:dyDescent="0.25">
      <c r="A1997" s="9">
        <f t="shared" si="55"/>
        <v>0</v>
      </c>
    </row>
    <row r="1998" spans="1:1" x14ac:dyDescent="0.25">
      <c r="A1998" s="9">
        <f t="shared" si="55"/>
        <v>0</v>
      </c>
    </row>
    <row r="1999" spans="1:1" x14ac:dyDescent="0.25">
      <c r="A1999" s="9">
        <f t="shared" si="55"/>
        <v>0</v>
      </c>
    </row>
    <row r="2000" spans="1:1" x14ac:dyDescent="0.25">
      <c r="A2000" s="9">
        <f t="shared" si="55"/>
        <v>0</v>
      </c>
    </row>
    <row r="2001" spans="1:1" x14ac:dyDescent="0.25">
      <c r="A2001" s="9">
        <f t="shared" si="55"/>
        <v>0</v>
      </c>
    </row>
    <row r="2002" spans="1:1" x14ac:dyDescent="0.25">
      <c r="A2002" s="9">
        <f t="shared" si="55"/>
        <v>0</v>
      </c>
    </row>
    <row r="2003" spans="1:1" x14ac:dyDescent="0.25">
      <c r="A2003" s="9">
        <f t="shared" si="55"/>
        <v>0</v>
      </c>
    </row>
    <row r="2004" spans="1:1" x14ac:dyDescent="0.25">
      <c r="A2004" s="9">
        <f t="shared" si="55"/>
        <v>0</v>
      </c>
    </row>
    <row r="2005" spans="1:1" x14ac:dyDescent="0.25">
      <c r="A2005" s="9">
        <f t="shared" si="55"/>
        <v>0</v>
      </c>
    </row>
    <row r="2006" spans="1:1" x14ac:dyDescent="0.25">
      <c r="A2006" s="9">
        <f t="shared" si="55"/>
        <v>0</v>
      </c>
    </row>
    <row r="2007" spans="1:1" x14ac:dyDescent="0.25">
      <c r="A2007" s="9">
        <f t="shared" si="55"/>
        <v>0</v>
      </c>
    </row>
    <row r="2008" spans="1:1" x14ac:dyDescent="0.25">
      <c r="A2008" s="9">
        <f t="shared" si="55"/>
        <v>0</v>
      </c>
    </row>
    <row r="2009" spans="1:1" x14ac:dyDescent="0.25">
      <c r="A2009" s="9">
        <f t="shared" si="55"/>
        <v>0</v>
      </c>
    </row>
    <row r="2010" spans="1:1" x14ac:dyDescent="0.25">
      <c r="A2010" s="9">
        <f t="shared" si="55"/>
        <v>0</v>
      </c>
    </row>
    <row r="2011" spans="1:1" x14ac:dyDescent="0.25">
      <c r="A2011" s="9">
        <f t="shared" si="55"/>
        <v>0</v>
      </c>
    </row>
    <row r="2012" spans="1:1" x14ac:dyDescent="0.25">
      <c r="A2012" s="9">
        <f t="shared" si="55"/>
        <v>0</v>
      </c>
    </row>
    <row r="2013" spans="1:1" x14ac:dyDescent="0.25">
      <c r="A2013" s="9">
        <f t="shared" si="55"/>
        <v>0</v>
      </c>
    </row>
    <row r="2014" spans="1:1" x14ac:dyDescent="0.25">
      <c r="A2014" s="9">
        <f t="shared" si="55"/>
        <v>0</v>
      </c>
    </row>
    <row r="2015" spans="1:1" x14ac:dyDescent="0.25">
      <c r="A2015" s="9">
        <f t="shared" si="55"/>
        <v>0</v>
      </c>
    </row>
    <row r="2016" spans="1:1" x14ac:dyDescent="0.25">
      <c r="A2016" s="9">
        <f t="shared" si="55"/>
        <v>0</v>
      </c>
    </row>
    <row r="2017" spans="1:1" x14ac:dyDescent="0.25">
      <c r="A2017" s="9">
        <f t="shared" si="55"/>
        <v>0</v>
      </c>
    </row>
    <row r="2018" spans="1:1" x14ac:dyDescent="0.25">
      <c r="A2018" s="9">
        <f t="shared" si="55"/>
        <v>0</v>
      </c>
    </row>
    <row r="2019" spans="1:1" x14ac:dyDescent="0.25">
      <c r="A2019" s="9">
        <f t="shared" si="55"/>
        <v>0</v>
      </c>
    </row>
    <row r="2020" spans="1:1" x14ac:dyDescent="0.25">
      <c r="A2020" s="9">
        <f t="shared" si="55"/>
        <v>0</v>
      </c>
    </row>
    <row r="2021" spans="1:1" x14ac:dyDescent="0.25">
      <c r="A2021" s="9">
        <f t="shared" si="55"/>
        <v>0</v>
      </c>
    </row>
    <row r="2022" spans="1:1" x14ac:dyDescent="0.25">
      <c r="A2022" s="9">
        <f t="shared" si="55"/>
        <v>0</v>
      </c>
    </row>
    <row r="2023" spans="1:1" x14ac:dyDescent="0.25">
      <c r="A2023" s="9">
        <f t="shared" si="55"/>
        <v>0</v>
      </c>
    </row>
    <row r="2024" spans="1:1" x14ac:dyDescent="0.25">
      <c r="A2024" s="9">
        <f t="shared" si="55"/>
        <v>0</v>
      </c>
    </row>
    <row r="2025" spans="1:1" x14ac:dyDescent="0.25">
      <c r="A2025" s="9">
        <f t="shared" si="55"/>
        <v>0</v>
      </c>
    </row>
    <row r="2026" spans="1:1" x14ac:dyDescent="0.25">
      <c r="A2026" s="9">
        <f t="shared" si="55"/>
        <v>0</v>
      </c>
    </row>
    <row r="2027" spans="1:1" x14ac:dyDescent="0.25">
      <c r="A2027" s="9">
        <f t="shared" si="55"/>
        <v>0</v>
      </c>
    </row>
    <row r="2028" spans="1:1" x14ac:dyDescent="0.25">
      <c r="A2028" s="9">
        <f t="shared" si="55"/>
        <v>0</v>
      </c>
    </row>
    <row r="2029" spans="1:1" x14ac:dyDescent="0.25">
      <c r="A2029" s="9">
        <f t="shared" si="55"/>
        <v>0</v>
      </c>
    </row>
    <row r="2030" spans="1:1" x14ac:dyDescent="0.25">
      <c r="A2030" s="9">
        <f t="shared" si="55"/>
        <v>0</v>
      </c>
    </row>
    <row r="2031" spans="1:1" x14ac:dyDescent="0.25">
      <c r="A2031" s="9">
        <f t="shared" si="55"/>
        <v>0</v>
      </c>
    </row>
    <row r="2032" spans="1:1" x14ac:dyDescent="0.25">
      <c r="A2032" s="9">
        <f t="shared" si="55"/>
        <v>0</v>
      </c>
    </row>
    <row r="2033" spans="1:1" x14ac:dyDescent="0.25">
      <c r="A2033" s="9">
        <f t="shared" si="55"/>
        <v>0</v>
      </c>
    </row>
    <row r="2034" spans="1:1" x14ac:dyDescent="0.25">
      <c r="A2034" s="9">
        <f t="shared" si="55"/>
        <v>0</v>
      </c>
    </row>
    <row r="2035" spans="1:1" x14ac:dyDescent="0.25">
      <c r="A2035" s="9">
        <f t="shared" si="55"/>
        <v>0</v>
      </c>
    </row>
    <row r="2036" spans="1:1" x14ac:dyDescent="0.25">
      <c r="A2036" s="9">
        <f t="shared" si="55"/>
        <v>0</v>
      </c>
    </row>
    <row r="2037" spans="1:1" x14ac:dyDescent="0.25">
      <c r="A2037" s="9">
        <f t="shared" si="55"/>
        <v>0</v>
      </c>
    </row>
    <row r="2038" spans="1:1" x14ac:dyDescent="0.25">
      <c r="A2038" s="9">
        <f t="shared" si="55"/>
        <v>0</v>
      </c>
    </row>
    <row r="2039" spans="1:1" x14ac:dyDescent="0.25">
      <c r="A2039" s="9">
        <f t="shared" si="55"/>
        <v>0</v>
      </c>
    </row>
    <row r="2040" spans="1:1" x14ac:dyDescent="0.25">
      <c r="A2040" s="9">
        <f t="shared" si="55"/>
        <v>0</v>
      </c>
    </row>
    <row r="2041" spans="1:1" x14ac:dyDescent="0.25">
      <c r="A2041" s="9">
        <f t="shared" si="55"/>
        <v>0</v>
      </c>
    </row>
    <row r="2042" spans="1:1" x14ac:dyDescent="0.25">
      <c r="A2042" s="9">
        <f t="shared" si="55"/>
        <v>0</v>
      </c>
    </row>
    <row r="2043" spans="1:1" x14ac:dyDescent="0.25">
      <c r="A2043" s="9">
        <f t="shared" si="55"/>
        <v>0</v>
      </c>
    </row>
    <row r="2044" spans="1:1" x14ac:dyDescent="0.25">
      <c r="A2044" s="9">
        <f t="shared" si="55"/>
        <v>0</v>
      </c>
    </row>
    <row r="2045" spans="1:1" x14ac:dyDescent="0.25">
      <c r="A2045" s="9">
        <f t="shared" si="55"/>
        <v>0</v>
      </c>
    </row>
    <row r="2046" spans="1:1" x14ac:dyDescent="0.25">
      <c r="A2046" s="9">
        <f t="shared" si="55"/>
        <v>0</v>
      </c>
    </row>
    <row r="2047" spans="1:1" x14ac:dyDescent="0.25">
      <c r="A2047" s="9">
        <f t="shared" si="55"/>
        <v>0</v>
      </c>
    </row>
    <row r="2048" spans="1:1" x14ac:dyDescent="0.25">
      <c r="A2048" s="9">
        <f t="shared" si="55"/>
        <v>0</v>
      </c>
    </row>
    <row r="2049" spans="1:1" x14ac:dyDescent="0.25">
      <c r="A2049" s="9">
        <f t="shared" si="55"/>
        <v>0</v>
      </c>
    </row>
    <row r="2050" spans="1:1" x14ac:dyDescent="0.25">
      <c r="A2050" s="9">
        <f t="shared" si="55"/>
        <v>0</v>
      </c>
    </row>
    <row r="2051" spans="1:1" x14ac:dyDescent="0.25">
      <c r="A2051" s="9">
        <f t="shared" si="55"/>
        <v>0</v>
      </c>
    </row>
    <row r="2052" spans="1:1" x14ac:dyDescent="0.25">
      <c r="A2052" s="9">
        <f t="shared" si="55"/>
        <v>0</v>
      </c>
    </row>
    <row r="2053" spans="1:1" x14ac:dyDescent="0.25">
      <c r="A2053" s="9">
        <f t="shared" si="55"/>
        <v>0</v>
      </c>
    </row>
    <row r="2054" spans="1:1" x14ac:dyDescent="0.25">
      <c r="A2054" s="9">
        <f t="shared" si="55"/>
        <v>0</v>
      </c>
    </row>
    <row r="2055" spans="1:1" x14ac:dyDescent="0.25">
      <c r="A2055" s="9">
        <f t="shared" si="55"/>
        <v>0</v>
      </c>
    </row>
    <row r="2056" spans="1:1" x14ac:dyDescent="0.25">
      <c r="A2056" s="9">
        <f t="shared" si="55"/>
        <v>0</v>
      </c>
    </row>
    <row r="2057" spans="1:1" x14ac:dyDescent="0.25">
      <c r="A2057" s="9">
        <f t="shared" si="55"/>
        <v>0</v>
      </c>
    </row>
    <row r="2058" spans="1:1" x14ac:dyDescent="0.25">
      <c r="A2058" s="9">
        <f t="shared" si="55"/>
        <v>0</v>
      </c>
    </row>
    <row r="2059" spans="1:1" x14ac:dyDescent="0.25">
      <c r="A2059" s="9">
        <f t="shared" si="55"/>
        <v>0</v>
      </c>
    </row>
    <row r="2060" spans="1:1" x14ac:dyDescent="0.25">
      <c r="A2060" s="9">
        <f t="shared" ref="A2060:A2123" si="56">IF(G2060&gt;0,1,0)</f>
        <v>0</v>
      </c>
    </row>
    <row r="2061" spans="1:1" x14ac:dyDescent="0.25">
      <c r="A2061" s="9">
        <f t="shared" si="56"/>
        <v>0</v>
      </c>
    </row>
    <row r="2062" spans="1:1" x14ac:dyDescent="0.25">
      <c r="A2062" s="9">
        <f t="shared" si="56"/>
        <v>0</v>
      </c>
    </row>
    <row r="2063" spans="1:1" x14ac:dyDescent="0.25">
      <c r="A2063" s="9">
        <f t="shared" si="56"/>
        <v>0</v>
      </c>
    </row>
    <row r="2064" spans="1:1" x14ac:dyDescent="0.25">
      <c r="A2064" s="9">
        <f t="shared" si="56"/>
        <v>0</v>
      </c>
    </row>
    <row r="2065" spans="1:1" x14ac:dyDescent="0.25">
      <c r="A2065" s="9">
        <f t="shared" si="56"/>
        <v>0</v>
      </c>
    </row>
    <row r="2066" spans="1:1" x14ac:dyDescent="0.25">
      <c r="A2066" s="9">
        <f t="shared" si="56"/>
        <v>0</v>
      </c>
    </row>
    <row r="2067" spans="1:1" x14ac:dyDescent="0.25">
      <c r="A2067" s="9">
        <f t="shared" si="56"/>
        <v>0</v>
      </c>
    </row>
    <row r="2068" spans="1:1" x14ac:dyDescent="0.25">
      <c r="A2068" s="9">
        <f t="shared" si="56"/>
        <v>0</v>
      </c>
    </row>
    <row r="2069" spans="1:1" x14ac:dyDescent="0.25">
      <c r="A2069" s="9">
        <f t="shared" si="56"/>
        <v>0</v>
      </c>
    </row>
    <row r="2070" spans="1:1" x14ac:dyDescent="0.25">
      <c r="A2070" s="9">
        <f t="shared" si="56"/>
        <v>0</v>
      </c>
    </row>
    <row r="2071" spans="1:1" x14ac:dyDescent="0.25">
      <c r="A2071" s="9">
        <f t="shared" si="56"/>
        <v>0</v>
      </c>
    </row>
    <row r="2072" spans="1:1" x14ac:dyDescent="0.25">
      <c r="A2072" s="9">
        <f t="shared" si="56"/>
        <v>0</v>
      </c>
    </row>
    <row r="2073" spans="1:1" x14ac:dyDescent="0.25">
      <c r="A2073" s="9">
        <f t="shared" si="56"/>
        <v>0</v>
      </c>
    </row>
    <row r="2074" spans="1:1" x14ac:dyDescent="0.25">
      <c r="A2074" s="9">
        <f t="shared" si="56"/>
        <v>0</v>
      </c>
    </row>
    <row r="2075" spans="1:1" x14ac:dyDescent="0.25">
      <c r="A2075" s="9">
        <f t="shared" si="56"/>
        <v>0</v>
      </c>
    </row>
    <row r="2076" spans="1:1" x14ac:dyDescent="0.25">
      <c r="A2076" s="9">
        <f t="shared" si="56"/>
        <v>0</v>
      </c>
    </row>
    <row r="2077" spans="1:1" x14ac:dyDescent="0.25">
      <c r="A2077" s="9">
        <f t="shared" si="56"/>
        <v>0</v>
      </c>
    </row>
    <row r="2078" spans="1:1" x14ac:dyDescent="0.25">
      <c r="A2078" s="9">
        <f t="shared" si="56"/>
        <v>0</v>
      </c>
    </row>
    <row r="2079" spans="1:1" x14ac:dyDescent="0.25">
      <c r="A2079" s="9">
        <f t="shared" si="56"/>
        <v>0</v>
      </c>
    </row>
    <row r="2080" spans="1:1" x14ac:dyDescent="0.25">
      <c r="A2080" s="9">
        <f t="shared" si="56"/>
        <v>0</v>
      </c>
    </row>
    <row r="2081" spans="1:1" x14ac:dyDescent="0.25">
      <c r="A2081" s="9">
        <f t="shared" si="56"/>
        <v>0</v>
      </c>
    </row>
    <row r="2082" spans="1:1" x14ac:dyDescent="0.25">
      <c r="A2082" s="9">
        <f t="shared" si="56"/>
        <v>0</v>
      </c>
    </row>
    <row r="2083" spans="1:1" x14ac:dyDescent="0.25">
      <c r="A2083" s="9">
        <f t="shared" si="56"/>
        <v>0</v>
      </c>
    </row>
    <row r="2084" spans="1:1" x14ac:dyDescent="0.25">
      <c r="A2084" s="9">
        <f t="shared" si="56"/>
        <v>0</v>
      </c>
    </row>
    <row r="2085" spans="1:1" x14ac:dyDescent="0.25">
      <c r="A2085" s="9">
        <f t="shared" si="56"/>
        <v>0</v>
      </c>
    </row>
    <row r="2086" spans="1:1" x14ac:dyDescent="0.25">
      <c r="A2086" s="9">
        <f t="shared" si="56"/>
        <v>0</v>
      </c>
    </row>
    <row r="2087" spans="1:1" x14ac:dyDescent="0.25">
      <c r="A2087" s="9">
        <f t="shared" si="56"/>
        <v>0</v>
      </c>
    </row>
    <row r="2088" spans="1:1" x14ac:dyDescent="0.25">
      <c r="A2088" s="9">
        <f t="shared" si="56"/>
        <v>0</v>
      </c>
    </row>
    <row r="2089" spans="1:1" x14ac:dyDescent="0.25">
      <c r="A2089" s="9">
        <f t="shared" si="56"/>
        <v>0</v>
      </c>
    </row>
    <row r="2090" spans="1:1" x14ac:dyDescent="0.25">
      <c r="A2090" s="9">
        <f t="shared" si="56"/>
        <v>0</v>
      </c>
    </row>
    <row r="2091" spans="1:1" x14ac:dyDescent="0.25">
      <c r="A2091" s="9">
        <f t="shared" si="56"/>
        <v>0</v>
      </c>
    </row>
    <row r="2092" spans="1:1" x14ac:dyDescent="0.25">
      <c r="A2092" s="9">
        <f t="shared" si="56"/>
        <v>0</v>
      </c>
    </row>
    <row r="2093" spans="1:1" x14ac:dyDescent="0.25">
      <c r="A2093" s="9">
        <f t="shared" si="56"/>
        <v>0</v>
      </c>
    </row>
    <row r="2094" spans="1:1" x14ac:dyDescent="0.25">
      <c r="A2094" s="9">
        <f t="shared" si="56"/>
        <v>0</v>
      </c>
    </row>
    <row r="2095" spans="1:1" x14ac:dyDescent="0.25">
      <c r="A2095" s="9">
        <f t="shared" si="56"/>
        <v>0</v>
      </c>
    </row>
    <row r="2096" spans="1:1" x14ac:dyDescent="0.25">
      <c r="A2096" s="9">
        <f t="shared" si="56"/>
        <v>0</v>
      </c>
    </row>
    <row r="2097" spans="1:1" x14ac:dyDescent="0.25">
      <c r="A2097" s="9">
        <f t="shared" si="56"/>
        <v>0</v>
      </c>
    </row>
    <row r="2098" spans="1:1" x14ac:dyDescent="0.25">
      <c r="A2098" s="9">
        <f t="shared" si="56"/>
        <v>0</v>
      </c>
    </row>
    <row r="2099" spans="1:1" x14ac:dyDescent="0.25">
      <c r="A2099" s="9">
        <f t="shared" si="56"/>
        <v>0</v>
      </c>
    </row>
    <row r="2100" spans="1:1" x14ac:dyDescent="0.25">
      <c r="A2100" s="9">
        <f t="shared" si="56"/>
        <v>0</v>
      </c>
    </row>
    <row r="2101" spans="1:1" x14ac:dyDescent="0.25">
      <c r="A2101" s="9">
        <f t="shared" si="56"/>
        <v>0</v>
      </c>
    </row>
    <row r="2102" spans="1:1" x14ac:dyDescent="0.25">
      <c r="A2102" s="9">
        <f t="shared" si="56"/>
        <v>0</v>
      </c>
    </row>
    <row r="2103" spans="1:1" x14ac:dyDescent="0.25">
      <c r="A2103" s="9">
        <f t="shared" si="56"/>
        <v>0</v>
      </c>
    </row>
    <row r="2104" spans="1:1" x14ac:dyDescent="0.25">
      <c r="A2104" s="9">
        <f t="shared" si="56"/>
        <v>0</v>
      </c>
    </row>
    <row r="2105" spans="1:1" x14ac:dyDescent="0.25">
      <c r="A2105" s="9">
        <f t="shared" si="56"/>
        <v>0</v>
      </c>
    </row>
    <row r="2106" spans="1:1" x14ac:dyDescent="0.25">
      <c r="A2106" s="9">
        <f t="shared" si="56"/>
        <v>0</v>
      </c>
    </row>
    <row r="2107" spans="1:1" x14ac:dyDescent="0.25">
      <c r="A2107" s="9">
        <f t="shared" si="56"/>
        <v>0</v>
      </c>
    </row>
    <row r="2108" spans="1:1" x14ac:dyDescent="0.25">
      <c r="A2108" s="9">
        <f t="shared" si="56"/>
        <v>0</v>
      </c>
    </row>
    <row r="2109" spans="1:1" x14ac:dyDescent="0.25">
      <c r="A2109" s="9">
        <f t="shared" si="56"/>
        <v>0</v>
      </c>
    </row>
    <row r="2110" spans="1:1" x14ac:dyDescent="0.25">
      <c r="A2110" s="9">
        <f t="shared" si="56"/>
        <v>0</v>
      </c>
    </row>
    <row r="2111" spans="1:1" x14ac:dyDescent="0.25">
      <c r="A2111" s="9">
        <f t="shared" si="56"/>
        <v>0</v>
      </c>
    </row>
    <row r="2112" spans="1:1" x14ac:dyDescent="0.25">
      <c r="A2112" s="9">
        <f t="shared" si="56"/>
        <v>0</v>
      </c>
    </row>
    <row r="2113" spans="1:1" x14ac:dyDescent="0.25">
      <c r="A2113" s="9">
        <f t="shared" si="56"/>
        <v>0</v>
      </c>
    </row>
    <row r="2114" spans="1:1" x14ac:dyDescent="0.25">
      <c r="A2114" s="9">
        <f t="shared" si="56"/>
        <v>0</v>
      </c>
    </row>
    <row r="2115" spans="1:1" x14ac:dyDescent="0.25">
      <c r="A2115" s="9">
        <f t="shared" si="56"/>
        <v>0</v>
      </c>
    </row>
    <row r="2116" spans="1:1" x14ac:dyDescent="0.25">
      <c r="A2116" s="9">
        <f t="shared" si="56"/>
        <v>0</v>
      </c>
    </row>
    <row r="2117" spans="1:1" x14ac:dyDescent="0.25">
      <c r="A2117" s="9">
        <f t="shared" si="56"/>
        <v>0</v>
      </c>
    </row>
    <row r="2118" spans="1:1" x14ac:dyDescent="0.25">
      <c r="A2118" s="9">
        <f t="shared" si="56"/>
        <v>0</v>
      </c>
    </row>
    <row r="2119" spans="1:1" x14ac:dyDescent="0.25">
      <c r="A2119" s="9">
        <f t="shared" si="56"/>
        <v>0</v>
      </c>
    </row>
    <row r="2120" spans="1:1" x14ac:dyDescent="0.25">
      <c r="A2120" s="9">
        <f t="shared" si="56"/>
        <v>0</v>
      </c>
    </row>
    <row r="2121" spans="1:1" x14ac:dyDescent="0.25">
      <c r="A2121" s="9">
        <f t="shared" si="56"/>
        <v>0</v>
      </c>
    </row>
    <row r="2122" spans="1:1" x14ac:dyDescent="0.25">
      <c r="A2122" s="9">
        <f t="shared" si="56"/>
        <v>0</v>
      </c>
    </row>
    <row r="2123" spans="1:1" x14ac:dyDescent="0.25">
      <c r="A2123" s="9">
        <f t="shared" si="56"/>
        <v>0</v>
      </c>
    </row>
    <row r="2124" spans="1:1" x14ac:dyDescent="0.25">
      <c r="A2124" s="9">
        <f t="shared" ref="A2124:A2187" si="57">IF(G2124&gt;0,1,0)</f>
        <v>0</v>
      </c>
    </row>
    <row r="2125" spans="1:1" x14ac:dyDescent="0.25">
      <c r="A2125" s="9">
        <f t="shared" si="57"/>
        <v>0</v>
      </c>
    </row>
    <row r="2126" spans="1:1" x14ac:dyDescent="0.25">
      <c r="A2126" s="9">
        <f t="shared" si="57"/>
        <v>0</v>
      </c>
    </row>
    <row r="2127" spans="1:1" x14ac:dyDescent="0.25">
      <c r="A2127" s="9">
        <f t="shared" si="57"/>
        <v>0</v>
      </c>
    </row>
    <row r="2128" spans="1:1" x14ac:dyDescent="0.25">
      <c r="A2128" s="9">
        <f t="shared" si="57"/>
        <v>0</v>
      </c>
    </row>
    <row r="2129" spans="1:1" x14ac:dyDescent="0.25">
      <c r="A2129" s="9">
        <f t="shared" si="57"/>
        <v>0</v>
      </c>
    </row>
    <row r="2130" spans="1:1" x14ac:dyDescent="0.25">
      <c r="A2130" s="9">
        <f t="shared" si="57"/>
        <v>0</v>
      </c>
    </row>
    <row r="2131" spans="1:1" x14ac:dyDescent="0.25">
      <c r="A2131" s="9">
        <f t="shared" si="57"/>
        <v>0</v>
      </c>
    </row>
    <row r="2132" spans="1:1" x14ac:dyDescent="0.25">
      <c r="A2132" s="9">
        <f t="shared" si="57"/>
        <v>0</v>
      </c>
    </row>
    <row r="2133" spans="1:1" x14ac:dyDescent="0.25">
      <c r="A2133" s="9">
        <f t="shared" si="57"/>
        <v>0</v>
      </c>
    </row>
    <row r="2134" spans="1:1" x14ac:dyDescent="0.25">
      <c r="A2134" s="9">
        <f t="shared" si="57"/>
        <v>0</v>
      </c>
    </row>
    <row r="2135" spans="1:1" x14ac:dyDescent="0.25">
      <c r="A2135" s="9">
        <f t="shared" si="57"/>
        <v>0</v>
      </c>
    </row>
    <row r="2136" spans="1:1" x14ac:dyDescent="0.25">
      <c r="A2136" s="9">
        <f t="shared" si="57"/>
        <v>0</v>
      </c>
    </row>
    <row r="2137" spans="1:1" x14ac:dyDescent="0.25">
      <c r="A2137" s="9">
        <f t="shared" si="57"/>
        <v>0</v>
      </c>
    </row>
    <row r="2138" spans="1:1" x14ac:dyDescent="0.25">
      <c r="A2138" s="9">
        <f t="shared" si="57"/>
        <v>0</v>
      </c>
    </row>
    <row r="2139" spans="1:1" x14ac:dyDescent="0.25">
      <c r="A2139" s="9">
        <f t="shared" si="57"/>
        <v>0</v>
      </c>
    </row>
    <row r="2140" spans="1:1" x14ac:dyDescent="0.25">
      <c r="A2140" s="9">
        <f t="shared" si="57"/>
        <v>0</v>
      </c>
    </row>
    <row r="2141" spans="1:1" x14ac:dyDescent="0.25">
      <c r="A2141" s="9">
        <f t="shared" si="57"/>
        <v>0</v>
      </c>
    </row>
    <row r="2142" spans="1:1" x14ac:dyDescent="0.25">
      <c r="A2142" s="9">
        <f t="shared" si="57"/>
        <v>0</v>
      </c>
    </row>
    <row r="2143" spans="1:1" x14ac:dyDescent="0.25">
      <c r="A2143" s="9">
        <f t="shared" si="57"/>
        <v>0</v>
      </c>
    </row>
    <row r="2144" spans="1:1" x14ac:dyDescent="0.25">
      <c r="A2144" s="9">
        <f t="shared" si="57"/>
        <v>0</v>
      </c>
    </row>
    <row r="2145" spans="1:1" x14ac:dyDescent="0.25">
      <c r="A2145" s="9">
        <f t="shared" si="57"/>
        <v>0</v>
      </c>
    </row>
    <row r="2146" spans="1:1" x14ac:dyDescent="0.25">
      <c r="A2146" s="9">
        <f t="shared" si="57"/>
        <v>0</v>
      </c>
    </row>
    <row r="2147" spans="1:1" x14ac:dyDescent="0.25">
      <c r="A2147" s="9">
        <f t="shared" si="57"/>
        <v>0</v>
      </c>
    </row>
    <row r="2148" spans="1:1" x14ac:dyDescent="0.25">
      <c r="A2148" s="9">
        <f t="shared" si="57"/>
        <v>0</v>
      </c>
    </row>
    <row r="2149" spans="1:1" x14ac:dyDescent="0.25">
      <c r="A2149" s="9">
        <f t="shared" si="57"/>
        <v>0</v>
      </c>
    </row>
    <row r="2150" spans="1:1" x14ac:dyDescent="0.25">
      <c r="A2150" s="9">
        <f t="shared" si="57"/>
        <v>0</v>
      </c>
    </row>
    <row r="2151" spans="1:1" x14ac:dyDescent="0.25">
      <c r="A2151" s="9">
        <f t="shared" si="57"/>
        <v>0</v>
      </c>
    </row>
    <row r="2152" spans="1:1" x14ac:dyDescent="0.25">
      <c r="A2152" s="9">
        <f t="shared" si="57"/>
        <v>0</v>
      </c>
    </row>
    <row r="2153" spans="1:1" x14ac:dyDescent="0.25">
      <c r="A2153" s="9">
        <f t="shared" si="57"/>
        <v>0</v>
      </c>
    </row>
    <row r="2154" spans="1:1" x14ac:dyDescent="0.25">
      <c r="A2154" s="9">
        <f t="shared" si="57"/>
        <v>0</v>
      </c>
    </row>
    <row r="2155" spans="1:1" x14ac:dyDescent="0.25">
      <c r="A2155" s="9">
        <f t="shared" si="57"/>
        <v>0</v>
      </c>
    </row>
    <row r="2156" spans="1:1" x14ac:dyDescent="0.25">
      <c r="A2156" s="9">
        <f t="shared" si="57"/>
        <v>0</v>
      </c>
    </row>
    <row r="2157" spans="1:1" x14ac:dyDescent="0.25">
      <c r="A2157" s="9">
        <f t="shared" si="57"/>
        <v>0</v>
      </c>
    </row>
    <row r="2158" spans="1:1" x14ac:dyDescent="0.25">
      <c r="A2158" s="9">
        <f t="shared" si="57"/>
        <v>0</v>
      </c>
    </row>
    <row r="2159" spans="1:1" x14ac:dyDescent="0.25">
      <c r="A2159" s="9">
        <f t="shared" si="57"/>
        <v>0</v>
      </c>
    </row>
    <row r="2160" spans="1:1" x14ac:dyDescent="0.25">
      <c r="A2160" s="9">
        <f t="shared" si="57"/>
        <v>0</v>
      </c>
    </row>
    <row r="2161" spans="1:1" x14ac:dyDescent="0.25">
      <c r="A2161" s="9">
        <f t="shared" si="57"/>
        <v>0</v>
      </c>
    </row>
    <row r="2162" spans="1:1" x14ac:dyDescent="0.25">
      <c r="A2162" s="9">
        <f t="shared" si="57"/>
        <v>0</v>
      </c>
    </row>
    <row r="2163" spans="1:1" x14ac:dyDescent="0.25">
      <c r="A2163" s="9">
        <f t="shared" si="57"/>
        <v>0</v>
      </c>
    </row>
    <row r="2164" spans="1:1" x14ac:dyDescent="0.25">
      <c r="A2164" s="9">
        <f t="shared" si="57"/>
        <v>0</v>
      </c>
    </row>
    <row r="2165" spans="1:1" x14ac:dyDescent="0.25">
      <c r="A2165" s="9">
        <f t="shared" si="57"/>
        <v>0</v>
      </c>
    </row>
    <row r="2166" spans="1:1" x14ac:dyDescent="0.25">
      <c r="A2166" s="9">
        <f t="shared" si="57"/>
        <v>0</v>
      </c>
    </row>
    <row r="2167" spans="1:1" x14ac:dyDescent="0.25">
      <c r="A2167" s="9">
        <f t="shared" si="57"/>
        <v>0</v>
      </c>
    </row>
    <row r="2168" spans="1:1" x14ac:dyDescent="0.25">
      <c r="A2168" s="9">
        <f t="shared" si="57"/>
        <v>0</v>
      </c>
    </row>
    <row r="2169" spans="1:1" x14ac:dyDescent="0.25">
      <c r="A2169" s="9">
        <f t="shared" si="57"/>
        <v>0</v>
      </c>
    </row>
    <row r="2170" spans="1:1" x14ac:dyDescent="0.25">
      <c r="A2170" s="9">
        <f t="shared" si="57"/>
        <v>0</v>
      </c>
    </row>
    <row r="2171" spans="1:1" x14ac:dyDescent="0.25">
      <c r="A2171" s="9">
        <f t="shared" si="57"/>
        <v>0</v>
      </c>
    </row>
    <row r="2172" spans="1:1" x14ac:dyDescent="0.25">
      <c r="A2172" s="9">
        <f t="shared" si="57"/>
        <v>0</v>
      </c>
    </row>
    <row r="2173" spans="1:1" x14ac:dyDescent="0.25">
      <c r="A2173" s="9">
        <f t="shared" si="57"/>
        <v>0</v>
      </c>
    </row>
    <row r="2174" spans="1:1" x14ac:dyDescent="0.25">
      <c r="A2174" s="9">
        <f t="shared" si="57"/>
        <v>0</v>
      </c>
    </row>
    <row r="2175" spans="1:1" x14ac:dyDescent="0.25">
      <c r="A2175" s="9">
        <f t="shared" si="57"/>
        <v>0</v>
      </c>
    </row>
    <row r="2176" spans="1:1" x14ac:dyDescent="0.25">
      <c r="A2176" s="9">
        <f t="shared" si="57"/>
        <v>0</v>
      </c>
    </row>
    <row r="2177" spans="1:1" x14ac:dyDescent="0.25">
      <c r="A2177" s="9">
        <f t="shared" si="57"/>
        <v>0</v>
      </c>
    </row>
    <row r="2178" spans="1:1" x14ac:dyDescent="0.25">
      <c r="A2178" s="9">
        <f t="shared" si="57"/>
        <v>0</v>
      </c>
    </row>
    <row r="2179" spans="1:1" x14ac:dyDescent="0.25">
      <c r="A2179" s="9">
        <f t="shared" si="57"/>
        <v>0</v>
      </c>
    </row>
    <row r="2180" spans="1:1" x14ac:dyDescent="0.25">
      <c r="A2180" s="9">
        <f t="shared" si="57"/>
        <v>0</v>
      </c>
    </row>
    <row r="2181" spans="1:1" x14ac:dyDescent="0.25">
      <c r="A2181" s="9">
        <f t="shared" si="57"/>
        <v>0</v>
      </c>
    </row>
    <row r="2182" spans="1:1" x14ac:dyDescent="0.25">
      <c r="A2182" s="9">
        <f t="shared" si="57"/>
        <v>0</v>
      </c>
    </row>
    <row r="2183" spans="1:1" x14ac:dyDescent="0.25">
      <c r="A2183" s="9">
        <f t="shared" si="57"/>
        <v>0</v>
      </c>
    </row>
    <row r="2184" spans="1:1" x14ac:dyDescent="0.25">
      <c r="A2184" s="9">
        <f t="shared" si="57"/>
        <v>0</v>
      </c>
    </row>
    <row r="2185" spans="1:1" x14ac:dyDescent="0.25">
      <c r="A2185" s="9">
        <f t="shared" si="57"/>
        <v>0</v>
      </c>
    </row>
    <row r="2186" spans="1:1" x14ac:dyDescent="0.25">
      <c r="A2186" s="9">
        <f t="shared" si="57"/>
        <v>0</v>
      </c>
    </row>
    <row r="2187" spans="1:1" x14ac:dyDescent="0.25">
      <c r="A2187" s="9">
        <f t="shared" si="57"/>
        <v>0</v>
      </c>
    </row>
    <row r="2188" spans="1:1" x14ac:dyDescent="0.25">
      <c r="A2188" s="9">
        <f t="shared" ref="A2188:A2251" si="58">IF(G2188&gt;0,1,0)</f>
        <v>0</v>
      </c>
    </row>
    <row r="2189" spans="1:1" x14ac:dyDescent="0.25">
      <c r="A2189" s="9">
        <f t="shared" si="58"/>
        <v>0</v>
      </c>
    </row>
    <row r="2190" spans="1:1" x14ac:dyDescent="0.25">
      <c r="A2190" s="9">
        <f t="shared" si="58"/>
        <v>0</v>
      </c>
    </row>
    <row r="2191" spans="1:1" x14ac:dyDescent="0.25">
      <c r="A2191" s="9">
        <f t="shared" si="58"/>
        <v>0</v>
      </c>
    </row>
    <row r="2192" spans="1:1" x14ac:dyDescent="0.25">
      <c r="A2192" s="9">
        <f t="shared" si="58"/>
        <v>0</v>
      </c>
    </row>
    <row r="2193" spans="1:1" x14ac:dyDescent="0.25">
      <c r="A2193" s="9">
        <f t="shared" si="58"/>
        <v>0</v>
      </c>
    </row>
    <row r="2194" spans="1:1" x14ac:dyDescent="0.25">
      <c r="A2194" s="9">
        <f t="shared" si="58"/>
        <v>0</v>
      </c>
    </row>
    <row r="2195" spans="1:1" x14ac:dyDescent="0.25">
      <c r="A2195" s="9">
        <f t="shared" si="58"/>
        <v>0</v>
      </c>
    </row>
    <row r="2196" spans="1:1" x14ac:dyDescent="0.25">
      <c r="A2196" s="9">
        <f t="shared" si="58"/>
        <v>0</v>
      </c>
    </row>
    <row r="2197" spans="1:1" x14ac:dyDescent="0.25">
      <c r="A2197" s="9">
        <f t="shared" si="58"/>
        <v>0</v>
      </c>
    </row>
    <row r="2198" spans="1:1" x14ac:dyDescent="0.25">
      <c r="A2198" s="9">
        <f t="shared" si="58"/>
        <v>0</v>
      </c>
    </row>
    <row r="2199" spans="1:1" x14ac:dyDescent="0.25">
      <c r="A2199" s="9">
        <f t="shared" si="58"/>
        <v>0</v>
      </c>
    </row>
    <row r="2200" spans="1:1" x14ac:dyDescent="0.25">
      <c r="A2200" s="9">
        <f t="shared" si="58"/>
        <v>0</v>
      </c>
    </row>
    <row r="2201" spans="1:1" x14ac:dyDescent="0.25">
      <c r="A2201" s="9">
        <f t="shared" si="58"/>
        <v>0</v>
      </c>
    </row>
    <row r="2202" spans="1:1" x14ac:dyDescent="0.25">
      <c r="A2202" s="9">
        <f t="shared" si="58"/>
        <v>0</v>
      </c>
    </row>
    <row r="2203" spans="1:1" x14ac:dyDescent="0.25">
      <c r="A2203" s="9">
        <f t="shared" si="58"/>
        <v>0</v>
      </c>
    </row>
    <row r="2204" spans="1:1" x14ac:dyDescent="0.25">
      <c r="A2204" s="9">
        <f t="shared" si="58"/>
        <v>0</v>
      </c>
    </row>
    <row r="2205" spans="1:1" x14ac:dyDescent="0.25">
      <c r="A2205" s="9">
        <f t="shared" si="58"/>
        <v>0</v>
      </c>
    </row>
    <row r="2206" spans="1:1" x14ac:dyDescent="0.25">
      <c r="A2206" s="9">
        <f t="shared" si="58"/>
        <v>0</v>
      </c>
    </row>
    <row r="2207" spans="1:1" x14ac:dyDescent="0.25">
      <c r="A2207" s="9">
        <f t="shared" si="58"/>
        <v>0</v>
      </c>
    </row>
    <row r="2208" spans="1:1" x14ac:dyDescent="0.25">
      <c r="A2208" s="9">
        <f t="shared" si="58"/>
        <v>0</v>
      </c>
    </row>
    <row r="2209" spans="1:1" x14ac:dyDescent="0.25">
      <c r="A2209" s="9">
        <f t="shared" si="58"/>
        <v>0</v>
      </c>
    </row>
    <row r="2210" spans="1:1" x14ac:dyDescent="0.25">
      <c r="A2210" s="9">
        <f t="shared" si="58"/>
        <v>0</v>
      </c>
    </row>
    <row r="2211" spans="1:1" x14ac:dyDescent="0.25">
      <c r="A2211" s="9">
        <f t="shared" si="58"/>
        <v>0</v>
      </c>
    </row>
    <row r="2212" spans="1:1" x14ac:dyDescent="0.25">
      <c r="A2212" s="9">
        <f t="shared" si="58"/>
        <v>0</v>
      </c>
    </row>
    <row r="2213" spans="1:1" x14ac:dyDescent="0.25">
      <c r="A2213" s="9">
        <f t="shared" si="58"/>
        <v>0</v>
      </c>
    </row>
    <row r="2214" spans="1:1" x14ac:dyDescent="0.25">
      <c r="A2214" s="9">
        <f t="shared" si="58"/>
        <v>0</v>
      </c>
    </row>
    <row r="2215" spans="1:1" x14ac:dyDescent="0.25">
      <c r="A2215" s="9">
        <f t="shared" si="58"/>
        <v>0</v>
      </c>
    </row>
    <row r="2216" spans="1:1" x14ac:dyDescent="0.25">
      <c r="A2216" s="9">
        <f t="shared" si="58"/>
        <v>0</v>
      </c>
    </row>
    <row r="2217" spans="1:1" x14ac:dyDescent="0.25">
      <c r="A2217" s="9">
        <f t="shared" si="58"/>
        <v>0</v>
      </c>
    </row>
    <row r="2218" spans="1:1" x14ac:dyDescent="0.25">
      <c r="A2218" s="9">
        <f t="shared" si="58"/>
        <v>0</v>
      </c>
    </row>
    <row r="2219" spans="1:1" x14ac:dyDescent="0.25">
      <c r="A2219" s="9">
        <f t="shared" si="58"/>
        <v>0</v>
      </c>
    </row>
    <row r="2220" spans="1:1" x14ac:dyDescent="0.25">
      <c r="A2220" s="9">
        <f t="shared" si="58"/>
        <v>0</v>
      </c>
    </row>
    <row r="2221" spans="1:1" x14ac:dyDescent="0.25">
      <c r="A2221" s="9">
        <f t="shared" si="58"/>
        <v>0</v>
      </c>
    </row>
    <row r="2222" spans="1:1" x14ac:dyDescent="0.25">
      <c r="A2222" s="9">
        <f t="shared" si="58"/>
        <v>0</v>
      </c>
    </row>
    <row r="2223" spans="1:1" x14ac:dyDescent="0.25">
      <c r="A2223" s="9">
        <f t="shared" si="58"/>
        <v>0</v>
      </c>
    </row>
    <row r="2224" spans="1:1" x14ac:dyDescent="0.25">
      <c r="A2224" s="9">
        <f t="shared" si="58"/>
        <v>0</v>
      </c>
    </row>
    <row r="2225" spans="1:1" x14ac:dyDescent="0.25">
      <c r="A2225" s="9">
        <f t="shared" si="58"/>
        <v>0</v>
      </c>
    </row>
    <row r="2226" spans="1:1" x14ac:dyDescent="0.25">
      <c r="A2226" s="9">
        <f t="shared" si="58"/>
        <v>0</v>
      </c>
    </row>
    <row r="2227" spans="1:1" x14ac:dyDescent="0.25">
      <c r="A2227" s="9">
        <f t="shared" si="58"/>
        <v>0</v>
      </c>
    </row>
    <row r="2228" spans="1:1" x14ac:dyDescent="0.25">
      <c r="A2228" s="9">
        <f t="shared" si="58"/>
        <v>0</v>
      </c>
    </row>
    <row r="2229" spans="1:1" x14ac:dyDescent="0.25">
      <c r="A2229" s="9">
        <f t="shared" si="58"/>
        <v>0</v>
      </c>
    </row>
    <row r="2230" spans="1:1" x14ac:dyDescent="0.25">
      <c r="A2230" s="9">
        <f t="shared" si="58"/>
        <v>0</v>
      </c>
    </row>
    <row r="2231" spans="1:1" x14ac:dyDescent="0.25">
      <c r="A2231" s="9">
        <f t="shared" si="58"/>
        <v>0</v>
      </c>
    </row>
    <row r="2232" spans="1:1" x14ac:dyDescent="0.25">
      <c r="A2232" s="9">
        <f t="shared" si="58"/>
        <v>0</v>
      </c>
    </row>
    <row r="2233" spans="1:1" x14ac:dyDescent="0.25">
      <c r="A2233" s="9">
        <f t="shared" si="58"/>
        <v>0</v>
      </c>
    </row>
    <row r="2234" spans="1:1" x14ac:dyDescent="0.25">
      <c r="A2234" s="9">
        <f t="shared" si="58"/>
        <v>0</v>
      </c>
    </row>
    <row r="2235" spans="1:1" x14ac:dyDescent="0.25">
      <c r="A2235" s="9">
        <f t="shared" si="58"/>
        <v>0</v>
      </c>
    </row>
    <row r="2236" spans="1:1" x14ac:dyDescent="0.25">
      <c r="A2236" s="9">
        <f t="shared" si="58"/>
        <v>0</v>
      </c>
    </row>
    <row r="2237" spans="1:1" x14ac:dyDescent="0.25">
      <c r="A2237" s="9">
        <f t="shared" si="58"/>
        <v>0</v>
      </c>
    </row>
    <row r="2238" spans="1:1" x14ac:dyDescent="0.25">
      <c r="A2238" s="9">
        <f t="shared" si="58"/>
        <v>0</v>
      </c>
    </row>
    <row r="2239" spans="1:1" x14ac:dyDescent="0.25">
      <c r="A2239" s="9">
        <f t="shared" si="58"/>
        <v>0</v>
      </c>
    </row>
    <row r="2240" spans="1:1" x14ac:dyDescent="0.25">
      <c r="A2240" s="9">
        <f t="shared" si="58"/>
        <v>0</v>
      </c>
    </row>
    <row r="2241" spans="1:1" x14ac:dyDescent="0.25">
      <c r="A2241" s="9">
        <f t="shared" si="58"/>
        <v>0</v>
      </c>
    </row>
    <row r="2242" spans="1:1" x14ac:dyDescent="0.25">
      <c r="A2242" s="9">
        <f t="shared" si="58"/>
        <v>0</v>
      </c>
    </row>
    <row r="2243" spans="1:1" x14ac:dyDescent="0.25">
      <c r="A2243" s="9">
        <f t="shared" si="58"/>
        <v>0</v>
      </c>
    </row>
    <row r="2244" spans="1:1" x14ac:dyDescent="0.25">
      <c r="A2244" s="9">
        <f t="shared" si="58"/>
        <v>0</v>
      </c>
    </row>
    <row r="2245" spans="1:1" x14ac:dyDescent="0.25">
      <c r="A2245" s="9">
        <f t="shared" si="58"/>
        <v>0</v>
      </c>
    </row>
    <row r="2246" spans="1:1" x14ac:dyDescent="0.25">
      <c r="A2246" s="9">
        <f t="shared" si="58"/>
        <v>0</v>
      </c>
    </row>
    <row r="2247" spans="1:1" x14ac:dyDescent="0.25">
      <c r="A2247" s="9">
        <f t="shared" si="58"/>
        <v>0</v>
      </c>
    </row>
    <row r="2248" spans="1:1" x14ac:dyDescent="0.25">
      <c r="A2248" s="9">
        <f t="shared" si="58"/>
        <v>0</v>
      </c>
    </row>
    <row r="2249" spans="1:1" x14ac:dyDescent="0.25">
      <c r="A2249" s="9">
        <f t="shared" si="58"/>
        <v>0</v>
      </c>
    </row>
    <row r="2250" spans="1:1" x14ac:dyDescent="0.25">
      <c r="A2250" s="9">
        <f t="shared" si="58"/>
        <v>0</v>
      </c>
    </row>
    <row r="2251" spans="1:1" x14ac:dyDescent="0.25">
      <c r="A2251" s="9">
        <f t="shared" si="58"/>
        <v>0</v>
      </c>
    </row>
    <row r="2252" spans="1:1" x14ac:dyDescent="0.25">
      <c r="A2252" s="9">
        <f t="shared" ref="A2252:A2315" si="59">IF(G2252&gt;0,1,0)</f>
        <v>0</v>
      </c>
    </row>
    <row r="2253" spans="1:1" x14ac:dyDescent="0.25">
      <c r="A2253" s="9">
        <f t="shared" si="59"/>
        <v>0</v>
      </c>
    </row>
    <row r="2254" spans="1:1" x14ac:dyDescent="0.25">
      <c r="A2254" s="9">
        <f t="shared" si="59"/>
        <v>0</v>
      </c>
    </row>
    <row r="2255" spans="1:1" x14ac:dyDescent="0.25">
      <c r="A2255" s="9">
        <f t="shared" si="59"/>
        <v>0</v>
      </c>
    </row>
    <row r="2256" spans="1:1" x14ac:dyDescent="0.25">
      <c r="A2256" s="9">
        <f t="shared" si="59"/>
        <v>0</v>
      </c>
    </row>
    <row r="2257" spans="1:1" x14ac:dyDescent="0.25">
      <c r="A2257" s="9">
        <f t="shared" si="59"/>
        <v>0</v>
      </c>
    </row>
    <row r="2258" spans="1:1" x14ac:dyDescent="0.25">
      <c r="A2258" s="9">
        <f t="shared" si="59"/>
        <v>0</v>
      </c>
    </row>
    <row r="2259" spans="1:1" x14ac:dyDescent="0.25">
      <c r="A2259" s="9">
        <f t="shared" si="59"/>
        <v>0</v>
      </c>
    </row>
    <row r="2260" spans="1:1" x14ac:dyDescent="0.25">
      <c r="A2260" s="9">
        <f t="shared" si="59"/>
        <v>0</v>
      </c>
    </row>
    <row r="2261" spans="1:1" x14ac:dyDescent="0.25">
      <c r="A2261" s="9">
        <f t="shared" si="59"/>
        <v>0</v>
      </c>
    </row>
    <row r="2262" spans="1:1" x14ac:dyDescent="0.25">
      <c r="A2262" s="9">
        <f t="shared" si="59"/>
        <v>0</v>
      </c>
    </row>
    <row r="2263" spans="1:1" x14ac:dyDescent="0.25">
      <c r="A2263" s="9">
        <f t="shared" si="59"/>
        <v>0</v>
      </c>
    </row>
    <row r="2264" spans="1:1" x14ac:dyDescent="0.25">
      <c r="A2264" s="9">
        <f t="shared" si="59"/>
        <v>0</v>
      </c>
    </row>
    <row r="2265" spans="1:1" x14ac:dyDescent="0.25">
      <c r="A2265" s="9">
        <f t="shared" si="59"/>
        <v>0</v>
      </c>
    </row>
    <row r="2266" spans="1:1" x14ac:dyDescent="0.25">
      <c r="A2266" s="9">
        <f t="shared" si="59"/>
        <v>0</v>
      </c>
    </row>
    <row r="2267" spans="1:1" x14ac:dyDescent="0.25">
      <c r="A2267" s="9">
        <f t="shared" si="59"/>
        <v>0</v>
      </c>
    </row>
    <row r="2268" spans="1:1" x14ac:dyDescent="0.25">
      <c r="A2268" s="9">
        <f t="shared" si="59"/>
        <v>0</v>
      </c>
    </row>
    <row r="2269" spans="1:1" x14ac:dyDescent="0.25">
      <c r="A2269" s="9">
        <f t="shared" si="59"/>
        <v>0</v>
      </c>
    </row>
    <row r="2270" spans="1:1" x14ac:dyDescent="0.25">
      <c r="A2270" s="9">
        <f t="shared" si="59"/>
        <v>0</v>
      </c>
    </row>
    <row r="2271" spans="1:1" x14ac:dyDescent="0.25">
      <c r="A2271" s="9">
        <f t="shared" si="59"/>
        <v>0</v>
      </c>
    </row>
    <row r="2272" spans="1:1" x14ac:dyDescent="0.25">
      <c r="A2272" s="9">
        <f t="shared" si="59"/>
        <v>0</v>
      </c>
    </row>
    <row r="2273" spans="1:1" x14ac:dyDescent="0.25">
      <c r="A2273" s="9">
        <f t="shared" si="59"/>
        <v>0</v>
      </c>
    </row>
    <row r="2274" spans="1:1" x14ac:dyDescent="0.25">
      <c r="A2274" s="9">
        <f t="shared" si="59"/>
        <v>0</v>
      </c>
    </row>
    <row r="2275" spans="1:1" x14ac:dyDescent="0.25">
      <c r="A2275" s="9">
        <f t="shared" si="59"/>
        <v>0</v>
      </c>
    </row>
    <row r="2276" spans="1:1" x14ac:dyDescent="0.25">
      <c r="A2276" s="9">
        <f t="shared" si="59"/>
        <v>0</v>
      </c>
    </row>
    <row r="2277" spans="1:1" x14ac:dyDescent="0.25">
      <c r="A2277" s="9">
        <f t="shared" si="59"/>
        <v>0</v>
      </c>
    </row>
    <row r="2278" spans="1:1" x14ac:dyDescent="0.25">
      <c r="A2278" s="9">
        <f t="shared" si="59"/>
        <v>0</v>
      </c>
    </row>
    <row r="2279" spans="1:1" x14ac:dyDescent="0.25">
      <c r="A2279" s="9">
        <f t="shared" si="59"/>
        <v>0</v>
      </c>
    </row>
    <row r="2280" spans="1:1" x14ac:dyDescent="0.25">
      <c r="A2280" s="9">
        <f t="shared" si="59"/>
        <v>0</v>
      </c>
    </row>
    <row r="2281" spans="1:1" x14ac:dyDescent="0.25">
      <c r="A2281" s="9">
        <f t="shared" si="59"/>
        <v>0</v>
      </c>
    </row>
    <row r="2282" spans="1:1" x14ac:dyDescent="0.25">
      <c r="A2282" s="9">
        <f t="shared" si="59"/>
        <v>0</v>
      </c>
    </row>
    <row r="2283" spans="1:1" x14ac:dyDescent="0.25">
      <c r="A2283" s="9">
        <f t="shared" si="59"/>
        <v>0</v>
      </c>
    </row>
    <row r="2284" spans="1:1" x14ac:dyDescent="0.25">
      <c r="A2284" s="9">
        <f t="shared" si="59"/>
        <v>0</v>
      </c>
    </row>
    <row r="2285" spans="1:1" x14ac:dyDescent="0.25">
      <c r="A2285" s="9">
        <f t="shared" si="59"/>
        <v>0</v>
      </c>
    </row>
    <row r="2286" spans="1:1" x14ac:dyDescent="0.25">
      <c r="A2286" s="9">
        <f t="shared" si="59"/>
        <v>0</v>
      </c>
    </row>
    <row r="2287" spans="1:1" x14ac:dyDescent="0.25">
      <c r="A2287" s="9">
        <f t="shared" si="59"/>
        <v>0</v>
      </c>
    </row>
    <row r="2288" spans="1:1" x14ac:dyDescent="0.25">
      <c r="A2288" s="9">
        <f t="shared" si="59"/>
        <v>0</v>
      </c>
    </row>
    <row r="2289" spans="1:1" x14ac:dyDescent="0.25">
      <c r="A2289" s="9">
        <f t="shared" si="59"/>
        <v>0</v>
      </c>
    </row>
    <row r="2290" spans="1:1" x14ac:dyDescent="0.25">
      <c r="A2290" s="9">
        <f t="shared" si="59"/>
        <v>0</v>
      </c>
    </row>
    <row r="2291" spans="1:1" x14ac:dyDescent="0.25">
      <c r="A2291" s="9">
        <f t="shared" si="59"/>
        <v>0</v>
      </c>
    </row>
    <row r="2292" spans="1:1" x14ac:dyDescent="0.25">
      <c r="A2292" s="9">
        <f t="shared" si="59"/>
        <v>0</v>
      </c>
    </row>
    <row r="2293" spans="1:1" x14ac:dyDescent="0.25">
      <c r="A2293" s="9">
        <f t="shared" si="59"/>
        <v>0</v>
      </c>
    </row>
    <row r="2294" spans="1:1" x14ac:dyDescent="0.25">
      <c r="A2294" s="9">
        <f t="shared" si="59"/>
        <v>0</v>
      </c>
    </row>
    <row r="2295" spans="1:1" x14ac:dyDescent="0.25">
      <c r="A2295" s="9">
        <f t="shared" si="59"/>
        <v>0</v>
      </c>
    </row>
    <row r="2296" spans="1:1" x14ac:dyDescent="0.25">
      <c r="A2296" s="9">
        <f t="shared" si="59"/>
        <v>0</v>
      </c>
    </row>
    <row r="2297" spans="1:1" x14ac:dyDescent="0.25">
      <c r="A2297" s="9">
        <f t="shared" si="59"/>
        <v>0</v>
      </c>
    </row>
    <row r="2298" spans="1:1" x14ac:dyDescent="0.25">
      <c r="A2298" s="9">
        <f t="shared" si="59"/>
        <v>0</v>
      </c>
    </row>
    <row r="2299" spans="1:1" x14ac:dyDescent="0.25">
      <c r="A2299" s="9">
        <f t="shared" si="59"/>
        <v>0</v>
      </c>
    </row>
    <row r="2300" spans="1:1" x14ac:dyDescent="0.25">
      <c r="A2300" s="9">
        <f t="shared" si="59"/>
        <v>0</v>
      </c>
    </row>
    <row r="2301" spans="1:1" x14ac:dyDescent="0.25">
      <c r="A2301" s="9">
        <f t="shared" si="59"/>
        <v>0</v>
      </c>
    </row>
    <row r="2302" spans="1:1" x14ac:dyDescent="0.25">
      <c r="A2302" s="9">
        <f t="shared" si="59"/>
        <v>0</v>
      </c>
    </row>
    <row r="2303" spans="1:1" x14ac:dyDescent="0.25">
      <c r="A2303" s="9">
        <f t="shared" si="59"/>
        <v>0</v>
      </c>
    </row>
    <row r="2304" spans="1:1" x14ac:dyDescent="0.25">
      <c r="A2304" s="9">
        <f t="shared" si="59"/>
        <v>0</v>
      </c>
    </row>
    <row r="2305" spans="1:1" x14ac:dyDescent="0.25">
      <c r="A2305" s="9">
        <f t="shared" si="59"/>
        <v>0</v>
      </c>
    </row>
    <row r="2306" spans="1:1" x14ac:dyDescent="0.25">
      <c r="A2306" s="9">
        <f t="shared" si="59"/>
        <v>0</v>
      </c>
    </row>
    <row r="2307" spans="1:1" x14ac:dyDescent="0.25">
      <c r="A2307" s="9">
        <f t="shared" si="59"/>
        <v>0</v>
      </c>
    </row>
    <row r="2308" spans="1:1" x14ac:dyDescent="0.25">
      <c r="A2308" s="9">
        <f t="shared" si="59"/>
        <v>0</v>
      </c>
    </row>
    <row r="2309" spans="1:1" x14ac:dyDescent="0.25">
      <c r="A2309" s="9">
        <f t="shared" si="59"/>
        <v>0</v>
      </c>
    </row>
    <row r="2310" spans="1:1" x14ac:dyDescent="0.25">
      <c r="A2310" s="9">
        <f t="shared" si="59"/>
        <v>0</v>
      </c>
    </row>
    <row r="2311" spans="1:1" x14ac:dyDescent="0.25">
      <c r="A2311" s="9">
        <f t="shared" si="59"/>
        <v>0</v>
      </c>
    </row>
    <row r="2312" spans="1:1" x14ac:dyDescent="0.25">
      <c r="A2312" s="9">
        <f t="shared" si="59"/>
        <v>0</v>
      </c>
    </row>
    <row r="2313" spans="1:1" x14ac:dyDescent="0.25">
      <c r="A2313" s="9">
        <f t="shared" si="59"/>
        <v>0</v>
      </c>
    </row>
    <row r="2314" spans="1:1" x14ac:dyDescent="0.25">
      <c r="A2314" s="9">
        <f t="shared" si="59"/>
        <v>0</v>
      </c>
    </row>
    <row r="2315" spans="1:1" x14ac:dyDescent="0.25">
      <c r="A2315" s="9">
        <f t="shared" si="59"/>
        <v>0</v>
      </c>
    </row>
    <row r="2316" spans="1:1" x14ac:dyDescent="0.25">
      <c r="A2316" s="9">
        <f t="shared" ref="A2316:A2379" si="60">IF(G2316&gt;0,1,0)</f>
        <v>0</v>
      </c>
    </row>
    <row r="2317" spans="1:1" x14ac:dyDescent="0.25">
      <c r="A2317" s="9">
        <f t="shared" si="60"/>
        <v>0</v>
      </c>
    </row>
    <row r="2318" spans="1:1" x14ac:dyDescent="0.25">
      <c r="A2318" s="9">
        <f t="shared" si="60"/>
        <v>0</v>
      </c>
    </row>
    <row r="2319" spans="1:1" x14ac:dyDescent="0.25">
      <c r="A2319" s="9">
        <f t="shared" si="60"/>
        <v>0</v>
      </c>
    </row>
    <row r="2320" spans="1:1" x14ac:dyDescent="0.25">
      <c r="A2320" s="9">
        <f t="shared" si="60"/>
        <v>0</v>
      </c>
    </row>
    <row r="2321" spans="1:1" x14ac:dyDescent="0.25">
      <c r="A2321" s="9">
        <f t="shared" si="60"/>
        <v>0</v>
      </c>
    </row>
    <row r="2322" spans="1:1" x14ac:dyDescent="0.25">
      <c r="A2322" s="9">
        <f t="shared" si="60"/>
        <v>0</v>
      </c>
    </row>
    <row r="2323" spans="1:1" x14ac:dyDescent="0.25">
      <c r="A2323" s="9">
        <f t="shared" si="60"/>
        <v>0</v>
      </c>
    </row>
    <row r="2324" spans="1:1" x14ac:dyDescent="0.25">
      <c r="A2324" s="9">
        <f t="shared" si="60"/>
        <v>0</v>
      </c>
    </row>
    <row r="2325" spans="1:1" x14ac:dyDescent="0.25">
      <c r="A2325" s="9">
        <f t="shared" si="60"/>
        <v>0</v>
      </c>
    </row>
    <row r="2326" spans="1:1" x14ac:dyDescent="0.25">
      <c r="A2326" s="9">
        <f t="shared" si="60"/>
        <v>0</v>
      </c>
    </row>
    <row r="2327" spans="1:1" x14ac:dyDescent="0.25">
      <c r="A2327" s="9">
        <f t="shared" si="60"/>
        <v>0</v>
      </c>
    </row>
    <row r="2328" spans="1:1" x14ac:dyDescent="0.25">
      <c r="A2328" s="9">
        <f t="shared" si="60"/>
        <v>0</v>
      </c>
    </row>
    <row r="2329" spans="1:1" x14ac:dyDescent="0.25">
      <c r="A2329" s="9">
        <f t="shared" si="60"/>
        <v>0</v>
      </c>
    </row>
    <row r="2330" spans="1:1" x14ac:dyDescent="0.25">
      <c r="A2330" s="9">
        <f t="shared" si="60"/>
        <v>0</v>
      </c>
    </row>
    <row r="2331" spans="1:1" x14ac:dyDescent="0.25">
      <c r="A2331" s="9">
        <f t="shared" si="60"/>
        <v>0</v>
      </c>
    </row>
    <row r="2332" spans="1:1" x14ac:dyDescent="0.25">
      <c r="A2332" s="9">
        <f t="shared" si="60"/>
        <v>0</v>
      </c>
    </row>
    <row r="2333" spans="1:1" x14ac:dyDescent="0.25">
      <c r="A2333" s="9">
        <f t="shared" si="60"/>
        <v>0</v>
      </c>
    </row>
    <row r="2334" spans="1:1" x14ac:dyDescent="0.25">
      <c r="A2334" s="9">
        <f t="shared" si="60"/>
        <v>0</v>
      </c>
    </row>
    <row r="2335" spans="1:1" x14ac:dyDescent="0.25">
      <c r="A2335" s="9">
        <f t="shared" si="60"/>
        <v>0</v>
      </c>
    </row>
    <row r="2336" spans="1:1" x14ac:dyDescent="0.25">
      <c r="A2336" s="9">
        <f t="shared" si="60"/>
        <v>0</v>
      </c>
    </row>
    <row r="2337" spans="1:1" x14ac:dyDescent="0.25">
      <c r="A2337" s="9">
        <f t="shared" si="60"/>
        <v>0</v>
      </c>
    </row>
    <row r="2338" spans="1:1" x14ac:dyDescent="0.25">
      <c r="A2338" s="9">
        <f t="shared" si="60"/>
        <v>0</v>
      </c>
    </row>
    <row r="2339" spans="1:1" x14ac:dyDescent="0.25">
      <c r="A2339" s="9">
        <f t="shared" si="60"/>
        <v>0</v>
      </c>
    </row>
    <row r="2340" spans="1:1" x14ac:dyDescent="0.25">
      <c r="A2340" s="9">
        <f t="shared" si="60"/>
        <v>0</v>
      </c>
    </row>
    <row r="2341" spans="1:1" x14ac:dyDescent="0.25">
      <c r="A2341" s="9">
        <f t="shared" si="60"/>
        <v>0</v>
      </c>
    </row>
    <row r="2342" spans="1:1" x14ac:dyDescent="0.25">
      <c r="A2342" s="9">
        <f t="shared" si="60"/>
        <v>0</v>
      </c>
    </row>
    <row r="2343" spans="1:1" x14ac:dyDescent="0.25">
      <c r="A2343" s="9">
        <f t="shared" si="60"/>
        <v>0</v>
      </c>
    </row>
    <row r="2344" spans="1:1" x14ac:dyDescent="0.25">
      <c r="A2344" s="9">
        <f t="shared" si="60"/>
        <v>0</v>
      </c>
    </row>
    <row r="2345" spans="1:1" x14ac:dyDescent="0.25">
      <c r="A2345" s="9">
        <f t="shared" si="60"/>
        <v>0</v>
      </c>
    </row>
    <row r="2346" spans="1:1" x14ac:dyDescent="0.25">
      <c r="A2346" s="9">
        <f t="shared" si="60"/>
        <v>0</v>
      </c>
    </row>
    <row r="2347" spans="1:1" x14ac:dyDescent="0.25">
      <c r="A2347" s="9">
        <f t="shared" si="60"/>
        <v>0</v>
      </c>
    </row>
    <row r="2348" spans="1:1" x14ac:dyDescent="0.25">
      <c r="A2348" s="9">
        <f t="shared" si="60"/>
        <v>0</v>
      </c>
    </row>
    <row r="2349" spans="1:1" x14ac:dyDescent="0.25">
      <c r="A2349" s="9">
        <f t="shared" si="60"/>
        <v>0</v>
      </c>
    </row>
    <row r="2350" spans="1:1" x14ac:dyDescent="0.25">
      <c r="A2350" s="9">
        <f t="shared" si="60"/>
        <v>0</v>
      </c>
    </row>
    <row r="2351" spans="1:1" x14ac:dyDescent="0.25">
      <c r="A2351" s="9">
        <f t="shared" si="60"/>
        <v>0</v>
      </c>
    </row>
    <row r="2352" spans="1:1" x14ac:dyDescent="0.25">
      <c r="A2352" s="9">
        <f t="shared" si="60"/>
        <v>0</v>
      </c>
    </row>
    <row r="2353" spans="1:1" x14ac:dyDescent="0.25">
      <c r="A2353" s="9">
        <f t="shared" si="60"/>
        <v>0</v>
      </c>
    </row>
    <row r="2354" spans="1:1" x14ac:dyDescent="0.25">
      <c r="A2354" s="9">
        <f t="shared" si="60"/>
        <v>0</v>
      </c>
    </row>
    <row r="2355" spans="1:1" x14ac:dyDescent="0.25">
      <c r="A2355" s="9">
        <f t="shared" si="60"/>
        <v>0</v>
      </c>
    </row>
    <row r="2356" spans="1:1" x14ac:dyDescent="0.25">
      <c r="A2356" s="9">
        <f t="shared" si="60"/>
        <v>0</v>
      </c>
    </row>
    <row r="2357" spans="1:1" x14ac:dyDescent="0.25">
      <c r="A2357" s="9">
        <f t="shared" si="60"/>
        <v>0</v>
      </c>
    </row>
    <row r="2358" spans="1:1" x14ac:dyDescent="0.25">
      <c r="A2358" s="9">
        <f t="shared" si="60"/>
        <v>0</v>
      </c>
    </row>
    <row r="2359" spans="1:1" x14ac:dyDescent="0.25">
      <c r="A2359" s="9">
        <f t="shared" si="60"/>
        <v>0</v>
      </c>
    </row>
    <row r="2360" spans="1:1" x14ac:dyDescent="0.25">
      <c r="A2360" s="9">
        <f t="shared" si="60"/>
        <v>0</v>
      </c>
    </row>
    <row r="2361" spans="1:1" x14ac:dyDescent="0.25">
      <c r="A2361" s="9">
        <f t="shared" si="60"/>
        <v>0</v>
      </c>
    </row>
    <row r="2362" spans="1:1" x14ac:dyDescent="0.25">
      <c r="A2362" s="9">
        <f t="shared" si="60"/>
        <v>0</v>
      </c>
    </row>
    <row r="2363" spans="1:1" x14ac:dyDescent="0.25">
      <c r="A2363" s="9">
        <f t="shared" si="60"/>
        <v>0</v>
      </c>
    </row>
    <row r="2364" spans="1:1" x14ac:dyDescent="0.25">
      <c r="A2364" s="9">
        <f t="shared" si="60"/>
        <v>0</v>
      </c>
    </row>
    <row r="2365" spans="1:1" x14ac:dyDescent="0.25">
      <c r="A2365" s="9">
        <f t="shared" si="60"/>
        <v>0</v>
      </c>
    </row>
    <row r="2366" spans="1:1" x14ac:dyDescent="0.25">
      <c r="A2366" s="9">
        <f t="shared" si="60"/>
        <v>0</v>
      </c>
    </row>
    <row r="2367" spans="1:1" x14ac:dyDescent="0.25">
      <c r="A2367" s="9">
        <f t="shared" si="60"/>
        <v>0</v>
      </c>
    </row>
    <row r="2368" spans="1:1" x14ac:dyDescent="0.25">
      <c r="A2368" s="9">
        <f t="shared" si="60"/>
        <v>0</v>
      </c>
    </row>
    <row r="2369" spans="1:1" x14ac:dyDescent="0.25">
      <c r="A2369" s="9">
        <f t="shared" si="60"/>
        <v>0</v>
      </c>
    </row>
    <row r="2370" spans="1:1" x14ac:dyDescent="0.25">
      <c r="A2370" s="9">
        <f t="shared" si="60"/>
        <v>0</v>
      </c>
    </row>
    <row r="2371" spans="1:1" x14ac:dyDescent="0.25">
      <c r="A2371" s="9">
        <f t="shared" si="60"/>
        <v>0</v>
      </c>
    </row>
    <row r="2372" spans="1:1" x14ac:dyDescent="0.25">
      <c r="A2372" s="9">
        <f t="shared" si="60"/>
        <v>0</v>
      </c>
    </row>
    <row r="2373" spans="1:1" x14ac:dyDescent="0.25">
      <c r="A2373" s="9">
        <f t="shared" si="60"/>
        <v>0</v>
      </c>
    </row>
    <row r="2374" spans="1:1" x14ac:dyDescent="0.25">
      <c r="A2374" s="9">
        <f t="shared" si="60"/>
        <v>0</v>
      </c>
    </row>
    <row r="2375" spans="1:1" x14ac:dyDescent="0.25">
      <c r="A2375" s="9">
        <f t="shared" si="60"/>
        <v>0</v>
      </c>
    </row>
    <row r="2376" spans="1:1" x14ac:dyDescent="0.25">
      <c r="A2376" s="9">
        <f t="shared" si="60"/>
        <v>0</v>
      </c>
    </row>
    <row r="2377" spans="1:1" x14ac:dyDescent="0.25">
      <c r="A2377" s="9">
        <f t="shared" si="60"/>
        <v>0</v>
      </c>
    </row>
    <row r="2378" spans="1:1" x14ac:dyDescent="0.25">
      <c r="A2378" s="9">
        <f t="shared" si="60"/>
        <v>0</v>
      </c>
    </row>
    <row r="2379" spans="1:1" x14ac:dyDescent="0.25">
      <c r="A2379" s="9">
        <f t="shared" si="60"/>
        <v>0</v>
      </c>
    </row>
    <row r="2380" spans="1:1" x14ac:dyDescent="0.25">
      <c r="A2380" s="9">
        <f t="shared" ref="A2380:A2443" si="61">IF(G2380&gt;0,1,0)</f>
        <v>0</v>
      </c>
    </row>
    <row r="2381" spans="1:1" x14ac:dyDescent="0.25">
      <c r="A2381" s="9">
        <f t="shared" si="61"/>
        <v>0</v>
      </c>
    </row>
    <row r="2382" spans="1:1" x14ac:dyDescent="0.25">
      <c r="A2382" s="9">
        <f t="shared" si="61"/>
        <v>0</v>
      </c>
    </row>
    <row r="2383" spans="1:1" x14ac:dyDescent="0.25">
      <c r="A2383" s="9">
        <f t="shared" si="61"/>
        <v>0</v>
      </c>
    </row>
    <row r="2384" spans="1:1" x14ac:dyDescent="0.25">
      <c r="A2384" s="9">
        <f t="shared" si="61"/>
        <v>0</v>
      </c>
    </row>
    <row r="2385" spans="1:1" x14ac:dyDescent="0.25">
      <c r="A2385" s="9">
        <f t="shared" si="61"/>
        <v>0</v>
      </c>
    </row>
    <row r="2386" spans="1:1" x14ac:dyDescent="0.25">
      <c r="A2386" s="9">
        <f t="shared" si="61"/>
        <v>0</v>
      </c>
    </row>
    <row r="2387" spans="1:1" x14ac:dyDescent="0.25">
      <c r="A2387" s="9">
        <f t="shared" si="61"/>
        <v>0</v>
      </c>
    </row>
    <row r="2388" spans="1:1" x14ac:dyDescent="0.25">
      <c r="A2388" s="9">
        <f t="shared" si="61"/>
        <v>0</v>
      </c>
    </row>
    <row r="2389" spans="1:1" x14ac:dyDescent="0.25">
      <c r="A2389" s="9">
        <f t="shared" si="61"/>
        <v>0</v>
      </c>
    </row>
    <row r="2390" spans="1:1" x14ac:dyDescent="0.25">
      <c r="A2390" s="9">
        <f t="shared" si="61"/>
        <v>0</v>
      </c>
    </row>
    <row r="2391" spans="1:1" x14ac:dyDescent="0.25">
      <c r="A2391" s="9">
        <f t="shared" si="61"/>
        <v>0</v>
      </c>
    </row>
    <row r="2392" spans="1:1" x14ac:dyDescent="0.25">
      <c r="A2392" s="9">
        <f t="shared" si="61"/>
        <v>0</v>
      </c>
    </row>
    <row r="2393" spans="1:1" x14ac:dyDescent="0.25">
      <c r="A2393" s="9">
        <f t="shared" si="61"/>
        <v>0</v>
      </c>
    </row>
    <row r="2394" spans="1:1" x14ac:dyDescent="0.25">
      <c r="A2394" s="9">
        <f t="shared" si="61"/>
        <v>0</v>
      </c>
    </row>
    <row r="2395" spans="1:1" x14ac:dyDescent="0.25">
      <c r="A2395" s="9">
        <f t="shared" si="61"/>
        <v>0</v>
      </c>
    </row>
    <row r="2396" spans="1:1" x14ac:dyDescent="0.25">
      <c r="A2396" s="9">
        <f t="shared" si="61"/>
        <v>0</v>
      </c>
    </row>
    <row r="2397" spans="1:1" x14ac:dyDescent="0.25">
      <c r="A2397" s="9">
        <f t="shared" si="61"/>
        <v>0</v>
      </c>
    </row>
    <row r="2398" spans="1:1" x14ac:dyDescent="0.25">
      <c r="A2398" s="9">
        <f t="shared" si="61"/>
        <v>0</v>
      </c>
    </row>
    <row r="2399" spans="1:1" x14ac:dyDescent="0.25">
      <c r="A2399" s="9">
        <f t="shared" si="61"/>
        <v>0</v>
      </c>
    </row>
    <row r="2400" spans="1:1" x14ac:dyDescent="0.25">
      <c r="A2400" s="9">
        <f t="shared" si="61"/>
        <v>0</v>
      </c>
    </row>
    <row r="2401" spans="1:1" x14ac:dyDescent="0.25">
      <c r="A2401" s="9">
        <f t="shared" si="61"/>
        <v>0</v>
      </c>
    </row>
    <row r="2402" spans="1:1" x14ac:dyDescent="0.25">
      <c r="A2402" s="9">
        <f t="shared" si="61"/>
        <v>0</v>
      </c>
    </row>
    <row r="2403" spans="1:1" x14ac:dyDescent="0.25">
      <c r="A2403" s="9">
        <f t="shared" si="61"/>
        <v>0</v>
      </c>
    </row>
    <row r="2404" spans="1:1" x14ac:dyDescent="0.25">
      <c r="A2404" s="9">
        <f t="shared" si="61"/>
        <v>0</v>
      </c>
    </row>
    <row r="2405" spans="1:1" x14ac:dyDescent="0.25">
      <c r="A2405" s="9">
        <f t="shared" si="61"/>
        <v>0</v>
      </c>
    </row>
    <row r="2406" spans="1:1" x14ac:dyDescent="0.25">
      <c r="A2406" s="9">
        <f t="shared" si="61"/>
        <v>0</v>
      </c>
    </row>
    <row r="2407" spans="1:1" x14ac:dyDescent="0.25">
      <c r="A2407" s="9">
        <f t="shared" si="61"/>
        <v>0</v>
      </c>
    </row>
    <row r="2408" spans="1:1" x14ac:dyDescent="0.25">
      <c r="A2408" s="9">
        <f t="shared" si="61"/>
        <v>0</v>
      </c>
    </row>
    <row r="2409" spans="1:1" x14ac:dyDescent="0.25">
      <c r="A2409" s="9">
        <f t="shared" si="61"/>
        <v>0</v>
      </c>
    </row>
    <row r="2410" spans="1:1" x14ac:dyDescent="0.25">
      <c r="A2410" s="9">
        <f t="shared" si="61"/>
        <v>0</v>
      </c>
    </row>
    <row r="2411" spans="1:1" x14ac:dyDescent="0.25">
      <c r="A2411" s="9">
        <f t="shared" si="61"/>
        <v>0</v>
      </c>
    </row>
    <row r="2412" spans="1:1" x14ac:dyDescent="0.25">
      <c r="A2412" s="9">
        <f t="shared" si="61"/>
        <v>0</v>
      </c>
    </row>
    <row r="2413" spans="1:1" x14ac:dyDescent="0.25">
      <c r="A2413" s="9">
        <f t="shared" si="61"/>
        <v>0</v>
      </c>
    </row>
    <row r="2414" spans="1:1" x14ac:dyDescent="0.25">
      <c r="A2414" s="9">
        <f t="shared" si="61"/>
        <v>0</v>
      </c>
    </row>
    <row r="2415" spans="1:1" x14ac:dyDescent="0.25">
      <c r="A2415" s="9">
        <f t="shared" si="61"/>
        <v>0</v>
      </c>
    </row>
    <row r="2416" spans="1:1" x14ac:dyDescent="0.25">
      <c r="A2416" s="9">
        <f t="shared" si="61"/>
        <v>0</v>
      </c>
    </row>
    <row r="2417" spans="1:1" x14ac:dyDescent="0.25">
      <c r="A2417" s="9">
        <f t="shared" si="61"/>
        <v>0</v>
      </c>
    </row>
    <row r="2418" spans="1:1" x14ac:dyDescent="0.25">
      <c r="A2418" s="9">
        <f t="shared" si="61"/>
        <v>0</v>
      </c>
    </row>
    <row r="2419" spans="1:1" x14ac:dyDescent="0.25">
      <c r="A2419" s="9">
        <f t="shared" si="61"/>
        <v>0</v>
      </c>
    </row>
    <row r="2420" spans="1:1" x14ac:dyDescent="0.25">
      <c r="A2420" s="9">
        <f t="shared" si="61"/>
        <v>0</v>
      </c>
    </row>
    <row r="2421" spans="1:1" x14ac:dyDescent="0.25">
      <c r="A2421" s="9">
        <f t="shared" si="61"/>
        <v>0</v>
      </c>
    </row>
    <row r="2422" spans="1:1" x14ac:dyDescent="0.25">
      <c r="A2422" s="9">
        <f t="shared" si="61"/>
        <v>0</v>
      </c>
    </row>
    <row r="2423" spans="1:1" x14ac:dyDescent="0.25">
      <c r="A2423" s="9">
        <f t="shared" si="61"/>
        <v>0</v>
      </c>
    </row>
    <row r="2424" spans="1:1" x14ac:dyDescent="0.25">
      <c r="A2424" s="9">
        <f t="shared" si="61"/>
        <v>0</v>
      </c>
    </row>
    <row r="2425" spans="1:1" x14ac:dyDescent="0.25">
      <c r="A2425" s="9">
        <f t="shared" si="61"/>
        <v>0</v>
      </c>
    </row>
    <row r="2426" spans="1:1" x14ac:dyDescent="0.25">
      <c r="A2426" s="9">
        <f t="shared" si="61"/>
        <v>0</v>
      </c>
    </row>
    <row r="2427" spans="1:1" x14ac:dyDescent="0.25">
      <c r="A2427" s="9">
        <f t="shared" si="61"/>
        <v>0</v>
      </c>
    </row>
    <row r="2428" spans="1:1" x14ac:dyDescent="0.25">
      <c r="A2428" s="9">
        <f t="shared" si="61"/>
        <v>0</v>
      </c>
    </row>
    <row r="2429" spans="1:1" x14ac:dyDescent="0.25">
      <c r="A2429" s="9">
        <f t="shared" si="61"/>
        <v>0</v>
      </c>
    </row>
    <row r="2430" spans="1:1" x14ac:dyDescent="0.25">
      <c r="A2430" s="9">
        <f t="shared" si="61"/>
        <v>0</v>
      </c>
    </row>
    <row r="2431" spans="1:1" x14ac:dyDescent="0.25">
      <c r="A2431" s="9">
        <f t="shared" si="61"/>
        <v>0</v>
      </c>
    </row>
    <row r="2432" spans="1:1" x14ac:dyDescent="0.25">
      <c r="A2432" s="9">
        <f t="shared" si="61"/>
        <v>0</v>
      </c>
    </row>
    <row r="2433" spans="1:1" x14ac:dyDescent="0.25">
      <c r="A2433" s="9">
        <f t="shared" si="61"/>
        <v>0</v>
      </c>
    </row>
    <row r="2434" spans="1:1" x14ac:dyDescent="0.25">
      <c r="A2434" s="9">
        <f t="shared" si="61"/>
        <v>0</v>
      </c>
    </row>
    <row r="2435" spans="1:1" x14ac:dyDescent="0.25">
      <c r="A2435" s="9">
        <f t="shared" si="61"/>
        <v>0</v>
      </c>
    </row>
    <row r="2436" spans="1:1" x14ac:dyDescent="0.25">
      <c r="A2436" s="9">
        <f t="shared" si="61"/>
        <v>0</v>
      </c>
    </row>
    <row r="2437" spans="1:1" x14ac:dyDescent="0.25">
      <c r="A2437" s="9">
        <f t="shared" si="61"/>
        <v>0</v>
      </c>
    </row>
    <row r="2438" spans="1:1" x14ac:dyDescent="0.25">
      <c r="A2438" s="9">
        <f t="shared" si="61"/>
        <v>0</v>
      </c>
    </row>
    <row r="2439" spans="1:1" x14ac:dyDescent="0.25">
      <c r="A2439" s="9">
        <f t="shared" si="61"/>
        <v>0</v>
      </c>
    </row>
    <row r="2440" spans="1:1" x14ac:dyDescent="0.25">
      <c r="A2440" s="9">
        <f t="shared" si="61"/>
        <v>0</v>
      </c>
    </row>
    <row r="2441" spans="1:1" x14ac:dyDescent="0.25">
      <c r="A2441" s="9">
        <f t="shared" si="61"/>
        <v>0</v>
      </c>
    </row>
    <row r="2442" spans="1:1" x14ac:dyDescent="0.25">
      <c r="A2442" s="9">
        <f t="shared" si="61"/>
        <v>0</v>
      </c>
    </row>
    <row r="2443" spans="1:1" x14ac:dyDescent="0.25">
      <c r="A2443" s="9">
        <f t="shared" si="61"/>
        <v>0</v>
      </c>
    </row>
    <row r="2444" spans="1:1" x14ac:dyDescent="0.25">
      <c r="A2444" s="9">
        <f t="shared" ref="A2444:A2507" si="62">IF(G2444&gt;0,1,0)</f>
        <v>0</v>
      </c>
    </row>
    <row r="2445" spans="1:1" x14ac:dyDescent="0.25">
      <c r="A2445" s="9">
        <f t="shared" si="62"/>
        <v>0</v>
      </c>
    </row>
    <row r="2446" spans="1:1" x14ac:dyDescent="0.25">
      <c r="A2446" s="9">
        <f t="shared" si="62"/>
        <v>0</v>
      </c>
    </row>
    <row r="2447" spans="1:1" x14ac:dyDescent="0.25">
      <c r="A2447" s="9">
        <f t="shared" si="62"/>
        <v>0</v>
      </c>
    </row>
    <row r="2448" spans="1:1" x14ac:dyDescent="0.25">
      <c r="A2448" s="9">
        <f t="shared" si="62"/>
        <v>0</v>
      </c>
    </row>
    <row r="2449" spans="1:1" x14ac:dyDescent="0.25">
      <c r="A2449" s="9">
        <f t="shared" si="62"/>
        <v>0</v>
      </c>
    </row>
    <row r="2450" spans="1:1" x14ac:dyDescent="0.25">
      <c r="A2450" s="9">
        <f t="shared" si="62"/>
        <v>0</v>
      </c>
    </row>
    <row r="2451" spans="1:1" x14ac:dyDescent="0.25">
      <c r="A2451" s="9">
        <f t="shared" si="62"/>
        <v>0</v>
      </c>
    </row>
    <row r="2452" spans="1:1" x14ac:dyDescent="0.25">
      <c r="A2452" s="9">
        <f t="shared" si="62"/>
        <v>0</v>
      </c>
    </row>
    <row r="2453" spans="1:1" x14ac:dyDescent="0.25">
      <c r="A2453" s="9">
        <f t="shared" si="62"/>
        <v>0</v>
      </c>
    </row>
    <row r="2454" spans="1:1" x14ac:dyDescent="0.25">
      <c r="A2454" s="9">
        <f t="shared" si="62"/>
        <v>0</v>
      </c>
    </row>
    <row r="2455" spans="1:1" x14ac:dyDescent="0.25">
      <c r="A2455" s="9">
        <f t="shared" si="62"/>
        <v>0</v>
      </c>
    </row>
    <row r="2456" spans="1:1" x14ac:dyDescent="0.25">
      <c r="A2456" s="9">
        <f t="shared" si="62"/>
        <v>0</v>
      </c>
    </row>
    <row r="2457" spans="1:1" x14ac:dyDescent="0.25">
      <c r="A2457" s="9">
        <f t="shared" si="62"/>
        <v>0</v>
      </c>
    </row>
    <row r="2458" spans="1:1" x14ac:dyDescent="0.25">
      <c r="A2458" s="9">
        <f t="shared" si="62"/>
        <v>0</v>
      </c>
    </row>
    <row r="2459" spans="1:1" x14ac:dyDescent="0.25">
      <c r="A2459" s="9">
        <f t="shared" si="62"/>
        <v>0</v>
      </c>
    </row>
    <row r="2460" spans="1:1" x14ac:dyDescent="0.25">
      <c r="A2460" s="9">
        <f t="shared" si="62"/>
        <v>0</v>
      </c>
    </row>
    <row r="2461" spans="1:1" x14ac:dyDescent="0.25">
      <c r="A2461" s="9">
        <f t="shared" si="62"/>
        <v>0</v>
      </c>
    </row>
    <row r="2462" spans="1:1" x14ac:dyDescent="0.25">
      <c r="A2462" s="9">
        <f t="shared" si="62"/>
        <v>0</v>
      </c>
    </row>
    <row r="2463" spans="1:1" x14ac:dyDescent="0.25">
      <c r="A2463" s="9">
        <f t="shared" si="62"/>
        <v>0</v>
      </c>
    </row>
    <row r="2464" spans="1:1" x14ac:dyDescent="0.25">
      <c r="A2464" s="9">
        <f t="shared" si="62"/>
        <v>0</v>
      </c>
    </row>
    <row r="2465" spans="1:1" x14ac:dyDescent="0.25">
      <c r="A2465" s="9">
        <f t="shared" si="62"/>
        <v>0</v>
      </c>
    </row>
    <row r="2466" spans="1:1" x14ac:dyDescent="0.25">
      <c r="A2466" s="9">
        <f t="shared" si="62"/>
        <v>0</v>
      </c>
    </row>
    <row r="2467" spans="1:1" x14ac:dyDescent="0.25">
      <c r="A2467" s="9">
        <f t="shared" si="62"/>
        <v>0</v>
      </c>
    </row>
    <row r="2468" spans="1:1" x14ac:dyDescent="0.25">
      <c r="A2468" s="9">
        <f t="shared" si="62"/>
        <v>0</v>
      </c>
    </row>
    <row r="2469" spans="1:1" x14ac:dyDescent="0.25">
      <c r="A2469" s="9">
        <f t="shared" si="62"/>
        <v>0</v>
      </c>
    </row>
    <row r="2470" spans="1:1" x14ac:dyDescent="0.25">
      <c r="A2470" s="9">
        <f t="shared" si="62"/>
        <v>0</v>
      </c>
    </row>
    <row r="2471" spans="1:1" x14ac:dyDescent="0.25">
      <c r="A2471" s="9">
        <f t="shared" si="62"/>
        <v>0</v>
      </c>
    </row>
    <row r="2472" spans="1:1" x14ac:dyDescent="0.25">
      <c r="A2472" s="9">
        <f t="shared" si="62"/>
        <v>0</v>
      </c>
    </row>
    <row r="2473" spans="1:1" x14ac:dyDescent="0.25">
      <c r="A2473" s="9">
        <f t="shared" si="62"/>
        <v>0</v>
      </c>
    </row>
    <row r="2474" spans="1:1" x14ac:dyDescent="0.25">
      <c r="A2474" s="9">
        <f t="shared" si="62"/>
        <v>0</v>
      </c>
    </row>
    <row r="2475" spans="1:1" x14ac:dyDescent="0.25">
      <c r="A2475" s="9">
        <f t="shared" si="62"/>
        <v>0</v>
      </c>
    </row>
    <row r="2476" spans="1:1" x14ac:dyDescent="0.25">
      <c r="A2476" s="9">
        <f t="shared" si="62"/>
        <v>0</v>
      </c>
    </row>
    <row r="2477" spans="1:1" x14ac:dyDescent="0.25">
      <c r="A2477" s="9">
        <f t="shared" si="62"/>
        <v>0</v>
      </c>
    </row>
    <row r="2478" spans="1:1" x14ac:dyDescent="0.25">
      <c r="A2478" s="9">
        <f t="shared" si="62"/>
        <v>0</v>
      </c>
    </row>
    <row r="2479" spans="1:1" x14ac:dyDescent="0.25">
      <c r="A2479" s="9">
        <f t="shared" si="62"/>
        <v>0</v>
      </c>
    </row>
    <row r="2480" spans="1:1" x14ac:dyDescent="0.25">
      <c r="A2480" s="9">
        <f t="shared" si="62"/>
        <v>0</v>
      </c>
    </row>
    <row r="2481" spans="1:1" x14ac:dyDescent="0.25">
      <c r="A2481" s="9">
        <f t="shared" si="62"/>
        <v>0</v>
      </c>
    </row>
    <row r="2482" spans="1:1" x14ac:dyDescent="0.25">
      <c r="A2482" s="9">
        <f t="shared" si="62"/>
        <v>0</v>
      </c>
    </row>
    <row r="2483" spans="1:1" x14ac:dyDescent="0.25">
      <c r="A2483" s="9">
        <f t="shared" si="62"/>
        <v>0</v>
      </c>
    </row>
    <row r="2484" spans="1:1" x14ac:dyDescent="0.25">
      <c r="A2484" s="9">
        <f t="shared" si="62"/>
        <v>0</v>
      </c>
    </row>
    <row r="2485" spans="1:1" x14ac:dyDescent="0.25">
      <c r="A2485" s="9">
        <f t="shared" si="62"/>
        <v>0</v>
      </c>
    </row>
    <row r="2486" spans="1:1" x14ac:dyDescent="0.25">
      <c r="A2486" s="9">
        <f t="shared" si="62"/>
        <v>0</v>
      </c>
    </row>
    <row r="2487" spans="1:1" x14ac:dyDescent="0.25">
      <c r="A2487" s="9">
        <f t="shared" si="62"/>
        <v>0</v>
      </c>
    </row>
    <row r="2488" spans="1:1" x14ac:dyDescent="0.25">
      <c r="A2488" s="9">
        <f t="shared" si="62"/>
        <v>0</v>
      </c>
    </row>
    <row r="2489" spans="1:1" x14ac:dyDescent="0.25">
      <c r="A2489" s="9">
        <f t="shared" si="62"/>
        <v>0</v>
      </c>
    </row>
    <row r="2490" spans="1:1" x14ac:dyDescent="0.25">
      <c r="A2490" s="9">
        <f t="shared" si="62"/>
        <v>0</v>
      </c>
    </row>
    <row r="2491" spans="1:1" x14ac:dyDescent="0.25">
      <c r="A2491" s="9">
        <f t="shared" si="62"/>
        <v>0</v>
      </c>
    </row>
    <row r="2492" spans="1:1" x14ac:dyDescent="0.25">
      <c r="A2492" s="9">
        <f t="shared" si="62"/>
        <v>0</v>
      </c>
    </row>
    <row r="2493" spans="1:1" x14ac:dyDescent="0.25">
      <c r="A2493" s="9">
        <f t="shared" si="62"/>
        <v>0</v>
      </c>
    </row>
    <row r="2494" spans="1:1" x14ac:dyDescent="0.25">
      <c r="A2494" s="9">
        <f t="shared" si="62"/>
        <v>0</v>
      </c>
    </row>
    <row r="2495" spans="1:1" x14ac:dyDescent="0.25">
      <c r="A2495" s="9">
        <f t="shared" si="62"/>
        <v>0</v>
      </c>
    </row>
    <row r="2496" spans="1:1" x14ac:dyDescent="0.25">
      <c r="A2496" s="9">
        <f t="shared" si="62"/>
        <v>0</v>
      </c>
    </row>
    <row r="2497" spans="1:1" x14ac:dyDescent="0.25">
      <c r="A2497" s="9">
        <f t="shared" si="62"/>
        <v>0</v>
      </c>
    </row>
    <row r="2498" spans="1:1" x14ac:dyDescent="0.25">
      <c r="A2498" s="9">
        <f t="shared" si="62"/>
        <v>0</v>
      </c>
    </row>
    <row r="2499" spans="1:1" x14ac:dyDescent="0.25">
      <c r="A2499" s="9">
        <f t="shared" si="62"/>
        <v>0</v>
      </c>
    </row>
    <row r="2500" spans="1:1" x14ac:dyDescent="0.25">
      <c r="A2500" s="9">
        <f t="shared" si="62"/>
        <v>0</v>
      </c>
    </row>
    <row r="2501" spans="1:1" x14ac:dyDescent="0.25">
      <c r="A2501" s="9">
        <f t="shared" si="62"/>
        <v>0</v>
      </c>
    </row>
    <row r="2502" spans="1:1" x14ac:dyDescent="0.25">
      <c r="A2502" s="9">
        <f t="shared" si="62"/>
        <v>0</v>
      </c>
    </row>
    <row r="2503" spans="1:1" x14ac:dyDescent="0.25">
      <c r="A2503" s="9">
        <f t="shared" si="62"/>
        <v>0</v>
      </c>
    </row>
    <row r="2504" spans="1:1" x14ac:dyDescent="0.25">
      <c r="A2504" s="9">
        <f t="shared" si="62"/>
        <v>0</v>
      </c>
    </row>
    <row r="2505" spans="1:1" x14ac:dyDescent="0.25">
      <c r="A2505" s="9">
        <f t="shared" si="62"/>
        <v>0</v>
      </c>
    </row>
    <row r="2506" spans="1:1" x14ac:dyDescent="0.25">
      <c r="A2506" s="9">
        <f t="shared" si="62"/>
        <v>0</v>
      </c>
    </row>
    <row r="2507" spans="1:1" x14ac:dyDescent="0.25">
      <c r="A2507" s="9">
        <f t="shared" si="62"/>
        <v>0</v>
      </c>
    </row>
    <row r="2508" spans="1:1" x14ac:dyDescent="0.25">
      <c r="A2508" s="9">
        <f t="shared" ref="A2508:A2571" si="63">IF(G2508&gt;0,1,0)</f>
        <v>0</v>
      </c>
    </row>
    <row r="2509" spans="1:1" x14ac:dyDescent="0.25">
      <c r="A2509" s="9">
        <f t="shared" si="63"/>
        <v>0</v>
      </c>
    </row>
    <row r="2510" spans="1:1" x14ac:dyDescent="0.25">
      <c r="A2510" s="9">
        <f t="shared" si="63"/>
        <v>0</v>
      </c>
    </row>
    <row r="2511" spans="1:1" x14ac:dyDescent="0.25">
      <c r="A2511" s="9">
        <f t="shared" si="63"/>
        <v>0</v>
      </c>
    </row>
    <row r="2512" spans="1:1" x14ac:dyDescent="0.25">
      <c r="A2512" s="9">
        <f t="shared" si="63"/>
        <v>0</v>
      </c>
    </row>
    <row r="2513" spans="1:1" x14ac:dyDescent="0.25">
      <c r="A2513" s="9">
        <f t="shared" si="63"/>
        <v>0</v>
      </c>
    </row>
    <row r="2514" spans="1:1" x14ac:dyDescent="0.25">
      <c r="A2514" s="9">
        <f t="shared" si="63"/>
        <v>0</v>
      </c>
    </row>
    <row r="2515" spans="1:1" x14ac:dyDescent="0.25">
      <c r="A2515" s="9">
        <f t="shared" si="63"/>
        <v>0</v>
      </c>
    </row>
    <row r="2516" spans="1:1" x14ac:dyDescent="0.25">
      <c r="A2516" s="9">
        <f t="shared" si="63"/>
        <v>0</v>
      </c>
    </row>
    <row r="2517" spans="1:1" x14ac:dyDescent="0.25">
      <c r="A2517" s="9">
        <f t="shared" si="63"/>
        <v>0</v>
      </c>
    </row>
    <row r="2518" spans="1:1" x14ac:dyDescent="0.25">
      <c r="A2518" s="9">
        <f t="shared" si="63"/>
        <v>0</v>
      </c>
    </row>
    <row r="2519" spans="1:1" x14ac:dyDescent="0.25">
      <c r="A2519" s="9">
        <f t="shared" si="63"/>
        <v>0</v>
      </c>
    </row>
    <row r="2520" spans="1:1" x14ac:dyDescent="0.25">
      <c r="A2520" s="9">
        <f t="shared" si="63"/>
        <v>0</v>
      </c>
    </row>
    <row r="2521" spans="1:1" x14ac:dyDescent="0.25">
      <c r="A2521" s="9">
        <f t="shared" si="63"/>
        <v>0</v>
      </c>
    </row>
    <row r="2522" spans="1:1" x14ac:dyDescent="0.25">
      <c r="A2522" s="9">
        <f t="shared" si="63"/>
        <v>0</v>
      </c>
    </row>
    <row r="2523" spans="1:1" x14ac:dyDescent="0.25">
      <c r="A2523" s="9">
        <f t="shared" si="63"/>
        <v>0</v>
      </c>
    </row>
    <row r="2524" spans="1:1" x14ac:dyDescent="0.25">
      <c r="A2524" s="9">
        <f t="shared" si="63"/>
        <v>0</v>
      </c>
    </row>
    <row r="2525" spans="1:1" x14ac:dyDescent="0.25">
      <c r="A2525" s="9">
        <f t="shared" si="63"/>
        <v>0</v>
      </c>
    </row>
    <row r="2526" spans="1:1" x14ac:dyDescent="0.25">
      <c r="A2526" s="9">
        <f t="shared" si="63"/>
        <v>0</v>
      </c>
    </row>
    <row r="2527" spans="1:1" x14ac:dyDescent="0.25">
      <c r="A2527" s="9">
        <f t="shared" si="63"/>
        <v>0</v>
      </c>
    </row>
    <row r="2528" spans="1:1" x14ac:dyDescent="0.25">
      <c r="A2528" s="9">
        <f t="shared" si="63"/>
        <v>0</v>
      </c>
    </row>
    <row r="2529" spans="1:1" x14ac:dyDescent="0.25">
      <c r="A2529" s="9">
        <f t="shared" si="63"/>
        <v>0</v>
      </c>
    </row>
    <row r="2530" spans="1:1" x14ac:dyDescent="0.25">
      <c r="A2530" s="9">
        <f t="shared" si="63"/>
        <v>0</v>
      </c>
    </row>
    <row r="2531" spans="1:1" x14ac:dyDescent="0.25">
      <c r="A2531" s="9">
        <f t="shared" si="63"/>
        <v>0</v>
      </c>
    </row>
    <row r="2532" spans="1:1" x14ac:dyDescent="0.25">
      <c r="A2532" s="9">
        <f t="shared" si="63"/>
        <v>0</v>
      </c>
    </row>
    <row r="2533" spans="1:1" x14ac:dyDescent="0.25">
      <c r="A2533" s="9">
        <f t="shared" si="63"/>
        <v>0</v>
      </c>
    </row>
    <row r="2534" spans="1:1" x14ac:dyDescent="0.25">
      <c r="A2534" s="9">
        <f t="shared" si="63"/>
        <v>0</v>
      </c>
    </row>
    <row r="2535" spans="1:1" x14ac:dyDescent="0.25">
      <c r="A2535" s="9">
        <f t="shared" si="63"/>
        <v>0</v>
      </c>
    </row>
    <row r="2536" spans="1:1" x14ac:dyDescent="0.25">
      <c r="A2536" s="9">
        <f t="shared" si="63"/>
        <v>0</v>
      </c>
    </row>
    <row r="2537" spans="1:1" x14ac:dyDescent="0.25">
      <c r="A2537" s="9">
        <f t="shared" si="63"/>
        <v>0</v>
      </c>
    </row>
    <row r="2538" spans="1:1" x14ac:dyDescent="0.25">
      <c r="A2538" s="9">
        <f t="shared" si="63"/>
        <v>0</v>
      </c>
    </row>
    <row r="2539" spans="1:1" x14ac:dyDescent="0.25">
      <c r="A2539" s="9">
        <f t="shared" si="63"/>
        <v>0</v>
      </c>
    </row>
    <row r="2540" spans="1:1" x14ac:dyDescent="0.25">
      <c r="A2540" s="9">
        <f t="shared" si="63"/>
        <v>0</v>
      </c>
    </row>
    <row r="2541" spans="1:1" x14ac:dyDescent="0.25">
      <c r="A2541" s="9">
        <f t="shared" si="63"/>
        <v>0</v>
      </c>
    </row>
    <row r="2542" spans="1:1" x14ac:dyDescent="0.25">
      <c r="A2542" s="9">
        <f t="shared" si="63"/>
        <v>0</v>
      </c>
    </row>
    <row r="2543" spans="1:1" x14ac:dyDescent="0.25">
      <c r="A2543" s="9">
        <f t="shared" si="63"/>
        <v>0</v>
      </c>
    </row>
    <row r="2544" spans="1:1" x14ac:dyDescent="0.25">
      <c r="A2544" s="9">
        <f t="shared" si="63"/>
        <v>0</v>
      </c>
    </row>
    <row r="2545" spans="1:1" x14ac:dyDescent="0.25">
      <c r="A2545" s="9">
        <f t="shared" si="63"/>
        <v>0</v>
      </c>
    </row>
    <row r="2546" spans="1:1" x14ac:dyDescent="0.25">
      <c r="A2546" s="9">
        <f t="shared" si="63"/>
        <v>0</v>
      </c>
    </row>
    <row r="2547" spans="1:1" x14ac:dyDescent="0.25">
      <c r="A2547" s="9">
        <f t="shared" si="63"/>
        <v>0</v>
      </c>
    </row>
    <row r="2548" spans="1:1" x14ac:dyDescent="0.25">
      <c r="A2548" s="9">
        <f t="shared" si="63"/>
        <v>0</v>
      </c>
    </row>
    <row r="2549" spans="1:1" x14ac:dyDescent="0.25">
      <c r="A2549" s="9">
        <f t="shared" si="63"/>
        <v>0</v>
      </c>
    </row>
    <row r="2550" spans="1:1" x14ac:dyDescent="0.25">
      <c r="A2550" s="9">
        <f t="shared" si="63"/>
        <v>0</v>
      </c>
    </row>
    <row r="2551" spans="1:1" x14ac:dyDescent="0.25">
      <c r="A2551" s="9">
        <f t="shared" si="63"/>
        <v>0</v>
      </c>
    </row>
    <row r="2552" spans="1:1" x14ac:dyDescent="0.25">
      <c r="A2552" s="9">
        <f t="shared" si="63"/>
        <v>0</v>
      </c>
    </row>
    <row r="2553" spans="1:1" x14ac:dyDescent="0.25">
      <c r="A2553" s="9">
        <f t="shared" si="63"/>
        <v>0</v>
      </c>
    </row>
    <row r="2554" spans="1:1" x14ac:dyDescent="0.25">
      <c r="A2554" s="9">
        <f t="shared" si="63"/>
        <v>0</v>
      </c>
    </row>
    <row r="2555" spans="1:1" x14ac:dyDescent="0.25">
      <c r="A2555" s="9">
        <f t="shared" si="63"/>
        <v>0</v>
      </c>
    </row>
    <row r="2556" spans="1:1" x14ac:dyDescent="0.25">
      <c r="A2556" s="9">
        <f t="shared" si="63"/>
        <v>0</v>
      </c>
    </row>
    <row r="2557" spans="1:1" x14ac:dyDescent="0.25">
      <c r="A2557" s="9">
        <f t="shared" si="63"/>
        <v>0</v>
      </c>
    </row>
    <row r="2558" spans="1:1" x14ac:dyDescent="0.25">
      <c r="A2558" s="9">
        <f t="shared" si="63"/>
        <v>0</v>
      </c>
    </row>
    <row r="2559" spans="1:1" x14ac:dyDescent="0.25">
      <c r="A2559" s="9">
        <f t="shared" si="63"/>
        <v>0</v>
      </c>
    </row>
    <row r="2560" spans="1:1" x14ac:dyDescent="0.25">
      <c r="A2560" s="9">
        <f t="shared" si="63"/>
        <v>0</v>
      </c>
    </row>
    <row r="2561" spans="1:1" x14ac:dyDescent="0.25">
      <c r="A2561" s="9">
        <f t="shared" si="63"/>
        <v>0</v>
      </c>
    </row>
    <row r="2562" spans="1:1" x14ac:dyDescent="0.25">
      <c r="A2562" s="9">
        <f t="shared" si="63"/>
        <v>0</v>
      </c>
    </row>
    <row r="2563" spans="1:1" x14ac:dyDescent="0.25">
      <c r="A2563" s="9">
        <f t="shared" si="63"/>
        <v>0</v>
      </c>
    </row>
    <row r="2564" spans="1:1" x14ac:dyDescent="0.25">
      <c r="A2564" s="9">
        <f t="shared" si="63"/>
        <v>0</v>
      </c>
    </row>
    <row r="2565" spans="1:1" x14ac:dyDescent="0.25">
      <c r="A2565" s="9">
        <f t="shared" si="63"/>
        <v>0</v>
      </c>
    </row>
    <row r="2566" spans="1:1" x14ac:dyDescent="0.25">
      <c r="A2566" s="9">
        <f t="shared" si="63"/>
        <v>0</v>
      </c>
    </row>
    <row r="2567" spans="1:1" x14ac:dyDescent="0.25">
      <c r="A2567" s="9">
        <f t="shared" si="63"/>
        <v>0</v>
      </c>
    </row>
    <row r="2568" spans="1:1" x14ac:dyDescent="0.25">
      <c r="A2568" s="9">
        <f t="shared" si="63"/>
        <v>0</v>
      </c>
    </row>
    <row r="2569" spans="1:1" x14ac:dyDescent="0.25">
      <c r="A2569" s="9">
        <f t="shared" si="63"/>
        <v>0</v>
      </c>
    </row>
    <row r="2570" spans="1:1" x14ac:dyDescent="0.25">
      <c r="A2570" s="9">
        <f t="shared" si="63"/>
        <v>0</v>
      </c>
    </row>
    <row r="2571" spans="1:1" x14ac:dyDescent="0.25">
      <c r="A2571" s="9">
        <f t="shared" si="63"/>
        <v>0</v>
      </c>
    </row>
    <row r="2572" spans="1:1" x14ac:dyDescent="0.25">
      <c r="A2572" s="9">
        <f t="shared" ref="A2572:A2635" si="64">IF(G2572&gt;0,1,0)</f>
        <v>0</v>
      </c>
    </row>
    <row r="2573" spans="1:1" x14ac:dyDescent="0.25">
      <c r="A2573" s="9">
        <f t="shared" si="64"/>
        <v>0</v>
      </c>
    </row>
    <row r="2574" spans="1:1" x14ac:dyDescent="0.25">
      <c r="A2574" s="9">
        <f t="shared" si="64"/>
        <v>0</v>
      </c>
    </row>
    <row r="2575" spans="1:1" x14ac:dyDescent="0.25">
      <c r="A2575" s="9">
        <f t="shared" si="64"/>
        <v>0</v>
      </c>
    </row>
    <row r="2576" spans="1:1" x14ac:dyDescent="0.25">
      <c r="A2576" s="9">
        <f t="shared" si="64"/>
        <v>0</v>
      </c>
    </row>
    <row r="2577" spans="1:1" x14ac:dyDescent="0.25">
      <c r="A2577" s="9">
        <f t="shared" si="64"/>
        <v>0</v>
      </c>
    </row>
    <row r="2578" spans="1:1" x14ac:dyDescent="0.25">
      <c r="A2578" s="9">
        <f t="shared" si="64"/>
        <v>0</v>
      </c>
    </row>
    <row r="2579" spans="1:1" x14ac:dyDescent="0.25">
      <c r="A2579" s="9">
        <f t="shared" si="64"/>
        <v>0</v>
      </c>
    </row>
    <row r="2580" spans="1:1" x14ac:dyDescent="0.25">
      <c r="A2580" s="9">
        <f t="shared" si="64"/>
        <v>0</v>
      </c>
    </row>
    <row r="2581" spans="1:1" x14ac:dyDescent="0.25">
      <c r="A2581" s="9">
        <f t="shared" si="64"/>
        <v>0</v>
      </c>
    </row>
    <row r="2582" spans="1:1" x14ac:dyDescent="0.25">
      <c r="A2582" s="9">
        <f t="shared" si="64"/>
        <v>0</v>
      </c>
    </row>
    <row r="2583" spans="1:1" x14ac:dyDescent="0.25">
      <c r="A2583" s="9">
        <f t="shared" si="64"/>
        <v>0</v>
      </c>
    </row>
    <row r="2584" spans="1:1" x14ac:dyDescent="0.25">
      <c r="A2584" s="9">
        <f t="shared" si="64"/>
        <v>0</v>
      </c>
    </row>
    <row r="2585" spans="1:1" x14ac:dyDescent="0.25">
      <c r="A2585" s="9">
        <f t="shared" si="64"/>
        <v>0</v>
      </c>
    </row>
    <row r="2586" spans="1:1" x14ac:dyDescent="0.25">
      <c r="A2586" s="9">
        <f t="shared" si="64"/>
        <v>0</v>
      </c>
    </row>
    <row r="2587" spans="1:1" x14ac:dyDescent="0.25">
      <c r="A2587" s="9">
        <f t="shared" si="64"/>
        <v>0</v>
      </c>
    </row>
    <row r="2588" spans="1:1" x14ac:dyDescent="0.25">
      <c r="A2588" s="9">
        <f t="shared" si="64"/>
        <v>0</v>
      </c>
    </row>
    <row r="2589" spans="1:1" x14ac:dyDescent="0.25">
      <c r="A2589" s="9">
        <f t="shared" si="64"/>
        <v>0</v>
      </c>
    </row>
    <row r="2590" spans="1:1" x14ac:dyDescent="0.25">
      <c r="A2590" s="9">
        <f t="shared" si="64"/>
        <v>0</v>
      </c>
    </row>
    <row r="2591" spans="1:1" x14ac:dyDescent="0.25">
      <c r="A2591" s="9">
        <f t="shared" si="64"/>
        <v>0</v>
      </c>
    </row>
    <row r="2592" spans="1:1" x14ac:dyDescent="0.25">
      <c r="A2592" s="9">
        <f t="shared" si="64"/>
        <v>0</v>
      </c>
    </row>
    <row r="2593" spans="1:1" x14ac:dyDescent="0.25">
      <c r="A2593" s="9">
        <f t="shared" si="64"/>
        <v>0</v>
      </c>
    </row>
    <row r="2594" spans="1:1" x14ac:dyDescent="0.25">
      <c r="A2594" s="9">
        <f t="shared" si="64"/>
        <v>0</v>
      </c>
    </row>
    <row r="2595" spans="1:1" x14ac:dyDescent="0.25">
      <c r="A2595" s="9">
        <f t="shared" si="64"/>
        <v>0</v>
      </c>
    </row>
    <row r="2596" spans="1:1" x14ac:dyDescent="0.25">
      <c r="A2596" s="9">
        <f t="shared" si="64"/>
        <v>0</v>
      </c>
    </row>
    <row r="2597" spans="1:1" x14ac:dyDescent="0.25">
      <c r="A2597" s="9">
        <f t="shared" si="64"/>
        <v>0</v>
      </c>
    </row>
    <row r="2598" spans="1:1" x14ac:dyDescent="0.25">
      <c r="A2598" s="9">
        <f t="shared" si="64"/>
        <v>0</v>
      </c>
    </row>
    <row r="2599" spans="1:1" x14ac:dyDescent="0.25">
      <c r="A2599" s="9">
        <f t="shared" si="64"/>
        <v>0</v>
      </c>
    </row>
    <row r="2600" spans="1:1" x14ac:dyDescent="0.25">
      <c r="A2600" s="9">
        <f t="shared" si="64"/>
        <v>0</v>
      </c>
    </row>
    <row r="2601" spans="1:1" x14ac:dyDescent="0.25">
      <c r="A2601" s="9">
        <f t="shared" si="64"/>
        <v>0</v>
      </c>
    </row>
    <row r="2602" spans="1:1" x14ac:dyDescent="0.25">
      <c r="A2602" s="9">
        <f t="shared" si="64"/>
        <v>0</v>
      </c>
    </row>
    <row r="2603" spans="1:1" x14ac:dyDescent="0.25">
      <c r="A2603" s="9">
        <f t="shared" si="64"/>
        <v>0</v>
      </c>
    </row>
    <row r="2604" spans="1:1" x14ac:dyDescent="0.25">
      <c r="A2604" s="9">
        <f t="shared" si="64"/>
        <v>0</v>
      </c>
    </row>
    <row r="2605" spans="1:1" x14ac:dyDescent="0.25">
      <c r="A2605" s="9">
        <f t="shared" si="64"/>
        <v>0</v>
      </c>
    </row>
    <row r="2606" spans="1:1" x14ac:dyDescent="0.25">
      <c r="A2606" s="9">
        <f t="shared" si="64"/>
        <v>0</v>
      </c>
    </row>
    <row r="2607" spans="1:1" x14ac:dyDescent="0.25">
      <c r="A2607" s="9">
        <f t="shared" si="64"/>
        <v>0</v>
      </c>
    </row>
    <row r="2608" spans="1:1" x14ac:dyDescent="0.25">
      <c r="A2608" s="9">
        <f t="shared" si="64"/>
        <v>0</v>
      </c>
    </row>
    <row r="2609" spans="1:1" x14ac:dyDescent="0.25">
      <c r="A2609" s="9">
        <f t="shared" si="64"/>
        <v>0</v>
      </c>
    </row>
    <row r="2610" spans="1:1" x14ac:dyDescent="0.25">
      <c r="A2610" s="9">
        <f t="shared" si="64"/>
        <v>0</v>
      </c>
    </row>
    <row r="2611" spans="1:1" x14ac:dyDescent="0.25">
      <c r="A2611" s="9">
        <f t="shared" si="64"/>
        <v>0</v>
      </c>
    </row>
    <row r="2612" spans="1:1" x14ac:dyDescent="0.25">
      <c r="A2612" s="9">
        <f t="shared" si="64"/>
        <v>0</v>
      </c>
    </row>
    <row r="2613" spans="1:1" x14ac:dyDescent="0.25">
      <c r="A2613" s="9">
        <f t="shared" si="64"/>
        <v>0</v>
      </c>
    </row>
    <row r="2614" spans="1:1" x14ac:dyDescent="0.25">
      <c r="A2614" s="9">
        <f t="shared" si="64"/>
        <v>0</v>
      </c>
    </row>
    <row r="2615" spans="1:1" x14ac:dyDescent="0.25">
      <c r="A2615" s="9">
        <f t="shared" si="64"/>
        <v>0</v>
      </c>
    </row>
    <row r="2616" spans="1:1" x14ac:dyDescent="0.25">
      <c r="A2616" s="9">
        <f t="shared" si="64"/>
        <v>0</v>
      </c>
    </row>
    <row r="2617" spans="1:1" x14ac:dyDescent="0.25">
      <c r="A2617" s="9">
        <f t="shared" si="64"/>
        <v>0</v>
      </c>
    </row>
    <row r="2618" spans="1:1" x14ac:dyDescent="0.25">
      <c r="A2618" s="9">
        <f t="shared" si="64"/>
        <v>0</v>
      </c>
    </row>
    <row r="2619" spans="1:1" x14ac:dyDescent="0.25">
      <c r="A2619" s="9">
        <f t="shared" si="64"/>
        <v>0</v>
      </c>
    </row>
    <row r="2620" spans="1:1" x14ac:dyDescent="0.25">
      <c r="A2620" s="9">
        <f t="shared" si="64"/>
        <v>0</v>
      </c>
    </row>
    <row r="2621" spans="1:1" x14ac:dyDescent="0.25">
      <c r="A2621" s="9">
        <f t="shared" si="64"/>
        <v>0</v>
      </c>
    </row>
    <row r="2622" spans="1:1" x14ac:dyDescent="0.25">
      <c r="A2622" s="9">
        <f t="shared" si="64"/>
        <v>0</v>
      </c>
    </row>
    <row r="2623" spans="1:1" x14ac:dyDescent="0.25">
      <c r="A2623" s="9">
        <f t="shared" si="64"/>
        <v>0</v>
      </c>
    </row>
    <row r="2624" spans="1:1" x14ac:dyDescent="0.25">
      <c r="A2624" s="9">
        <f t="shared" si="64"/>
        <v>0</v>
      </c>
    </row>
    <row r="2625" spans="1:1" x14ac:dyDescent="0.25">
      <c r="A2625" s="9">
        <f t="shared" si="64"/>
        <v>0</v>
      </c>
    </row>
    <row r="2626" spans="1:1" x14ac:dyDescent="0.25">
      <c r="A2626" s="9">
        <f t="shared" si="64"/>
        <v>0</v>
      </c>
    </row>
    <row r="2627" spans="1:1" x14ac:dyDescent="0.25">
      <c r="A2627" s="9">
        <f t="shared" si="64"/>
        <v>0</v>
      </c>
    </row>
    <row r="2628" spans="1:1" x14ac:dyDescent="0.25">
      <c r="A2628" s="9">
        <f t="shared" si="64"/>
        <v>0</v>
      </c>
    </row>
    <row r="2629" spans="1:1" x14ac:dyDescent="0.25">
      <c r="A2629" s="9">
        <f t="shared" si="64"/>
        <v>0</v>
      </c>
    </row>
    <row r="2630" spans="1:1" x14ac:dyDescent="0.25">
      <c r="A2630" s="9">
        <f t="shared" si="64"/>
        <v>0</v>
      </c>
    </row>
    <row r="2631" spans="1:1" x14ac:dyDescent="0.25">
      <c r="A2631" s="9">
        <f t="shared" si="64"/>
        <v>0</v>
      </c>
    </row>
    <row r="2632" spans="1:1" x14ac:dyDescent="0.25">
      <c r="A2632" s="9">
        <f t="shared" si="64"/>
        <v>0</v>
      </c>
    </row>
    <row r="2633" spans="1:1" x14ac:dyDescent="0.25">
      <c r="A2633" s="9">
        <f t="shared" si="64"/>
        <v>0</v>
      </c>
    </row>
    <row r="2634" spans="1:1" x14ac:dyDescent="0.25">
      <c r="A2634" s="9">
        <f t="shared" si="64"/>
        <v>0</v>
      </c>
    </row>
    <row r="2635" spans="1:1" x14ac:dyDescent="0.25">
      <c r="A2635" s="9">
        <f t="shared" si="64"/>
        <v>0</v>
      </c>
    </row>
    <row r="2636" spans="1:1" x14ac:dyDescent="0.25">
      <c r="A2636" s="9">
        <f t="shared" ref="A2636:A2699" si="65">IF(G2636&gt;0,1,0)</f>
        <v>0</v>
      </c>
    </row>
    <row r="2637" spans="1:1" x14ac:dyDescent="0.25">
      <c r="A2637" s="9">
        <f t="shared" si="65"/>
        <v>0</v>
      </c>
    </row>
    <row r="2638" spans="1:1" x14ac:dyDescent="0.25">
      <c r="A2638" s="9">
        <f t="shared" si="65"/>
        <v>0</v>
      </c>
    </row>
    <row r="2639" spans="1:1" x14ac:dyDescent="0.25">
      <c r="A2639" s="9">
        <f t="shared" si="65"/>
        <v>0</v>
      </c>
    </row>
    <row r="2640" spans="1:1" x14ac:dyDescent="0.25">
      <c r="A2640" s="9">
        <f t="shared" si="65"/>
        <v>0</v>
      </c>
    </row>
    <row r="2641" spans="1:1" x14ac:dyDescent="0.25">
      <c r="A2641" s="9">
        <f t="shared" si="65"/>
        <v>0</v>
      </c>
    </row>
    <row r="2642" spans="1:1" x14ac:dyDescent="0.25">
      <c r="A2642" s="9">
        <f t="shared" si="65"/>
        <v>0</v>
      </c>
    </row>
    <row r="2643" spans="1:1" x14ac:dyDescent="0.25">
      <c r="A2643" s="9">
        <f t="shared" si="65"/>
        <v>0</v>
      </c>
    </row>
    <row r="2644" spans="1:1" x14ac:dyDescent="0.25">
      <c r="A2644" s="9">
        <f t="shared" si="65"/>
        <v>0</v>
      </c>
    </row>
    <row r="2645" spans="1:1" x14ac:dyDescent="0.25">
      <c r="A2645" s="9">
        <f t="shared" si="65"/>
        <v>0</v>
      </c>
    </row>
    <row r="2646" spans="1:1" x14ac:dyDescent="0.25">
      <c r="A2646" s="9">
        <f t="shared" si="65"/>
        <v>0</v>
      </c>
    </row>
    <row r="2647" spans="1:1" x14ac:dyDescent="0.25">
      <c r="A2647" s="9">
        <f t="shared" si="65"/>
        <v>0</v>
      </c>
    </row>
    <row r="2648" spans="1:1" x14ac:dyDescent="0.25">
      <c r="A2648" s="9">
        <f t="shared" si="65"/>
        <v>0</v>
      </c>
    </row>
    <row r="2649" spans="1:1" x14ac:dyDescent="0.25">
      <c r="A2649" s="9">
        <f t="shared" si="65"/>
        <v>0</v>
      </c>
    </row>
    <row r="2650" spans="1:1" x14ac:dyDescent="0.25">
      <c r="A2650" s="9">
        <f t="shared" si="65"/>
        <v>0</v>
      </c>
    </row>
    <row r="2651" spans="1:1" x14ac:dyDescent="0.25">
      <c r="A2651" s="9">
        <f t="shared" si="65"/>
        <v>0</v>
      </c>
    </row>
    <row r="2652" spans="1:1" x14ac:dyDescent="0.25">
      <c r="A2652" s="9">
        <f t="shared" si="65"/>
        <v>0</v>
      </c>
    </row>
    <row r="2653" spans="1:1" x14ac:dyDescent="0.25">
      <c r="A2653" s="9">
        <f t="shared" si="65"/>
        <v>0</v>
      </c>
    </row>
    <row r="2654" spans="1:1" x14ac:dyDescent="0.25">
      <c r="A2654" s="9">
        <f t="shared" si="65"/>
        <v>0</v>
      </c>
    </row>
    <row r="2655" spans="1:1" x14ac:dyDescent="0.25">
      <c r="A2655" s="9">
        <f t="shared" si="65"/>
        <v>0</v>
      </c>
    </row>
    <row r="2656" spans="1:1" x14ac:dyDescent="0.25">
      <c r="A2656" s="9">
        <f t="shared" si="65"/>
        <v>0</v>
      </c>
    </row>
    <row r="2657" spans="1:1" x14ac:dyDescent="0.25">
      <c r="A2657" s="9">
        <f t="shared" si="65"/>
        <v>0</v>
      </c>
    </row>
    <row r="2658" spans="1:1" x14ac:dyDescent="0.25">
      <c r="A2658" s="9">
        <f t="shared" si="65"/>
        <v>0</v>
      </c>
    </row>
    <row r="2659" spans="1:1" x14ac:dyDescent="0.25">
      <c r="A2659" s="9">
        <f t="shared" si="65"/>
        <v>0</v>
      </c>
    </row>
    <row r="2660" spans="1:1" x14ac:dyDescent="0.25">
      <c r="A2660" s="9">
        <f t="shared" si="65"/>
        <v>0</v>
      </c>
    </row>
    <row r="2661" spans="1:1" x14ac:dyDescent="0.25">
      <c r="A2661" s="9">
        <f t="shared" si="65"/>
        <v>0</v>
      </c>
    </row>
    <row r="2662" spans="1:1" x14ac:dyDescent="0.25">
      <c r="A2662" s="9">
        <f t="shared" si="65"/>
        <v>0</v>
      </c>
    </row>
    <row r="2663" spans="1:1" x14ac:dyDescent="0.25">
      <c r="A2663" s="9">
        <f t="shared" si="65"/>
        <v>0</v>
      </c>
    </row>
    <row r="2664" spans="1:1" x14ac:dyDescent="0.25">
      <c r="A2664" s="9">
        <f t="shared" si="65"/>
        <v>0</v>
      </c>
    </row>
    <row r="2665" spans="1:1" x14ac:dyDescent="0.25">
      <c r="A2665" s="9">
        <f t="shared" si="65"/>
        <v>0</v>
      </c>
    </row>
    <row r="2666" spans="1:1" x14ac:dyDescent="0.25">
      <c r="A2666" s="9">
        <f t="shared" si="65"/>
        <v>0</v>
      </c>
    </row>
    <row r="2667" spans="1:1" x14ac:dyDescent="0.25">
      <c r="A2667" s="9">
        <f t="shared" si="65"/>
        <v>0</v>
      </c>
    </row>
    <row r="2668" spans="1:1" x14ac:dyDescent="0.25">
      <c r="A2668" s="9">
        <f t="shared" si="65"/>
        <v>0</v>
      </c>
    </row>
    <row r="2669" spans="1:1" x14ac:dyDescent="0.25">
      <c r="A2669" s="9">
        <f t="shared" si="65"/>
        <v>0</v>
      </c>
    </row>
    <row r="2670" spans="1:1" x14ac:dyDescent="0.25">
      <c r="A2670" s="9">
        <f t="shared" si="65"/>
        <v>0</v>
      </c>
    </row>
    <row r="2671" spans="1:1" x14ac:dyDescent="0.25">
      <c r="A2671" s="9">
        <f t="shared" si="65"/>
        <v>0</v>
      </c>
    </row>
    <row r="2672" spans="1:1" x14ac:dyDescent="0.25">
      <c r="A2672" s="9">
        <f t="shared" si="65"/>
        <v>0</v>
      </c>
    </row>
    <row r="2673" spans="1:1" x14ac:dyDescent="0.25">
      <c r="A2673" s="9">
        <f t="shared" si="65"/>
        <v>0</v>
      </c>
    </row>
    <row r="2674" spans="1:1" x14ac:dyDescent="0.25">
      <c r="A2674" s="9">
        <f t="shared" si="65"/>
        <v>0</v>
      </c>
    </row>
    <row r="2675" spans="1:1" x14ac:dyDescent="0.25">
      <c r="A2675" s="9">
        <f t="shared" si="65"/>
        <v>0</v>
      </c>
    </row>
    <row r="2676" spans="1:1" x14ac:dyDescent="0.25">
      <c r="A2676" s="9">
        <f t="shared" si="65"/>
        <v>0</v>
      </c>
    </row>
    <row r="2677" spans="1:1" x14ac:dyDescent="0.25">
      <c r="A2677" s="9">
        <f t="shared" si="65"/>
        <v>0</v>
      </c>
    </row>
    <row r="2678" spans="1:1" x14ac:dyDescent="0.25">
      <c r="A2678" s="9">
        <f t="shared" si="65"/>
        <v>0</v>
      </c>
    </row>
    <row r="2679" spans="1:1" x14ac:dyDescent="0.25">
      <c r="A2679" s="9">
        <f t="shared" si="65"/>
        <v>0</v>
      </c>
    </row>
    <row r="2680" spans="1:1" x14ac:dyDescent="0.25">
      <c r="A2680" s="9">
        <f t="shared" si="65"/>
        <v>0</v>
      </c>
    </row>
    <row r="2681" spans="1:1" x14ac:dyDescent="0.25">
      <c r="A2681" s="9">
        <f t="shared" si="65"/>
        <v>0</v>
      </c>
    </row>
    <row r="2682" spans="1:1" x14ac:dyDescent="0.25">
      <c r="A2682" s="9">
        <f t="shared" si="65"/>
        <v>0</v>
      </c>
    </row>
    <row r="2683" spans="1:1" x14ac:dyDescent="0.25">
      <c r="A2683" s="9">
        <f t="shared" si="65"/>
        <v>0</v>
      </c>
    </row>
    <row r="2684" spans="1:1" x14ac:dyDescent="0.25">
      <c r="A2684" s="9">
        <f t="shared" si="65"/>
        <v>0</v>
      </c>
    </row>
    <row r="2685" spans="1:1" x14ac:dyDescent="0.25">
      <c r="A2685" s="9">
        <f t="shared" si="65"/>
        <v>0</v>
      </c>
    </row>
    <row r="2686" spans="1:1" x14ac:dyDescent="0.25">
      <c r="A2686" s="9">
        <f t="shared" si="65"/>
        <v>0</v>
      </c>
    </row>
    <row r="2687" spans="1:1" x14ac:dyDescent="0.25">
      <c r="A2687" s="9">
        <f t="shared" si="65"/>
        <v>0</v>
      </c>
    </row>
    <row r="2688" spans="1:1" x14ac:dyDescent="0.25">
      <c r="A2688" s="9">
        <f t="shared" si="65"/>
        <v>0</v>
      </c>
    </row>
    <row r="2689" spans="1:1" x14ac:dyDescent="0.25">
      <c r="A2689" s="9">
        <f t="shared" si="65"/>
        <v>0</v>
      </c>
    </row>
    <row r="2690" spans="1:1" x14ac:dyDescent="0.25">
      <c r="A2690" s="9">
        <f t="shared" si="65"/>
        <v>0</v>
      </c>
    </row>
    <row r="2691" spans="1:1" x14ac:dyDescent="0.25">
      <c r="A2691" s="9">
        <f t="shared" si="65"/>
        <v>0</v>
      </c>
    </row>
    <row r="2692" spans="1:1" x14ac:dyDescent="0.25">
      <c r="A2692" s="9">
        <f t="shared" si="65"/>
        <v>0</v>
      </c>
    </row>
    <row r="2693" spans="1:1" x14ac:dyDescent="0.25">
      <c r="A2693" s="9">
        <f t="shared" si="65"/>
        <v>0</v>
      </c>
    </row>
    <row r="2694" spans="1:1" x14ac:dyDescent="0.25">
      <c r="A2694" s="9">
        <f t="shared" si="65"/>
        <v>0</v>
      </c>
    </row>
    <row r="2695" spans="1:1" x14ac:dyDescent="0.25">
      <c r="A2695" s="9">
        <f t="shared" si="65"/>
        <v>0</v>
      </c>
    </row>
    <row r="2696" spans="1:1" x14ac:dyDescent="0.25">
      <c r="A2696" s="9">
        <f t="shared" si="65"/>
        <v>0</v>
      </c>
    </row>
    <row r="2697" spans="1:1" x14ac:dyDescent="0.25">
      <c r="A2697" s="9">
        <f t="shared" si="65"/>
        <v>0</v>
      </c>
    </row>
    <row r="2698" spans="1:1" x14ac:dyDescent="0.25">
      <c r="A2698" s="9">
        <f t="shared" si="65"/>
        <v>0</v>
      </c>
    </row>
    <row r="2699" spans="1:1" x14ac:dyDescent="0.25">
      <c r="A2699" s="9">
        <f t="shared" si="65"/>
        <v>0</v>
      </c>
    </row>
    <row r="2700" spans="1:1" x14ac:dyDescent="0.25">
      <c r="A2700" s="9">
        <f t="shared" ref="A2700:A2763" si="66">IF(G2700&gt;0,1,0)</f>
        <v>0</v>
      </c>
    </row>
    <row r="2701" spans="1:1" x14ac:dyDescent="0.25">
      <c r="A2701" s="9">
        <f t="shared" si="66"/>
        <v>0</v>
      </c>
    </row>
    <row r="2702" spans="1:1" x14ac:dyDescent="0.25">
      <c r="A2702" s="9">
        <f t="shared" si="66"/>
        <v>0</v>
      </c>
    </row>
    <row r="2703" spans="1:1" x14ac:dyDescent="0.25">
      <c r="A2703" s="9">
        <f t="shared" si="66"/>
        <v>0</v>
      </c>
    </row>
    <row r="2704" spans="1:1" x14ac:dyDescent="0.25">
      <c r="A2704" s="9">
        <f t="shared" si="66"/>
        <v>0</v>
      </c>
    </row>
    <row r="2705" spans="1:1" x14ac:dyDescent="0.25">
      <c r="A2705" s="9">
        <f t="shared" si="66"/>
        <v>0</v>
      </c>
    </row>
    <row r="2706" spans="1:1" x14ac:dyDescent="0.25">
      <c r="A2706" s="9">
        <f t="shared" si="66"/>
        <v>0</v>
      </c>
    </row>
    <row r="2707" spans="1:1" x14ac:dyDescent="0.25">
      <c r="A2707" s="9">
        <f t="shared" si="66"/>
        <v>0</v>
      </c>
    </row>
    <row r="2708" spans="1:1" x14ac:dyDescent="0.25">
      <c r="A2708" s="9">
        <f t="shared" si="66"/>
        <v>0</v>
      </c>
    </row>
    <row r="2709" spans="1:1" x14ac:dyDescent="0.25">
      <c r="A2709" s="9">
        <f t="shared" si="66"/>
        <v>0</v>
      </c>
    </row>
    <row r="2710" spans="1:1" x14ac:dyDescent="0.25">
      <c r="A2710" s="9">
        <f t="shared" si="66"/>
        <v>0</v>
      </c>
    </row>
    <row r="2711" spans="1:1" x14ac:dyDescent="0.25">
      <c r="A2711" s="9">
        <f t="shared" si="66"/>
        <v>0</v>
      </c>
    </row>
    <row r="2712" spans="1:1" x14ac:dyDescent="0.25">
      <c r="A2712" s="9">
        <f t="shared" si="66"/>
        <v>0</v>
      </c>
    </row>
    <row r="2713" spans="1:1" x14ac:dyDescent="0.25">
      <c r="A2713" s="9">
        <f t="shared" si="66"/>
        <v>0</v>
      </c>
    </row>
    <row r="2714" spans="1:1" x14ac:dyDescent="0.25">
      <c r="A2714" s="9">
        <f t="shared" si="66"/>
        <v>0</v>
      </c>
    </row>
    <row r="2715" spans="1:1" x14ac:dyDescent="0.25">
      <c r="A2715" s="9">
        <f t="shared" si="66"/>
        <v>0</v>
      </c>
    </row>
    <row r="2716" spans="1:1" x14ac:dyDescent="0.25">
      <c r="A2716" s="9">
        <f t="shared" si="66"/>
        <v>0</v>
      </c>
    </row>
    <row r="2717" spans="1:1" x14ac:dyDescent="0.25">
      <c r="A2717" s="9">
        <f t="shared" si="66"/>
        <v>0</v>
      </c>
    </row>
    <row r="2718" spans="1:1" x14ac:dyDescent="0.25">
      <c r="A2718" s="9">
        <f t="shared" si="66"/>
        <v>0</v>
      </c>
    </row>
    <row r="2719" spans="1:1" x14ac:dyDescent="0.25">
      <c r="A2719" s="9">
        <f t="shared" si="66"/>
        <v>0</v>
      </c>
    </row>
    <row r="2720" spans="1:1" x14ac:dyDescent="0.25">
      <c r="A2720" s="9">
        <f t="shared" si="66"/>
        <v>0</v>
      </c>
    </row>
    <row r="2721" spans="1:1" x14ac:dyDescent="0.25">
      <c r="A2721" s="9">
        <f t="shared" si="66"/>
        <v>0</v>
      </c>
    </row>
    <row r="2722" spans="1:1" x14ac:dyDescent="0.25">
      <c r="A2722" s="9">
        <f t="shared" si="66"/>
        <v>0</v>
      </c>
    </row>
    <row r="2723" spans="1:1" x14ac:dyDescent="0.25">
      <c r="A2723" s="9">
        <f t="shared" si="66"/>
        <v>0</v>
      </c>
    </row>
    <row r="2724" spans="1:1" x14ac:dyDescent="0.25">
      <c r="A2724" s="9">
        <f t="shared" si="66"/>
        <v>0</v>
      </c>
    </row>
    <row r="2725" spans="1:1" x14ac:dyDescent="0.25">
      <c r="A2725" s="9">
        <f t="shared" si="66"/>
        <v>0</v>
      </c>
    </row>
    <row r="2726" spans="1:1" x14ac:dyDescent="0.25">
      <c r="A2726" s="9">
        <f t="shared" si="66"/>
        <v>0</v>
      </c>
    </row>
    <row r="2727" spans="1:1" x14ac:dyDescent="0.25">
      <c r="A2727" s="9">
        <f t="shared" si="66"/>
        <v>0</v>
      </c>
    </row>
    <row r="2728" spans="1:1" x14ac:dyDescent="0.25">
      <c r="A2728" s="9">
        <f t="shared" si="66"/>
        <v>0</v>
      </c>
    </row>
    <row r="2729" spans="1:1" x14ac:dyDescent="0.25">
      <c r="A2729" s="9">
        <f t="shared" si="66"/>
        <v>0</v>
      </c>
    </row>
    <row r="2730" spans="1:1" x14ac:dyDescent="0.25">
      <c r="A2730" s="9">
        <f t="shared" si="66"/>
        <v>0</v>
      </c>
    </row>
    <row r="2731" spans="1:1" x14ac:dyDescent="0.25">
      <c r="A2731" s="9">
        <f t="shared" si="66"/>
        <v>0</v>
      </c>
    </row>
    <row r="2732" spans="1:1" x14ac:dyDescent="0.25">
      <c r="A2732" s="9">
        <f t="shared" si="66"/>
        <v>0</v>
      </c>
    </row>
    <row r="2733" spans="1:1" x14ac:dyDescent="0.25">
      <c r="A2733" s="9">
        <f t="shared" si="66"/>
        <v>0</v>
      </c>
    </row>
    <row r="2734" spans="1:1" x14ac:dyDescent="0.25">
      <c r="A2734" s="9">
        <f t="shared" si="66"/>
        <v>0</v>
      </c>
    </row>
    <row r="2735" spans="1:1" x14ac:dyDescent="0.25">
      <c r="A2735" s="9">
        <f t="shared" si="66"/>
        <v>0</v>
      </c>
    </row>
    <row r="2736" spans="1:1" x14ac:dyDescent="0.25">
      <c r="A2736" s="9">
        <f t="shared" si="66"/>
        <v>0</v>
      </c>
    </row>
    <row r="2737" spans="1:1" x14ac:dyDescent="0.25">
      <c r="A2737" s="9">
        <f t="shared" si="66"/>
        <v>0</v>
      </c>
    </row>
    <row r="2738" spans="1:1" x14ac:dyDescent="0.25">
      <c r="A2738" s="9">
        <f t="shared" si="66"/>
        <v>0</v>
      </c>
    </row>
    <row r="2739" spans="1:1" x14ac:dyDescent="0.25">
      <c r="A2739" s="9">
        <f t="shared" si="66"/>
        <v>0</v>
      </c>
    </row>
    <row r="2740" spans="1:1" x14ac:dyDescent="0.25">
      <c r="A2740" s="9">
        <f t="shared" si="66"/>
        <v>0</v>
      </c>
    </row>
    <row r="2741" spans="1:1" x14ac:dyDescent="0.25">
      <c r="A2741" s="9">
        <f t="shared" si="66"/>
        <v>0</v>
      </c>
    </row>
    <row r="2742" spans="1:1" x14ac:dyDescent="0.25">
      <c r="A2742" s="9">
        <f t="shared" si="66"/>
        <v>0</v>
      </c>
    </row>
    <row r="2743" spans="1:1" x14ac:dyDescent="0.25">
      <c r="A2743" s="9">
        <f t="shared" si="66"/>
        <v>0</v>
      </c>
    </row>
    <row r="2744" spans="1:1" x14ac:dyDescent="0.25">
      <c r="A2744" s="9">
        <f t="shared" si="66"/>
        <v>0</v>
      </c>
    </row>
    <row r="2745" spans="1:1" x14ac:dyDescent="0.25">
      <c r="A2745" s="9">
        <f t="shared" si="66"/>
        <v>0</v>
      </c>
    </row>
    <row r="2746" spans="1:1" x14ac:dyDescent="0.25">
      <c r="A2746" s="9">
        <f t="shared" si="66"/>
        <v>0</v>
      </c>
    </row>
    <row r="2747" spans="1:1" x14ac:dyDescent="0.25">
      <c r="A2747" s="9">
        <f t="shared" si="66"/>
        <v>0</v>
      </c>
    </row>
    <row r="2748" spans="1:1" x14ac:dyDescent="0.25">
      <c r="A2748" s="9">
        <f t="shared" si="66"/>
        <v>0</v>
      </c>
    </row>
    <row r="2749" spans="1:1" x14ac:dyDescent="0.25">
      <c r="A2749" s="9">
        <f t="shared" si="66"/>
        <v>0</v>
      </c>
    </row>
    <row r="2750" spans="1:1" x14ac:dyDescent="0.25">
      <c r="A2750" s="9">
        <f t="shared" si="66"/>
        <v>0</v>
      </c>
    </row>
    <row r="2751" spans="1:1" x14ac:dyDescent="0.25">
      <c r="A2751" s="9">
        <f t="shared" si="66"/>
        <v>0</v>
      </c>
    </row>
    <row r="2752" spans="1:1" x14ac:dyDescent="0.25">
      <c r="A2752" s="9">
        <f t="shared" si="66"/>
        <v>0</v>
      </c>
    </row>
    <row r="2753" spans="1:1" x14ac:dyDescent="0.25">
      <c r="A2753" s="9">
        <f t="shared" si="66"/>
        <v>0</v>
      </c>
    </row>
    <row r="2754" spans="1:1" x14ac:dyDescent="0.25">
      <c r="A2754" s="9">
        <f t="shared" si="66"/>
        <v>0</v>
      </c>
    </row>
    <row r="2755" spans="1:1" x14ac:dyDescent="0.25">
      <c r="A2755" s="9">
        <f t="shared" si="66"/>
        <v>0</v>
      </c>
    </row>
    <row r="2756" spans="1:1" x14ac:dyDescent="0.25">
      <c r="A2756" s="9">
        <f t="shared" si="66"/>
        <v>0</v>
      </c>
    </row>
    <row r="2757" spans="1:1" x14ac:dyDescent="0.25">
      <c r="A2757" s="9">
        <f t="shared" si="66"/>
        <v>0</v>
      </c>
    </row>
    <row r="2758" spans="1:1" x14ac:dyDescent="0.25">
      <c r="A2758" s="9">
        <f t="shared" si="66"/>
        <v>0</v>
      </c>
    </row>
    <row r="2759" spans="1:1" x14ac:dyDescent="0.25">
      <c r="A2759" s="9">
        <f t="shared" si="66"/>
        <v>0</v>
      </c>
    </row>
    <row r="2760" spans="1:1" x14ac:dyDescent="0.25">
      <c r="A2760" s="9">
        <f t="shared" si="66"/>
        <v>0</v>
      </c>
    </row>
    <row r="2761" spans="1:1" x14ac:dyDescent="0.25">
      <c r="A2761" s="9">
        <f t="shared" si="66"/>
        <v>0</v>
      </c>
    </row>
    <row r="2762" spans="1:1" x14ac:dyDescent="0.25">
      <c r="A2762" s="9">
        <f t="shared" si="66"/>
        <v>0</v>
      </c>
    </row>
    <row r="2763" spans="1:1" x14ac:dyDescent="0.25">
      <c r="A2763" s="9">
        <f t="shared" si="66"/>
        <v>0</v>
      </c>
    </row>
    <row r="2764" spans="1:1" x14ac:dyDescent="0.25">
      <c r="A2764" s="9">
        <f t="shared" ref="A2764:A2827" si="67">IF(G2764&gt;0,1,0)</f>
        <v>0</v>
      </c>
    </row>
    <row r="2765" spans="1:1" x14ac:dyDescent="0.25">
      <c r="A2765" s="9">
        <f t="shared" si="67"/>
        <v>0</v>
      </c>
    </row>
    <row r="2766" spans="1:1" x14ac:dyDescent="0.25">
      <c r="A2766" s="9">
        <f t="shared" si="67"/>
        <v>0</v>
      </c>
    </row>
    <row r="2767" spans="1:1" x14ac:dyDescent="0.25">
      <c r="A2767" s="9">
        <f t="shared" si="67"/>
        <v>0</v>
      </c>
    </row>
    <row r="2768" spans="1:1" x14ac:dyDescent="0.25">
      <c r="A2768" s="9">
        <f t="shared" si="67"/>
        <v>0</v>
      </c>
    </row>
    <row r="2769" spans="1:1" x14ac:dyDescent="0.25">
      <c r="A2769" s="9">
        <f t="shared" si="67"/>
        <v>0</v>
      </c>
    </row>
    <row r="2770" spans="1:1" x14ac:dyDescent="0.25">
      <c r="A2770" s="9">
        <f t="shared" si="67"/>
        <v>0</v>
      </c>
    </row>
    <row r="2771" spans="1:1" x14ac:dyDescent="0.25">
      <c r="A2771" s="9">
        <f t="shared" si="67"/>
        <v>0</v>
      </c>
    </row>
    <row r="2772" spans="1:1" x14ac:dyDescent="0.25">
      <c r="A2772" s="9">
        <f t="shared" si="67"/>
        <v>0</v>
      </c>
    </row>
    <row r="2773" spans="1:1" x14ac:dyDescent="0.25">
      <c r="A2773" s="9">
        <f t="shared" si="67"/>
        <v>0</v>
      </c>
    </row>
    <row r="2774" spans="1:1" x14ac:dyDescent="0.25">
      <c r="A2774" s="9">
        <f t="shared" si="67"/>
        <v>0</v>
      </c>
    </row>
    <row r="2775" spans="1:1" x14ac:dyDescent="0.25">
      <c r="A2775" s="9">
        <f t="shared" si="67"/>
        <v>0</v>
      </c>
    </row>
    <row r="2776" spans="1:1" x14ac:dyDescent="0.25">
      <c r="A2776" s="9">
        <f t="shared" si="67"/>
        <v>0</v>
      </c>
    </row>
    <row r="2777" spans="1:1" x14ac:dyDescent="0.25">
      <c r="A2777" s="9">
        <f t="shared" si="67"/>
        <v>0</v>
      </c>
    </row>
    <row r="2778" spans="1:1" x14ac:dyDescent="0.25">
      <c r="A2778" s="9">
        <f t="shared" si="67"/>
        <v>0</v>
      </c>
    </row>
    <row r="2779" spans="1:1" x14ac:dyDescent="0.25">
      <c r="A2779" s="9">
        <f t="shared" si="67"/>
        <v>0</v>
      </c>
    </row>
    <row r="2780" spans="1:1" x14ac:dyDescent="0.25">
      <c r="A2780" s="9">
        <f t="shared" si="67"/>
        <v>0</v>
      </c>
    </row>
    <row r="2781" spans="1:1" x14ac:dyDescent="0.25">
      <c r="A2781" s="9">
        <f t="shared" si="67"/>
        <v>0</v>
      </c>
    </row>
    <row r="2782" spans="1:1" x14ac:dyDescent="0.25">
      <c r="A2782" s="9">
        <f t="shared" si="67"/>
        <v>0</v>
      </c>
    </row>
    <row r="2783" spans="1:1" x14ac:dyDescent="0.25">
      <c r="A2783" s="9">
        <f t="shared" si="67"/>
        <v>0</v>
      </c>
    </row>
    <row r="2784" spans="1:1" x14ac:dyDescent="0.25">
      <c r="A2784" s="9">
        <f t="shared" si="67"/>
        <v>0</v>
      </c>
    </row>
    <row r="2785" spans="1:1" x14ac:dyDescent="0.25">
      <c r="A2785" s="9">
        <f t="shared" si="67"/>
        <v>0</v>
      </c>
    </row>
    <row r="2786" spans="1:1" x14ac:dyDescent="0.25">
      <c r="A2786" s="9">
        <f t="shared" si="67"/>
        <v>0</v>
      </c>
    </row>
    <row r="2787" spans="1:1" x14ac:dyDescent="0.25">
      <c r="A2787" s="9">
        <f t="shared" si="67"/>
        <v>0</v>
      </c>
    </row>
    <row r="2788" spans="1:1" x14ac:dyDescent="0.25">
      <c r="A2788" s="9">
        <f t="shared" si="67"/>
        <v>0</v>
      </c>
    </row>
    <row r="2789" spans="1:1" x14ac:dyDescent="0.25">
      <c r="A2789" s="9">
        <f t="shared" si="67"/>
        <v>0</v>
      </c>
    </row>
    <row r="2790" spans="1:1" x14ac:dyDescent="0.25">
      <c r="A2790" s="9">
        <f t="shared" si="67"/>
        <v>0</v>
      </c>
    </row>
    <row r="2791" spans="1:1" x14ac:dyDescent="0.25">
      <c r="A2791" s="9">
        <f t="shared" si="67"/>
        <v>0</v>
      </c>
    </row>
    <row r="2792" spans="1:1" x14ac:dyDescent="0.25">
      <c r="A2792" s="9">
        <f t="shared" si="67"/>
        <v>0</v>
      </c>
    </row>
    <row r="2793" spans="1:1" x14ac:dyDescent="0.25">
      <c r="A2793" s="9">
        <f t="shared" si="67"/>
        <v>0</v>
      </c>
    </row>
    <row r="2794" spans="1:1" x14ac:dyDescent="0.25">
      <c r="A2794" s="9">
        <f t="shared" si="67"/>
        <v>0</v>
      </c>
    </row>
    <row r="2795" spans="1:1" x14ac:dyDescent="0.25">
      <c r="A2795" s="9">
        <f t="shared" si="67"/>
        <v>0</v>
      </c>
    </row>
    <row r="2796" spans="1:1" x14ac:dyDescent="0.25">
      <c r="A2796" s="9">
        <f t="shared" si="67"/>
        <v>0</v>
      </c>
    </row>
    <row r="2797" spans="1:1" x14ac:dyDescent="0.25">
      <c r="A2797" s="9">
        <f t="shared" si="67"/>
        <v>0</v>
      </c>
    </row>
    <row r="2798" spans="1:1" x14ac:dyDescent="0.25">
      <c r="A2798" s="9">
        <f t="shared" si="67"/>
        <v>0</v>
      </c>
    </row>
    <row r="2799" spans="1:1" x14ac:dyDescent="0.25">
      <c r="A2799" s="9">
        <f t="shared" si="67"/>
        <v>0</v>
      </c>
    </row>
    <row r="2800" spans="1:1" x14ac:dyDescent="0.25">
      <c r="A2800" s="9">
        <f t="shared" si="67"/>
        <v>0</v>
      </c>
    </row>
    <row r="2801" spans="1:1" x14ac:dyDescent="0.25">
      <c r="A2801" s="9">
        <f t="shared" si="67"/>
        <v>0</v>
      </c>
    </row>
    <row r="2802" spans="1:1" x14ac:dyDescent="0.25">
      <c r="A2802" s="9">
        <f t="shared" si="67"/>
        <v>0</v>
      </c>
    </row>
    <row r="2803" spans="1:1" x14ac:dyDescent="0.25">
      <c r="A2803" s="9">
        <f t="shared" si="67"/>
        <v>0</v>
      </c>
    </row>
    <row r="2804" spans="1:1" x14ac:dyDescent="0.25">
      <c r="A2804" s="9">
        <f t="shared" si="67"/>
        <v>0</v>
      </c>
    </row>
    <row r="2805" spans="1:1" x14ac:dyDescent="0.25">
      <c r="A2805" s="9">
        <f t="shared" si="67"/>
        <v>0</v>
      </c>
    </row>
    <row r="2806" spans="1:1" x14ac:dyDescent="0.25">
      <c r="A2806" s="9">
        <f t="shared" si="67"/>
        <v>0</v>
      </c>
    </row>
    <row r="2807" spans="1:1" x14ac:dyDescent="0.25">
      <c r="A2807" s="9">
        <f t="shared" si="67"/>
        <v>0</v>
      </c>
    </row>
    <row r="2808" spans="1:1" x14ac:dyDescent="0.25">
      <c r="A2808" s="9">
        <f t="shared" si="67"/>
        <v>0</v>
      </c>
    </row>
    <row r="2809" spans="1:1" x14ac:dyDescent="0.25">
      <c r="A2809" s="9">
        <f t="shared" si="67"/>
        <v>0</v>
      </c>
    </row>
    <row r="2810" spans="1:1" x14ac:dyDescent="0.25">
      <c r="A2810" s="9">
        <f t="shared" si="67"/>
        <v>0</v>
      </c>
    </row>
    <row r="2811" spans="1:1" x14ac:dyDescent="0.25">
      <c r="A2811" s="9">
        <f t="shared" si="67"/>
        <v>0</v>
      </c>
    </row>
    <row r="2812" spans="1:1" x14ac:dyDescent="0.25">
      <c r="A2812" s="9">
        <f t="shared" si="67"/>
        <v>0</v>
      </c>
    </row>
    <row r="2813" spans="1:1" x14ac:dyDescent="0.25">
      <c r="A2813" s="9">
        <f t="shared" si="67"/>
        <v>0</v>
      </c>
    </row>
    <row r="2814" spans="1:1" x14ac:dyDescent="0.25">
      <c r="A2814" s="9">
        <f t="shared" si="67"/>
        <v>0</v>
      </c>
    </row>
    <row r="2815" spans="1:1" x14ac:dyDescent="0.25">
      <c r="A2815" s="9">
        <f t="shared" si="67"/>
        <v>0</v>
      </c>
    </row>
    <row r="2816" spans="1:1" x14ac:dyDescent="0.25">
      <c r="A2816" s="9">
        <f t="shared" si="67"/>
        <v>0</v>
      </c>
    </row>
    <row r="2817" spans="1:1" x14ac:dyDescent="0.25">
      <c r="A2817" s="9">
        <f t="shared" si="67"/>
        <v>0</v>
      </c>
    </row>
    <row r="2818" spans="1:1" x14ac:dyDescent="0.25">
      <c r="A2818" s="9">
        <f t="shared" si="67"/>
        <v>0</v>
      </c>
    </row>
    <row r="2819" spans="1:1" x14ac:dyDescent="0.25">
      <c r="A2819" s="9">
        <f t="shared" si="67"/>
        <v>0</v>
      </c>
    </row>
    <row r="2820" spans="1:1" x14ac:dyDescent="0.25">
      <c r="A2820" s="9">
        <f t="shared" si="67"/>
        <v>0</v>
      </c>
    </row>
    <row r="2821" spans="1:1" x14ac:dyDescent="0.25">
      <c r="A2821" s="9">
        <f t="shared" si="67"/>
        <v>0</v>
      </c>
    </row>
    <row r="2822" spans="1:1" x14ac:dyDescent="0.25">
      <c r="A2822" s="9">
        <f t="shared" si="67"/>
        <v>0</v>
      </c>
    </row>
    <row r="2823" spans="1:1" x14ac:dyDescent="0.25">
      <c r="A2823" s="9">
        <f t="shared" si="67"/>
        <v>0</v>
      </c>
    </row>
    <row r="2824" spans="1:1" x14ac:dyDescent="0.25">
      <c r="A2824" s="9">
        <f t="shared" si="67"/>
        <v>0</v>
      </c>
    </row>
    <row r="2825" spans="1:1" x14ac:dyDescent="0.25">
      <c r="A2825" s="9">
        <f t="shared" si="67"/>
        <v>0</v>
      </c>
    </row>
    <row r="2826" spans="1:1" x14ac:dyDescent="0.25">
      <c r="A2826" s="9">
        <f t="shared" si="67"/>
        <v>0</v>
      </c>
    </row>
    <row r="2827" spans="1:1" x14ac:dyDescent="0.25">
      <c r="A2827" s="9">
        <f t="shared" si="67"/>
        <v>0</v>
      </c>
    </row>
    <row r="2828" spans="1:1" x14ac:dyDescent="0.25">
      <c r="A2828" s="9">
        <f t="shared" ref="A2828:A2891" si="68">IF(G2828&gt;0,1,0)</f>
        <v>0</v>
      </c>
    </row>
    <row r="2829" spans="1:1" x14ac:dyDescent="0.25">
      <c r="A2829" s="9">
        <f t="shared" si="68"/>
        <v>0</v>
      </c>
    </row>
    <row r="2830" spans="1:1" x14ac:dyDescent="0.25">
      <c r="A2830" s="9">
        <f t="shared" si="68"/>
        <v>0</v>
      </c>
    </row>
    <row r="2831" spans="1:1" x14ac:dyDescent="0.25">
      <c r="A2831" s="9">
        <f t="shared" si="68"/>
        <v>0</v>
      </c>
    </row>
    <row r="2832" spans="1:1" x14ac:dyDescent="0.25">
      <c r="A2832" s="9">
        <f t="shared" si="68"/>
        <v>0</v>
      </c>
    </row>
    <row r="2833" spans="1:1" x14ac:dyDescent="0.25">
      <c r="A2833" s="9">
        <f t="shared" si="68"/>
        <v>0</v>
      </c>
    </row>
    <row r="2834" spans="1:1" x14ac:dyDescent="0.25">
      <c r="A2834" s="9">
        <f t="shared" si="68"/>
        <v>0</v>
      </c>
    </row>
    <row r="2835" spans="1:1" x14ac:dyDescent="0.25">
      <c r="A2835" s="9">
        <f t="shared" si="68"/>
        <v>0</v>
      </c>
    </row>
    <row r="2836" spans="1:1" x14ac:dyDescent="0.25">
      <c r="A2836" s="9">
        <f t="shared" si="68"/>
        <v>0</v>
      </c>
    </row>
    <row r="2837" spans="1:1" x14ac:dyDescent="0.25">
      <c r="A2837" s="9">
        <f t="shared" si="68"/>
        <v>0</v>
      </c>
    </row>
    <row r="2838" spans="1:1" x14ac:dyDescent="0.25">
      <c r="A2838" s="9">
        <f t="shared" si="68"/>
        <v>0</v>
      </c>
    </row>
    <row r="2839" spans="1:1" x14ac:dyDescent="0.25">
      <c r="A2839" s="9">
        <f t="shared" si="68"/>
        <v>0</v>
      </c>
    </row>
    <row r="2840" spans="1:1" x14ac:dyDescent="0.25">
      <c r="A2840" s="9">
        <f t="shared" si="68"/>
        <v>0</v>
      </c>
    </row>
    <row r="2841" spans="1:1" x14ac:dyDescent="0.25">
      <c r="A2841" s="9">
        <f t="shared" si="68"/>
        <v>0</v>
      </c>
    </row>
    <row r="2842" spans="1:1" x14ac:dyDescent="0.25">
      <c r="A2842" s="9">
        <f t="shared" si="68"/>
        <v>0</v>
      </c>
    </row>
    <row r="2843" spans="1:1" x14ac:dyDescent="0.25">
      <c r="A2843" s="9">
        <f t="shared" si="68"/>
        <v>0</v>
      </c>
    </row>
    <row r="2844" spans="1:1" x14ac:dyDescent="0.25">
      <c r="A2844" s="9">
        <f t="shared" si="68"/>
        <v>0</v>
      </c>
    </row>
    <row r="2845" spans="1:1" x14ac:dyDescent="0.25">
      <c r="A2845" s="9">
        <f t="shared" si="68"/>
        <v>0</v>
      </c>
    </row>
    <row r="2846" spans="1:1" x14ac:dyDescent="0.25">
      <c r="A2846" s="9">
        <f t="shared" si="68"/>
        <v>0</v>
      </c>
    </row>
    <row r="2847" spans="1:1" x14ac:dyDescent="0.25">
      <c r="A2847" s="9">
        <f t="shared" si="68"/>
        <v>0</v>
      </c>
    </row>
    <row r="2848" spans="1:1" x14ac:dyDescent="0.25">
      <c r="A2848" s="9">
        <f t="shared" si="68"/>
        <v>0</v>
      </c>
    </row>
    <row r="2849" spans="1:1" x14ac:dyDescent="0.25">
      <c r="A2849" s="9">
        <f t="shared" si="68"/>
        <v>0</v>
      </c>
    </row>
    <row r="2850" spans="1:1" x14ac:dyDescent="0.25">
      <c r="A2850" s="9">
        <f t="shared" si="68"/>
        <v>0</v>
      </c>
    </row>
    <row r="2851" spans="1:1" x14ac:dyDescent="0.25">
      <c r="A2851" s="9">
        <f t="shared" si="68"/>
        <v>0</v>
      </c>
    </row>
    <row r="2852" spans="1:1" x14ac:dyDescent="0.25">
      <c r="A2852" s="9">
        <f t="shared" si="68"/>
        <v>0</v>
      </c>
    </row>
    <row r="2853" spans="1:1" x14ac:dyDescent="0.25">
      <c r="A2853" s="9">
        <f t="shared" si="68"/>
        <v>0</v>
      </c>
    </row>
    <row r="2854" spans="1:1" x14ac:dyDescent="0.25">
      <c r="A2854" s="9">
        <f t="shared" si="68"/>
        <v>0</v>
      </c>
    </row>
    <row r="2855" spans="1:1" x14ac:dyDescent="0.25">
      <c r="A2855" s="9">
        <f t="shared" si="68"/>
        <v>0</v>
      </c>
    </row>
    <row r="2856" spans="1:1" x14ac:dyDescent="0.25">
      <c r="A2856" s="9">
        <f t="shared" si="68"/>
        <v>0</v>
      </c>
    </row>
    <row r="2857" spans="1:1" x14ac:dyDescent="0.25">
      <c r="A2857" s="9">
        <f t="shared" si="68"/>
        <v>0</v>
      </c>
    </row>
    <row r="2858" spans="1:1" x14ac:dyDescent="0.25">
      <c r="A2858" s="9">
        <f t="shared" si="68"/>
        <v>0</v>
      </c>
    </row>
    <row r="2859" spans="1:1" x14ac:dyDescent="0.25">
      <c r="A2859" s="9">
        <f t="shared" si="68"/>
        <v>0</v>
      </c>
    </row>
    <row r="2860" spans="1:1" x14ac:dyDescent="0.25">
      <c r="A2860" s="9">
        <f t="shared" si="68"/>
        <v>0</v>
      </c>
    </row>
    <row r="2861" spans="1:1" x14ac:dyDescent="0.25">
      <c r="A2861" s="9">
        <f t="shared" si="68"/>
        <v>0</v>
      </c>
    </row>
    <row r="2862" spans="1:1" x14ac:dyDescent="0.25">
      <c r="A2862" s="9">
        <f t="shared" si="68"/>
        <v>0</v>
      </c>
    </row>
    <row r="2863" spans="1:1" x14ac:dyDescent="0.25">
      <c r="A2863" s="9">
        <f t="shared" si="68"/>
        <v>0</v>
      </c>
    </row>
    <row r="2864" spans="1:1" x14ac:dyDescent="0.25">
      <c r="A2864" s="9">
        <f t="shared" si="68"/>
        <v>0</v>
      </c>
    </row>
    <row r="2865" spans="1:1" x14ac:dyDescent="0.25">
      <c r="A2865" s="9">
        <f t="shared" si="68"/>
        <v>0</v>
      </c>
    </row>
    <row r="2866" spans="1:1" x14ac:dyDescent="0.25">
      <c r="A2866" s="9">
        <f t="shared" si="68"/>
        <v>0</v>
      </c>
    </row>
    <row r="2867" spans="1:1" x14ac:dyDescent="0.25">
      <c r="A2867" s="9">
        <f t="shared" si="68"/>
        <v>0</v>
      </c>
    </row>
    <row r="2868" spans="1:1" x14ac:dyDescent="0.25">
      <c r="A2868" s="9">
        <f t="shared" si="68"/>
        <v>0</v>
      </c>
    </row>
    <row r="2869" spans="1:1" x14ac:dyDescent="0.25">
      <c r="A2869" s="9">
        <f t="shared" si="68"/>
        <v>0</v>
      </c>
    </row>
    <row r="2870" spans="1:1" x14ac:dyDescent="0.25">
      <c r="A2870" s="9">
        <f t="shared" si="68"/>
        <v>0</v>
      </c>
    </row>
    <row r="2871" spans="1:1" x14ac:dyDescent="0.25">
      <c r="A2871" s="9">
        <f t="shared" si="68"/>
        <v>0</v>
      </c>
    </row>
    <row r="2872" spans="1:1" x14ac:dyDescent="0.25">
      <c r="A2872" s="9">
        <f t="shared" si="68"/>
        <v>0</v>
      </c>
    </row>
    <row r="2873" spans="1:1" x14ac:dyDescent="0.25">
      <c r="A2873" s="9">
        <f t="shared" si="68"/>
        <v>0</v>
      </c>
    </row>
    <row r="2874" spans="1:1" x14ac:dyDescent="0.25">
      <c r="A2874" s="9">
        <f t="shared" si="68"/>
        <v>0</v>
      </c>
    </row>
    <row r="2875" spans="1:1" x14ac:dyDescent="0.25">
      <c r="A2875" s="9">
        <f t="shared" si="68"/>
        <v>0</v>
      </c>
    </row>
    <row r="2876" spans="1:1" x14ac:dyDescent="0.25">
      <c r="A2876" s="9">
        <f t="shared" si="68"/>
        <v>0</v>
      </c>
    </row>
    <row r="2877" spans="1:1" x14ac:dyDescent="0.25">
      <c r="A2877" s="9">
        <f t="shared" si="68"/>
        <v>0</v>
      </c>
    </row>
    <row r="2878" spans="1:1" x14ac:dyDescent="0.25">
      <c r="A2878" s="9">
        <f t="shared" si="68"/>
        <v>0</v>
      </c>
    </row>
    <row r="2879" spans="1:1" x14ac:dyDescent="0.25">
      <c r="A2879" s="9">
        <f t="shared" si="68"/>
        <v>0</v>
      </c>
    </row>
    <row r="2880" spans="1:1" x14ac:dyDescent="0.25">
      <c r="A2880" s="9">
        <f t="shared" si="68"/>
        <v>0</v>
      </c>
    </row>
    <row r="2881" spans="1:1" x14ac:dyDescent="0.25">
      <c r="A2881" s="9">
        <f t="shared" si="68"/>
        <v>0</v>
      </c>
    </row>
    <row r="2882" spans="1:1" x14ac:dyDescent="0.25">
      <c r="A2882" s="9">
        <f t="shared" si="68"/>
        <v>0</v>
      </c>
    </row>
    <row r="2883" spans="1:1" x14ac:dyDescent="0.25">
      <c r="A2883" s="9">
        <f t="shared" si="68"/>
        <v>0</v>
      </c>
    </row>
    <row r="2884" spans="1:1" x14ac:dyDescent="0.25">
      <c r="A2884" s="9">
        <f t="shared" si="68"/>
        <v>0</v>
      </c>
    </row>
    <row r="2885" spans="1:1" x14ac:dyDescent="0.25">
      <c r="A2885" s="9">
        <f t="shared" si="68"/>
        <v>0</v>
      </c>
    </row>
    <row r="2886" spans="1:1" x14ac:dyDescent="0.25">
      <c r="A2886" s="9">
        <f t="shared" si="68"/>
        <v>0</v>
      </c>
    </row>
    <row r="2887" spans="1:1" x14ac:dyDescent="0.25">
      <c r="A2887" s="9">
        <f t="shared" si="68"/>
        <v>0</v>
      </c>
    </row>
    <row r="2888" spans="1:1" x14ac:dyDescent="0.25">
      <c r="A2888" s="9">
        <f t="shared" si="68"/>
        <v>0</v>
      </c>
    </row>
    <row r="2889" spans="1:1" x14ac:dyDescent="0.25">
      <c r="A2889" s="9">
        <f t="shared" si="68"/>
        <v>0</v>
      </c>
    </row>
    <row r="2890" spans="1:1" x14ac:dyDescent="0.25">
      <c r="A2890" s="9">
        <f t="shared" si="68"/>
        <v>0</v>
      </c>
    </row>
    <row r="2891" spans="1:1" x14ac:dyDescent="0.25">
      <c r="A2891" s="9">
        <f t="shared" si="68"/>
        <v>0</v>
      </c>
    </row>
    <row r="2892" spans="1:1" x14ac:dyDescent="0.25">
      <c r="A2892" s="9">
        <f t="shared" ref="A2892:A2955" si="69">IF(G2892&gt;0,1,0)</f>
        <v>0</v>
      </c>
    </row>
    <row r="2893" spans="1:1" x14ac:dyDescent="0.25">
      <c r="A2893" s="9">
        <f t="shared" si="69"/>
        <v>0</v>
      </c>
    </row>
    <row r="2894" spans="1:1" x14ac:dyDescent="0.25">
      <c r="A2894" s="9">
        <f t="shared" si="69"/>
        <v>0</v>
      </c>
    </row>
    <row r="2895" spans="1:1" x14ac:dyDescent="0.25">
      <c r="A2895" s="9">
        <f t="shared" si="69"/>
        <v>0</v>
      </c>
    </row>
    <row r="2896" spans="1:1" x14ac:dyDescent="0.25">
      <c r="A2896" s="9">
        <f t="shared" si="69"/>
        <v>0</v>
      </c>
    </row>
    <row r="2897" spans="1:1" x14ac:dyDescent="0.25">
      <c r="A2897" s="9">
        <f t="shared" si="69"/>
        <v>0</v>
      </c>
    </row>
    <row r="2898" spans="1:1" x14ac:dyDescent="0.25">
      <c r="A2898" s="9">
        <f t="shared" si="69"/>
        <v>0</v>
      </c>
    </row>
    <row r="2899" spans="1:1" x14ac:dyDescent="0.25">
      <c r="A2899" s="9">
        <f t="shared" si="69"/>
        <v>0</v>
      </c>
    </row>
    <row r="2900" spans="1:1" x14ac:dyDescent="0.25">
      <c r="A2900" s="9">
        <f t="shared" si="69"/>
        <v>0</v>
      </c>
    </row>
    <row r="2901" spans="1:1" x14ac:dyDescent="0.25">
      <c r="A2901" s="9">
        <f t="shared" si="69"/>
        <v>0</v>
      </c>
    </row>
    <row r="2902" spans="1:1" x14ac:dyDescent="0.25">
      <c r="A2902" s="9">
        <f t="shared" si="69"/>
        <v>0</v>
      </c>
    </row>
    <row r="2903" spans="1:1" x14ac:dyDescent="0.25">
      <c r="A2903" s="9">
        <f t="shared" si="69"/>
        <v>0</v>
      </c>
    </row>
    <row r="2904" spans="1:1" x14ac:dyDescent="0.25">
      <c r="A2904" s="9">
        <f t="shared" si="69"/>
        <v>0</v>
      </c>
    </row>
    <row r="2905" spans="1:1" x14ac:dyDescent="0.25">
      <c r="A2905" s="9">
        <f t="shared" si="69"/>
        <v>0</v>
      </c>
    </row>
    <row r="2906" spans="1:1" x14ac:dyDescent="0.25">
      <c r="A2906" s="9">
        <f t="shared" si="69"/>
        <v>0</v>
      </c>
    </row>
    <row r="2907" spans="1:1" x14ac:dyDescent="0.25">
      <c r="A2907" s="9">
        <f t="shared" si="69"/>
        <v>0</v>
      </c>
    </row>
    <row r="2908" spans="1:1" x14ac:dyDescent="0.25">
      <c r="A2908" s="9">
        <f t="shared" si="69"/>
        <v>0</v>
      </c>
    </row>
    <row r="2909" spans="1:1" x14ac:dyDescent="0.25">
      <c r="A2909" s="9">
        <f t="shared" si="69"/>
        <v>0</v>
      </c>
    </row>
    <row r="2910" spans="1:1" x14ac:dyDescent="0.25">
      <c r="A2910" s="9">
        <f t="shared" si="69"/>
        <v>0</v>
      </c>
    </row>
    <row r="2911" spans="1:1" x14ac:dyDescent="0.25">
      <c r="A2911" s="9">
        <f t="shared" si="69"/>
        <v>0</v>
      </c>
    </row>
    <row r="2912" spans="1:1" x14ac:dyDescent="0.25">
      <c r="A2912" s="9">
        <f t="shared" si="69"/>
        <v>0</v>
      </c>
    </row>
    <row r="2913" spans="1:1" x14ac:dyDescent="0.25">
      <c r="A2913" s="9">
        <f t="shared" si="69"/>
        <v>0</v>
      </c>
    </row>
    <row r="2914" spans="1:1" x14ac:dyDescent="0.25">
      <c r="A2914" s="9">
        <f t="shared" si="69"/>
        <v>0</v>
      </c>
    </row>
    <row r="2915" spans="1:1" x14ac:dyDescent="0.25">
      <c r="A2915" s="9">
        <f t="shared" si="69"/>
        <v>0</v>
      </c>
    </row>
    <row r="2916" spans="1:1" x14ac:dyDescent="0.25">
      <c r="A2916" s="9">
        <f t="shared" si="69"/>
        <v>0</v>
      </c>
    </row>
    <row r="2917" spans="1:1" x14ac:dyDescent="0.25">
      <c r="A2917" s="9">
        <f t="shared" si="69"/>
        <v>0</v>
      </c>
    </row>
    <row r="2918" spans="1:1" x14ac:dyDescent="0.25">
      <c r="A2918" s="9">
        <f t="shared" si="69"/>
        <v>0</v>
      </c>
    </row>
    <row r="2919" spans="1:1" x14ac:dyDescent="0.25">
      <c r="A2919" s="9">
        <f t="shared" si="69"/>
        <v>0</v>
      </c>
    </row>
    <row r="2920" spans="1:1" x14ac:dyDescent="0.25">
      <c r="A2920" s="9">
        <f t="shared" si="69"/>
        <v>0</v>
      </c>
    </row>
    <row r="2921" spans="1:1" x14ac:dyDescent="0.25">
      <c r="A2921" s="9">
        <f t="shared" si="69"/>
        <v>0</v>
      </c>
    </row>
    <row r="2922" spans="1:1" x14ac:dyDescent="0.25">
      <c r="A2922" s="9">
        <f t="shared" si="69"/>
        <v>0</v>
      </c>
    </row>
    <row r="2923" spans="1:1" x14ac:dyDescent="0.25">
      <c r="A2923" s="9">
        <f t="shared" si="69"/>
        <v>0</v>
      </c>
    </row>
    <row r="2924" spans="1:1" x14ac:dyDescent="0.25">
      <c r="A2924" s="9">
        <f t="shared" si="69"/>
        <v>0</v>
      </c>
    </row>
    <row r="2925" spans="1:1" x14ac:dyDescent="0.25">
      <c r="A2925" s="9">
        <f t="shared" si="69"/>
        <v>0</v>
      </c>
    </row>
    <row r="2926" spans="1:1" x14ac:dyDescent="0.25">
      <c r="A2926" s="9">
        <f t="shared" si="69"/>
        <v>0</v>
      </c>
    </row>
    <row r="2927" spans="1:1" x14ac:dyDescent="0.25">
      <c r="A2927" s="9">
        <f t="shared" si="69"/>
        <v>0</v>
      </c>
    </row>
    <row r="2928" spans="1:1" x14ac:dyDescent="0.25">
      <c r="A2928" s="9">
        <f t="shared" si="69"/>
        <v>0</v>
      </c>
    </row>
    <row r="2929" spans="1:1" x14ac:dyDescent="0.25">
      <c r="A2929" s="9">
        <f t="shared" si="69"/>
        <v>0</v>
      </c>
    </row>
    <row r="2930" spans="1:1" x14ac:dyDescent="0.25">
      <c r="A2930" s="9">
        <f t="shared" si="69"/>
        <v>0</v>
      </c>
    </row>
    <row r="2931" spans="1:1" x14ac:dyDescent="0.25">
      <c r="A2931" s="9">
        <f t="shared" si="69"/>
        <v>0</v>
      </c>
    </row>
    <row r="2932" spans="1:1" x14ac:dyDescent="0.25">
      <c r="A2932" s="9">
        <f t="shared" si="69"/>
        <v>0</v>
      </c>
    </row>
    <row r="2933" spans="1:1" x14ac:dyDescent="0.25">
      <c r="A2933" s="9">
        <f t="shared" si="69"/>
        <v>0</v>
      </c>
    </row>
    <row r="2934" spans="1:1" x14ac:dyDescent="0.25">
      <c r="A2934" s="9">
        <f t="shared" si="69"/>
        <v>0</v>
      </c>
    </row>
    <row r="2935" spans="1:1" x14ac:dyDescent="0.25">
      <c r="A2935" s="9">
        <f t="shared" si="69"/>
        <v>0</v>
      </c>
    </row>
    <row r="2936" spans="1:1" x14ac:dyDescent="0.25">
      <c r="A2936" s="9">
        <f t="shared" si="69"/>
        <v>0</v>
      </c>
    </row>
    <row r="2937" spans="1:1" x14ac:dyDescent="0.25">
      <c r="A2937" s="9">
        <f t="shared" si="69"/>
        <v>0</v>
      </c>
    </row>
    <row r="2938" spans="1:1" x14ac:dyDescent="0.25">
      <c r="A2938" s="9">
        <f t="shared" si="69"/>
        <v>0</v>
      </c>
    </row>
    <row r="2939" spans="1:1" x14ac:dyDescent="0.25">
      <c r="A2939" s="9">
        <f t="shared" si="69"/>
        <v>0</v>
      </c>
    </row>
    <row r="2940" spans="1:1" x14ac:dyDescent="0.25">
      <c r="A2940" s="9">
        <f t="shared" si="69"/>
        <v>0</v>
      </c>
    </row>
    <row r="2941" spans="1:1" x14ac:dyDescent="0.25">
      <c r="A2941" s="9">
        <f t="shared" si="69"/>
        <v>0</v>
      </c>
    </row>
    <row r="2942" spans="1:1" x14ac:dyDescent="0.25">
      <c r="A2942" s="9">
        <f t="shared" si="69"/>
        <v>0</v>
      </c>
    </row>
    <row r="2943" spans="1:1" x14ac:dyDescent="0.25">
      <c r="A2943" s="9">
        <f t="shared" si="69"/>
        <v>0</v>
      </c>
    </row>
    <row r="2944" spans="1:1" x14ac:dyDescent="0.25">
      <c r="A2944" s="9">
        <f t="shared" si="69"/>
        <v>0</v>
      </c>
    </row>
    <row r="2945" spans="1:1" x14ac:dyDescent="0.25">
      <c r="A2945" s="9">
        <f t="shared" si="69"/>
        <v>0</v>
      </c>
    </row>
    <row r="2946" spans="1:1" x14ac:dyDescent="0.25">
      <c r="A2946" s="9">
        <f t="shared" si="69"/>
        <v>0</v>
      </c>
    </row>
    <row r="2947" spans="1:1" x14ac:dyDescent="0.25">
      <c r="A2947" s="9">
        <f t="shared" si="69"/>
        <v>0</v>
      </c>
    </row>
    <row r="2948" spans="1:1" x14ac:dyDescent="0.25">
      <c r="A2948" s="9">
        <f t="shared" si="69"/>
        <v>0</v>
      </c>
    </row>
    <row r="2949" spans="1:1" x14ac:dyDescent="0.25">
      <c r="A2949" s="9">
        <f t="shared" si="69"/>
        <v>0</v>
      </c>
    </row>
    <row r="2950" spans="1:1" x14ac:dyDescent="0.25">
      <c r="A2950" s="9">
        <f t="shared" si="69"/>
        <v>0</v>
      </c>
    </row>
    <row r="2951" spans="1:1" x14ac:dyDescent="0.25">
      <c r="A2951" s="9">
        <f t="shared" si="69"/>
        <v>0</v>
      </c>
    </row>
    <row r="2952" spans="1:1" x14ac:dyDescent="0.25">
      <c r="A2952" s="9">
        <f t="shared" si="69"/>
        <v>0</v>
      </c>
    </row>
    <row r="2953" spans="1:1" x14ac:dyDescent="0.25">
      <c r="A2953" s="9">
        <f t="shared" si="69"/>
        <v>0</v>
      </c>
    </row>
    <row r="2954" spans="1:1" x14ac:dyDescent="0.25">
      <c r="A2954" s="9">
        <f t="shared" si="69"/>
        <v>0</v>
      </c>
    </row>
    <row r="2955" spans="1:1" x14ac:dyDescent="0.25">
      <c r="A2955" s="9">
        <f t="shared" si="69"/>
        <v>0</v>
      </c>
    </row>
    <row r="2956" spans="1:1" x14ac:dyDescent="0.25">
      <c r="A2956" s="9">
        <f t="shared" ref="A2956:A3019" si="70">IF(G2956&gt;0,1,0)</f>
        <v>0</v>
      </c>
    </row>
    <row r="2957" spans="1:1" x14ac:dyDescent="0.25">
      <c r="A2957" s="9">
        <f t="shared" si="70"/>
        <v>0</v>
      </c>
    </row>
    <row r="2958" spans="1:1" x14ac:dyDescent="0.25">
      <c r="A2958" s="9">
        <f t="shared" si="70"/>
        <v>0</v>
      </c>
    </row>
    <row r="2959" spans="1:1" x14ac:dyDescent="0.25">
      <c r="A2959" s="9">
        <f t="shared" si="70"/>
        <v>0</v>
      </c>
    </row>
    <row r="2960" spans="1:1" x14ac:dyDescent="0.25">
      <c r="A2960" s="9">
        <f t="shared" si="70"/>
        <v>0</v>
      </c>
    </row>
    <row r="2961" spans="1:1" x14ac:dyDescent="0.25">
      <c r="A2961" s="9">
        <f t="shared" si="70"/>
        <v>0</v>
      </c>
    </row>
    <row r="2962" spans="1:1" x14ac:dyDescent="0.25">
      <c r="A2962" s="9">
        <f t="shared" si="70"/>
        <v>0</v>
      </c>
    </row>
    <row r="2963" spans="1:1" x14ac:dyDescent="0.25">
      <c r="A2963" s="9">
        <f t="shared" si="70"/>
        <v>0</v>
      </c>
    </row>
    <row r="2964" spans="1:1" x14ac:dyDescent="0.25">
      <c r="A2964" s="9">
        <f t="shared" si="70"/>
        <v>0</v>
      </c>
    </row>
    <row r="2965" spans="1:1" x14ac:dyDescent="0.25">
      <c r="A2965" s="9">
        <f t="shared" si="70"/>
        <v>0</v>
      </c>
    </row>
    <row r="2966" spans="1:1" x14ac:dyDescent="0.25">
      <c r="A2966" s="9">
        <f t="shared" si="70"/>
        <v>0</v>
      </c>
    </row>
    <row r="2967" spans="1:1" x14ac:dyDescent="0.25">
      <c r="A2967" s="9">
        <f t="shared" si="70"/>
        <v>0</v>
      </c>
    </row>
    <row r="2968" spans="1:1" x14ac:dyDescent="0.25">
      <c r="A2968" s="9">
        <f t="shared" si="70"/>
        <v>0</v>
      </c>
    </row>
    <row r="2969" spans="1:1" x14ac:dyDescent="0.25">
      <c r="A2969" s="9">
        <f t="shared" si="70"/>
        <v>0</v>
      </c>
    </row>
    <row r="2970" spans="1:1" x14ac:dyDescent="0.25">
      <c r="A2970" s="9">
        <f t="shared" si="70"/>
        <v>0</v>
      </c>
    </row>
    <row r="2971" spans="1:1" x14ac:dyDescent="0.25">
      <c r="A2971" s="9">
        <f t="shared" si="70"/>
        <v>0</v>
      </c>
    </row>
    <row r="2972" spans="1:1" x14ac:dyDescent="0.25">
      <c r="A2972" s="9">
        <f t="shared" si="70"/>
        <v>0</v>
      </c>
    </row>
    <row r="2973" spans="1:1" x14ac:dyDescent="0.25">
      <c r="A2973" s="9">
        <f t="shared" si="70"/>
        <v>0</v>
      </c>
    </row>
    <row r="2974" spans="1:1" x14ac:dyDescent="0.25">
      <c r="A2974" s="9">
        <f t="shared" si="70"/>
        <v>0</v>
      </c>
    </row>
    <row r="2975" spans="1:1" x14ac:dyDescent="0.25">
      <c r="A2975" s="9">
        <f t="shared" si="70"/>
        <v>0</v>
      </c>
    </row>
    <row r="2976" spans="1:1" x14ac:dyDescent="0.25">
      <c r="A2976" s="9">
        <f t="shared" si="70"/>
        <v>0</v>
      </c>
    </row>
    <row r="2977" spans="1:1" x14ac:dyDescent="0.25">
      <c r="A2977" s="9">
        <f t="shared" si="70"/>
        <v>0</v>
      </c>
    </row>
    <row r="2978" spans="1:1" x14ac:dyDescent="0.25">
      <c r="A2978" s="9">
        <f t="shared" si="70"/>
        <v>0</v>
      </c>
    </row>
    <row r="2979" spans="1:1" x14ac:dyDescent="0.25">
      <c r="A2979" s="9">
        <f t="shared" si="70"/>
        <v>0</v>
      </c>
    </row>
    <row r="2980" spans="1:1" x14ac:dyDescent="0.25">
      <c r="A2980" s="9">
        <f t="shared" si="70"/>
        <v>0</v>
      </c>
    </row>
    <row r="2981" spans="1:1" x14ac:dyDescent="0.25">
      <c r="A2981" s="9">
        <f t="shared" si="70"/>
        <v>0</v>
      </c>
    </row>
    <row r="2982" spans="1:1" x14ac:dyDescent="0.25">
      <c r="A2982" s="9">
        <f t="shared" si="70"/>
        <v>0</v>
      </c>
    </row>
    <row r="2983" spans="1:1" x14ac:dyDescent="0.25">
      <c r="A2983" s="9">
        <f t="shared" si="70"/>
        <v>0</v>
      </c>
    </row>
    <row r="2984" spans="1:1" x14ac:dyDescent="0.25">
      <c r="A2984" s="9">
        <f t="shared" si="70"/>
        <v>0</v>
      </c>
    </row>
    <row r="2985" spans="1:1" x14ac:dyDescent="0.25">
      <c r="A2985" s="9">
        <f t="shared" si="70"/>
        <v>0</v>
      </c>
    </row>
    <row r="2986" spans="1:1" x14ac:dyDescent="0.25">
      <c r="A2986" s="9">
        <f t="shared" si="70"/>
        <v>0</v>
      </c>
    </row>
    <row r="2987" spans="1:1" x14ac:dyDescent="0.25">
      <c r="A2987" s="9">
        <f t="shared" si="70"/>
        <v>0</v>
      </c>
    </row>
    <row r="2988" spans="1:1" x14ac:dyDescent="0.25">
      <c r="A2988" s="9">
        <f t="shared" si="70"/>
        <v>0</v>
      </c>
    </row>
    <row r="2989" spans="1:1" x14ac:dyDescent="0.25">
      <c r="A2989" s="9">
        <f t="shared" si="70"/>
        <v>0</v>
      </c>
    </row>
    <row r="2990" spans="1:1" x14ac:dyDescent="0.25">
      <c r="A2990" s="9">
        <f t="shared" si="70"/>
        <v>0</v>
      </c>
    </row>
    <row r="2991" spans="1:1" x14ac:dyDescent="0.25">
      <c r="A2991" s="9">
        <f t="shared" si="70"/>
        <v>0</v>
      </c>
    </row>
    <row r="2992" spans="1:1" x14ac:dyDescent="0.25">
      <c r="A2992" s="9">
        <f t="shared" si="70"/>
        <v>0</v>
      </c>
    </row>
    <row r="2993" spans="1:1" x14ac:dyDescent="0.25">
      <c r="A2993" s="9">
        <f t="shared" si="70"/>
        <v>0</v>
      </c>
    </row>
    <row r="2994" spans="1:1" x14ac:dyDescent="0.25">
      <c r="A2994" s="9">
        <f t="shared" si="70"/>
        <v>0</v>
      </c>
    </row>
    <row r="2995" spans="1:1" x14ac:dyDescent="0.25">
      <c r="A2995" s="9">
        <f t="shared" si="70"/>
        <v>0</v>
      </c>
    </row>
    <row r="2996" spans="1:1" x14ac:dyDescent="0.25">
      <c r="A2996" s="9">
        <f t="shared" si="70"/>
        <v>0</v>
      </c>
    </row>
    <row r="2997" spans="1:1" x14ac:dyDescent="0.25">
      <c r="A2997" s="9">
        <f t="shared" si="70"/>
        <v>0</v>
      </c>
    </row>
    <row r="2998" spans="1:1" x14ac:dyDescent="0.25">
      <c r="A2998" s="9">
        <f t="shared" si="70"/>
        <v>0</v>
      </c>
    </row>
    <row r="2999" spans="1:1" x14ac:dyDescent="0.25">
      <c r="A2999" s="9">
        <f t="shared" si="70"/>
        <v>0</v>
      </c>
    </row>
    <row r="3000" spans="1:1" x14ac:dyDescent="0.25">
      <c r="A3000" s="9">
        <f t="shared" si="70"/>
        <v>0</v>
      </c>
    </row>
    <row r="3001" spans="1:1" x14ac:dyDescent="0.25">
      <c r="A3001" s="9">
        <f t="shared" si="70"/>
        <v>0</v>
      </c>
    </row>
    <row r="3002" spans="1:1" x14ac:dyDescent="0.25">
      <c r="A3002" s="9">
        <f t="shared" si="70"/>
        <v>0</v>
      </c>
    </row>
    <row r="3003" spans="1:1" x14ac:dyDescent="0.25">
      <c r="A3003" s="9">
        <f t="shared" si="70"/>
        <v>0</v>
      </c>
    </row>
    <row r="3004" spans="1:1" x14ac:dyDescent="0.25">
      <c r="A3004" s="9">
        <f t="shared" si="70"/>
        <v>0</v>
      </c>
    </row>
    <row r="3005" spans="1:1" x14ac:dyDescent="0.25">
      <c r="A3005" s="9">
        <f t="shared" si="70"/>
        <v>0</v>
      </c>
    </row>
    <row r="3006" spans="1:1" x14ac:dyDescent="0.25">
      <c r="A3006" s="9">
        <f t="shared" si="70"/>
        <v>0</v>
      </c>
    </row>
    <row r="3007" spans="1:1" x14ac:dyDescent="0.25">
      <c r="A3007" s="9">
        <f t="shared" si="70"/>
        <v>0</v>
      </c>
    </row>
    <row r="3008" spans="1:1" x14ac:dyDescent="0.25">
      <c r="A3008" s="9">
        <f t="shared" si="70"/>
        <v>0</v>
      </c>
    </row>
    <row r="3009" spans="1:1" x14ac:dyDescent="0.25">
      <c r="A3009" s="9">
        <f t="shared" si="70"/>
        <v>0</v>
      </c>
    </row>
    <row r="3010" spans="1:1" x14ac:dyDescent="0.25">
      <c r="A3010" s="9">
        <f t="shared" si="70"/>
        <v>0</v>
      </c>
    </row>
    <row r="3011" spans="1:1" x14ac:dyDescent="0.25">
      <c r="A3011" s="9">
        <f t="shared" si="70"/>
        <v>0</v>
      </c>
    </row>
    <row r="3012" spans="1:1" x14ac:dyDescent="0.25">
      <c r="A3012" s="9">
        <f t="shared" si="70"/>
        <v>0</v>
      </c>
    </row>
    <row r="3013" spans="1:1" x14ac:dyDescent="0.25">
      <c r="A3013" s="9">
        <f t="shared" si="70"/>
        <v>0</v>
      </c>
    </row>
    <row r="3014" spans="1:1" x14ac:dyDescent="0.25">
      <c r="A3014" s="9">
        <f t="shared" si="70"/>
        <v>0</v>
      </c>
    </row>
    <row r="3015" spans="1:1" x14ac:dyDescent="0.25">
      <c r="A3015" s="9">
        <f t="shared" si="70"/>
        <v>0</v>
      </c>
    </row>
    <row r="3016" spans="1:1" x14ac:dyDescent="0.25">
      <c r="A3016" s="9">
        <f t="shared" si="70"/>
        <v>0</v>
      </c>
    </row>
    <row r="3017" spans="1:1" x14ac:dyDescent="0.25">
      <c r="A3017" s="9">
        <f t="shared" si="70"/>
        <v>0</v>
      </c>
    </row>
    <row r="3018" spans="1:1" x14ac:dyDescent="0.25">
      <c r="A3018" s="9">
        <f t="shared" si="70"/>
        <v>0</v>
      </c>
    </row>
    <row r="3019" spans="1:1" x14ac:dyDescent="0.25">
      <c r="A3019" s="9">
        <f t="shared" si="70"/>
        <v>0</v>
      </c>
    </row>
    <row r="3020" spans="1:1" x14ac:dyDescent="0.25">
      <c r="A3020" s="9">
        <f t="shared" ref="A3020:A3083" si="71">IF(G3020&gt;0,1,0)</f>
        <v>0</v>
      </c>
    </row>
    <row r="3021" spans="1:1" x14ac:dyDescent="0.25">
      <c r="A3021" s="9">
        <f t="shared" si="71"/>
        <v>0</v>
      </c>
    </row>
    <row r="3022" spans="1:1" x14ac:dyDescent="0.25">
      <c r="A3022" s="9">
        <f t="shared" si="71"/>
        <v>0</v>
      </c>
    </row>
    <row r="3023" spans="1:1" x14ac:dyDescent="0.25">
      <c r="A3023" s="9">
        <f t="shared" si="71"/>
        <v>0</v>
      </c>
    </row>
    <row r="3024" spans="1:1" x14ac:dyDescent="0.25">
      <c r="A3024" s="9">
        <f t="shared" si="71"/>
        <v>0</v>
      </c>
    </row>
    <row r="3025" spans="1:1" x14ac:dyDescent="0.25">
      <c r="A3025" s="9">
        <f t="shared" si="71"/>
        <v>0</v>
      </c>
    </row>
    <row r="3026" spans="1:1" x14ac:dyDescent="0.25">
      <c r="A3026" s="9">
        <f t="shared" si="71"/>
        <v>0</v>
      </c>
    </row>
    <row r="3027" spans="1:1" x14ac:dyDescent="0.25">
      <c r="A3027" s="9">
        <f t="shared" si="71"/>
        <v>0</v>
      </c>
    </row>
    <row r="3028" spans="1:1" x14ac:dyDescent="0.25">
      <c r="A3028" s="9">
        <f t="shared" si="71"/>
        <v>0</v>
      </c>
    </row>
    <row r="3029" spans="1:1" x14ac:dyDescent="0.25">
      <c r="A3029" s="9">
        <f t="shared" si="71"/>
        <v>0</v>
      </c>
    </row>
    <row r="3030" spans="1:1" x14ac:dyDescent="0.25">
      <c r="A3030" s="9">
        <f t="shared" si="71"/>
        <v>0</v>
      </c>
    </row>
    <row r="3031" spans="1:1" x14ac:dyDescent="0.25">
      <c r="A3031" s="9">
        <f t="shared" si="71"/>
        <v>0</v>
      </c>
    </row>
    <row r="3032" spans="1:1" x14ac:dyDescent="0.25">
      <c r="A3032" s="9">
        <f t="shared" si="71"/>
        <v>0</v>
      </c>
    </row>
    <row r="3033" spans="1:1" x14ac:dyDescent="0.25">
      <c r="A3033" s="9">
        <f t="shared" si="71"/>
        <v>0</v>
      </c>
    </row>
    <row r="3034" spans="1:1" x14ac:dyDescent="0.25">
      <c r="A3034" s="9">
        <f t="shared" si="71"/>
        <v>0</v>
      </c>
    </row>
    <row r="3035" spans="1:1" x14ac:dyDescent="0.25">
      <c r="A3035" s="9">
        <f t="shared" si="71"/>
        <v>0</v>
      </c>
    </row>
    <row r="3036" spans="1:1" x14ac:dyDescent="0.25">
      <c r="A3036" s="9">
        <f t="shared" si="71"/>
        <v>0</v>
      </c>
    </row>
    <row r="3037" spans="1:1" x14ac:dyDescent="0.25">
      <c r="A3037" s="9">
        <f t="shared" si="71"/>
        <v>0</v>
      </c>
    </row>
    <row r="3038" spans="1:1" x14ac:dyDescent="0.25">
      <c r="A3038" s="9">
        <f t="shared" si="71"/>
        <v>0</v>
      </c>
    </row>
    <row r="3039" spans="1:1" x14ac:dyDescent="0.25">
      <c r="A3039" s="9">
        <f t="shared" si="71"/>
        <v>0</v>
      </c>
    </row>
    <row r="3040" spans="1:1" x14ac:dyDescent="0.25">
      <c r="A3040" s="9">
        <f t="shared" si="71"/>
        <v>0</v>
      </c>
    </row>
    <row r="3041" spans="1:1" x14ac:dyDescent="0.25">
      <c r="A3041" s="9">
        <f t="shared" si="71"/>
        <v>0</v>
      </c>
    </row>
    <row r="3042" spans="1:1" x14ac:dyDescent="0.25">
      <c r="A3042" s="9">
        <f t="shared" si="71"/>
        <v>0</v>
      </c>
    </row>
    <row r="3043" spans="1:1" x14ac:dyDescent="0.25">
      <c r="A3043" s="9">
        <f t="shared" si="71"/>
        <v>0</v>
      </c>
    </row>
    <row r="3044" spans="1:1" x14ac:dyDescent="0.25">
      <c r="A3044" s="9">
        <f t="shared" si="71"/>
        <v>0</v>
      </c>
    </row>
    <row r="3045" spans="1:1" x14ac:dyDescent="0.25">
      <c r="A3045" s="9">
        <f t="shared" si="71"/>
        <v>0</v>
      </c>
    </row>
    <row r="3046" spans="1:1" x14ac:dyDescent="0.25">
      <c r="A3046" s="9">
        <f t="shared" si="71"/>
        <v>0</v>
      </c>
    </row>
    <row r="3047" spans="1:1" x14ac:dyDescent="0.25">
      <c r="A3047" s="9">
        <f t="shared" si="71"/>
        <v>0</v>
      </c>
    </row>
    <row r="3048" spans="1:1" x14ac:dyDescent="0.25">
      <c r="A3048" s="9">
        <f t="shared" si="71"/>
        <v>0</v>
      </c>
    </row>
    <row r="3049" spans="1:1" x14ac:dyDescent="0.25">
      <c r="A3049" s="9">
        <f t="shared" si="71"/>
        <v>0</v>
      </c>
    </row>
    <row r="3050" spans="1:1" x14ac:dyDescent="0.25">
      <c r="A3050" s="9">
        <f t="shared" si="71"/>
        <v>0</v>
      </c>
    </row>
    <row r="3051" spans="1:1" x14ac:dyDescent="0.25">
      <c r="A3051" s="9">
        <f t="shared" si="71"/>
        <v>0</v>
      </c>
    </row>
    <row r="3052" spans="1:1" x14ac:dyDescent="0.25">
      <c r="A3052" s="9">
        <f t="shared" si="71"/>
        <v>0</v>
      </c>
    </row>
    <row r="3053" spans="1:1" x14ac:dyDescent="0.25">
      <c r="A3053" s="9">
        <f t="shared" si="71"/>
        <v>0</v>
      </c>
    </row>
    <row r="3054" spans="1:1" x14ac:dyDescent="0.25">
      <c r="A3054" s="9">
        <f t="shared" si="71"/>
        <v>0</v>
      </c>
    </row>
    <row r="3055" spans="1:1" x14ac:dyDescent="0.25">
      <c r="A3055" s="9">
        <f t="shared" si="71"/>
        <v>0</v>
      </c>
    </row>
    <row r="3056" spans="1:1" x14ac:dyDescent="0.25">
      <c r="A3056" s="9">
        <f t="shared" si="71"/>
        <v>0</v>
      </c>
    </row>
    <row r="3057" spans="1:1" x14ac:dyDescent="0.25">
      <c r="A3057" s="9">
        <f t="shared" si="71"/>
        <v>0</v>
      </c>
    </row>
    <row r="3058" spans="1:1" x14ac:dyDescent="0.25">
      <c r="A3058" s="9">
        <f t="shared" si="71"/>
        <v>0</v>
      </c>
    </row>
    <row r="3059" spans="1:1" x14ac:dyDescent="0.25">
      <c r="A3059" s="9">
        <f t="shared" si="71"/>
        <v>0</v>
      </c>
    </row>
    <row r="3060" spans="1:1" x14ac:dyDescent="0.25">
      <c r="A3060" s="9">
        <f t="shared" si="71"/>
        <v>0</v>
      </c>
    </row>
    <row r="3061" spans="1:1" x14ac:dyDescent="0.25">
      <c r="A3061" s="9">
        <f t="shared" si="71"/>
        <v>0</v>
      </c>
    </row>
    <row r="3062" spans="1:1" x14ac:dyDescent="0.25">
      <c r="A3062" s="9">
        <f t="shared" si="71"/>
        <v>0</v>
      </c>
    </row>
    <row r="3063" spans="1:1" x14ac:dyDescent="0.25">
      <c r="A3063" s="9">
        <f t="shared" si="71"/>
        <v>0</v>
      </c>
    </row>
    <row r="3064" spans="1:1" x14ac:dyDescent="0.25">
      <c r="A3064" s="9">
        <f t="shared" si="71"/>
        <v>0</v>
      </c>
    </row>
    <row r="3065" spans="1:1" x14ac:dyDescent="0.25">
      <c r="A3065" s="9">
        <f t="shared" si="71"/>
        <v>0</v>
      </c>
    </row>
    <row r="3066" spans="1:1" x14ac:dyDescent="0.25">
      <c r="A3066" s="9">
        <f t="shared" si="71"/>
        <v>0</v>
      </c>
    </row>
    <row r="3067" spans="1:1" x14ac:dyDescent="0.25">
      <c r="A3067" s="9">
        <f t="shared" si="71"/>
        <v>0</v>
      </c>
    </row>
    <row r="3068" spans="1:1" x14ac:dyDescent="0.25">
      <c r="A3068" s="9">
        <f t="shared" si="71"/>
        <v>0</v>
      </c>
    </row>
    <row r="3069" spans="1:1" x14ac:dyDescent="0.25">
      <c r="A3069" s="9">
        <f t="shared" si="71"/>
        <v>0</v>
      </c>
    </row>
    <row r="3070" spans="1:1" x14ac:dyDescent="0.25">
      <c r="A3070" s="9">
        <f t="shared" si="71"/>
        <v>0</v>
      </c>
    </row>
    <row r="3071" spans="1:1" x14ac:dyDescent="0.25">
      <c r="A3071" s="9">
        <f t="shared" si="71"/>
        <v>0</v>
      </c>
    </row>
    <row r="3072" spans="1:1" x14ac:dyDescent="0.25">
      <c r="A3072" s="9">
        <f t="shared" si="71"/>
        <v>0</v>
      </c>
    </row>
    <row r="3073" spans="1:1" x14ac:dyDescent="0.25">
      <c r="A3073" s="9">
        <f t="shared" si="71"/>
        <v>0</v>
      </c>
    </row>
    <row r="3074" spans="1:1" x14ac:dyDescent="0.25">
      <c r="A3074" s="9">
        <f t="shared" si="71"/>
        <v>0</v>
      </c>
    </row>
    <row r="3075" spans="1:1" x14ac:dyDescent="0.25">
      <c r="A3075" s="9">
        <f t="shared" si="71"/>
        <v>0</v>
      </c>
    </row>
    <row r="3076" spans="1:1" x14ac:dyDescent="0.25">
      <c r="A3076" s="9">
        <f t="shared" si="71"/>
        <v>0</v>
      </c>
    </row>
    <row r="3077" spans="1:1" x14ac:dyDescent="0.25">
      <c r="A3077" s="9">
        <f t="shared" si="71"/>
        <v>0</v>
      </c>
    </row>
    <row r="3078" spans="1:1" x14ac:dyDescent="0.25">
      <c r="A3078" s="9">
        <f t="shared" si="71"/>
        <v>0</v>
      </c>
    </row>
    <row r="3079" spans="1:1" x14ac:dyDescent="0.25">
      <c r="A3079" s="9">
        <f t="shared" si="71"/>
        <v>0</v>
      </c>
    </row>
    <row r="3080" spans="1:1" x14ac:dyDescent="0.25">
      <c r="A3080" s="9">
        <f t="shared" si="71"/>
        <v>0</v>
      </c>
    </row>
    <row r="3081" spans="1:1" x14ac:dyDescent="0.25">
      <c r="A3081" s="9">
        <f t="shared" si="71"/>
        <v>0</v>
      </c>
    </row>
    <row r="3082" spans="1:1" x14ac:dyDescent="0.25">
      <c r="A3082" s="9">
        <f t="shared" si="71"/>
        <v>0</v>
      </c>
    </row>
    <row r="3083" spans="1:1" x14ac:dyDescent="0.25">
      <c r="A3083" s="9">
        <f t="shared" si="71"/>
        <v>0</v>
      </c>
    </row>
    <row r="3084" spans="1:1" x14ac:dyDescent="0.25">
      <c r="A3084" s="9">
        <f t="shared" ref="A3084:A3147" si="72">IF(G3084&gt;0,1,0)</f>
        <v>0</v>
      </c>
    </row>
    <row r="3085" spans="1:1" x14ac:dyDescent="0.25">
      <c r="A3085" s="9">
        <f t="shared" si="72"/>
        <v>0</v>
      </c>
    </row>
    <row r="3086" spans="1:1" x14ac:dyDescent="0.25">
      <c r="A3086" s="9">
        <f t="shared" si="72"/>
        <v>0</v>
      </c>
    </row>
    <row r="3087" spans="1:1" x14ac:dyDescent="0.25">
      <c r="A3087" s="9">
        <f t="shared" si="72"/>
        <v>0</v>
      </c>
    </row>
    <row r="3088" spans="1:1" x14ac:dyDescent="0.25">
      <c r="A3088" s="9">
        <f t="shared" si="72"/>
        <v>0</v>
      </c>
    </row>
    <row r="3089" spans="1:1" x14ac:dyDescent="0.25">
      <c r="A3089" s="9">
        <f t="shared" si="72"/>
        <v>0</v>
      </c>
    </row>
    <row r="3090" spans="1:1" x14ac:dyDescent="0.25">
      <c r="A3090" s="9">
        <f t="shared" si="72"/>
        <v>0</v>
      </c>
    </row>
    <row r="3091" spans="1:1" x14ac:dyDescent="0.25">
      <c r="A3091" s="9">
        <f t="shared" si="72"/>
        <v>0</v>
      </c>
    </row>
    <row r="3092" spans="1:1" x14ac:dyDescent="0.25">
      <c r="A3092" s="9">
        <f t="shared" si="72"/>
        <v>0</v>
      </c>
    </row>
    <row r="3093" spans="1:1" x14ac:dyDescent="0.25">
      <c r="A3093" s="9">
        <f t="shared" si="72"/>
        <v>0</v>
      </c>
    </row>
    <row r="3094" spans="1:1" x14ac:dyDescent="0.25">
      <c r="A3094" s="9">
        <f t="shared" si="72"/>
        <v>0</v>
      </c>
    </row>
    <row r="3095" spans="1:1" x14ac:dyDescent="0.25">
      <c r="A3095" s="9">
        <f t="shared" si="72"/>
        <v>0</v>
      </c>
    </row>
    <row r="3096" spans="1:1" x14ac:dyDescent="0.25">
      <c r="A3096" s="9">
        <f t="shared" si="72"/>
        <v>0</v>
      </c>
    </row>
    <row r="3097" spans="1:1" x14ac:dyDescent="0.25">
      <c r="A3097" s="9">
        <f t="shared" si="72"/>
        <v>0</v>
      </c>
    </row>
    <row r="3098" spans="1:1" x14ac:dyDescent="0.25">
      <c r="A3098" s="9">
        <f t="shared" si="72"/>
        <v>0</v>
      </c>
    </row>
    <row r="3099" spans="1:1" x14ac:dyDescent="0.25">
      <c r="A3099" s="9">
        <f t="shared" si="72"/>
        <v>0</v>
      </c>
    </row>
    <row r="3100" spans="1:1" x14ac:dyDescent="0.25">
      <c r="A3100" s="9">
        <f t="shared" si="72"/>
        <v>0</v>
      </c>
    </row>
    <row r="3101" spans="1:1" x14ac:dyDescent="0.25">
      <c r="A3101" s="9">
        <f t="shared" si="72"/>
        <v>0</v>
      </c>
    </row>
    <row r="3102" spans="1:1" x14ac:dyDescent="0.25">
      <c r="A3102" s="9">
        <f t="shared" si="72"/>
        <v>0</v>
      </c>
    </row>
    <row r="3103" spans="1:1" x14ac:dyDescent="0.25">
      <c r="A3103" s="9">
        <f t="shared" si="72"/>
        <v>0</v>
      </c>
    </row>
    <row r="3104" spans="1:1" x14ac:dyDescent="0.25">
      <c r="A3104" s="9">
        <f t="shared" si="72"/>
        <v>0</v>
      </c>
    </row>
    <row r="3105" spans="1:1" x14ac:dyDescent="0.25">
      <c r="A3105" s="9">
        <f t="shared" si="72"/>
        <v>0</v>
      </c>
    </row>
    <row r="3106" spans="1:1" x14ac:dyDescent="0.25">
      <c r="A3106" s="9">
        <f t="shared" si="72"/>
        <v>0</v>
      </c>
    </row>
    <row r="3107" spans="1:1" x14ac:dyDescent="0.25">
      <c r="A3107" s="9">
        <f t="shared" si="72"/>
        <v>0</v>
      </c>
    </row>
    <row r="3108" spans="1:1" x14ac:dyDescent="0.25">
      <c r="A3108" s="9">
        <f t="shared" si="72"/>
        <v>0</v>
      </c>
    </row>
    <row r="3109" spans="1:1" x14ac:dyDescent="0.25">
      <c r="A3109" s="9">
        <f t="shared" si="72"/>
        <v>0</v>
      </c>
    </row>
    <row r="3110" spans="1:1" x14ac:dyDescent="0.25">
      <c r="A3110" s="9">
        <f t="shared" si="72"/>
        <v>0</v>
      </c>
    </row>
    <row r="3111" spans="1:1" x14ac:dyDescent="0.25">
      <c r="A3111" s="9">
        <f t="shared" si="72"/>
        <v>0</v>
      </c>
    </row>
    <row r="3112" spans="1:1" x14ac:dyDescent="0.25">
      <c r="A3112" s="9">
        <f t="shared" si="72"/>
        <v>0</v>
      </c>
    </row>
    <row r="3113" spans="1:1" x14ac:dyDescent="0.25">
      <c r="A3113" s="9">
        <f t="shared" si="72"/>
        <v>0</v>
      </c>
    </row>
    <row r="3114" spans="1:1" x14ac:dyDescent="0.25">
      <c r="A3114" s="9">
        <f t="shared" si="72"/>
        <v>0</v>
      </c>
    </row>
    <row r="3115" spans="1:1" x14ac:dyDescent="0.25">
      <c r="A3115" s="9">
        <f t="shared" si="72"/>
        <v>0</v>
      </c>
    </row>
    <row r="3116" spans="1:1" x14ac:dyDescent="0.25">
      <c r="A3116" s="9">
        <f t="shared" si="72"/>
        <v>0</v>
      </c>
    </row>
    <row r="3117" spans="1:1" x14ac:dyDescent="0.25">
      <c r="A3117" s="9">
        <f t="shared" si="72"/>
        <v>0</v>
      </c>
    </row>
    <row r="3118" spans="1:1" x14ac:dyDescent="0.25">
      <c r="A3118" s="9">
        <f t="shared" si="72"/>
        <v>0</v>
      </c>
    </row>
    <row r="3119" spans="1:1" x14ac:dyDescent="0.25">
      <c r="A3119" s="9">
        <f t="shared" si="72"/>
        <v>0</v>
      </c>
    </row>
    <row r="3120" spans="1:1" x14ac:dyDescent="0.25">
      <c r="A3120" s="9">
        <f t="shared" si="72"/>
        <v>0</v>
      </c>
    </row>
    <row r="3121" spans="1:1" x14ac:dyDescent="0.25">
      <c r="A3121" s="9">
        <f t="shared" si="72"/>
        <v>0</v>
      </c>
    </row>
    <row r="3122" spans="1:1" x14ac:dyDescent="0.25">
      <c r="A3122" s="9">
        <f t="shared" si="72"/>
        <v>0</v>
      </c>
    </row>
    <row r="3123" spans="1:1" x14ac:dyDescent="0.25">
      <c r="A3123" s="9">
        <f t="shared" si="72"/>
        <v>0</v>
      </c>
    </row>
    <row r="3124" spans="1:1" x14ac:dyDescent="0.25">
      <c r="A3124" s="9">
        <f t="shared" si="72"/>
        <v>0</v>
      </c>
    </row>
    <row r="3125" spans="1:1" x14ac:dyDescent="0.25">
      <c r="A3125" s="9">
        <f t="shared" si="72"/>
        <v>0</v>
      </c>
    </row>
    <row r="3126" spans="1:1" x14ac:dyDescent="0.25">
      <c r="A3126" s="9">
        <f t="shared" si="72"/>
        <v>0</v>
      </c>
    </row>
    <row r="3127" spans="1:1" x14ac:dyDescent="0.25">
      <c r="A3127" s="9">
        <f t="shared" si="72"/>
        <v>0</v>
      </c>
    </row>
    <row r="3128" spans="1:1" x14ac:dyDescent="0.25">
      <c r="A3128" s="9">
        <f t="shared" si="72"/>
        <v>0</v>
      </c>
    </row>
    <row r="3129" spans="1:1" x14ac:dyDescent="0.25">
      <c r="A3129" s="9">
        <f t="shared" si="72"/>
        <v>0</v>
      </c>
    </row>
    <row r="3130" spans="1:1" x14ac:dyDescent="0.25">
      <c r="A3130" s="9">
        <f t="shared" si="72"/>
        <v>0</v>
      </c>
    </row>
    <row r="3131" spans="1:1" x14ac:dyDescent="0.25">
      <c r="A3131" s="9">
        <f t="shared" si="72"/>
        <v>0</v>
      </c>
    </row>
    <row r="3132" spans="1:1" x14ac:dyDescent="0.25">
      <c r="A3132" s="9">
        <f t="shared" si="72"/>
        <v>0</v>
      </c>
    </row>
    <row r="3133" spans="1:1" x14ac:dyDescent="0.25">
      <c r="A3133" s="9">
        <f t="shared" si="72"/>
        <v>0</v>
      </c>
    </row>
    <row r="3134" spans="1:1" x14ac:dyDescent="0.25">
      <c r="A3134" s="9">
        <f t="shared" si="72"/>
        <v>0</v>
      </c>
    </row>
    <row r="3135" spans="1:1" x14ac:dyDescent="0.25">
      <c r="A3135" s="9">
        <f t="shared" si="72"/>
        <v>0</v>
      </c>
    </row>
    <row r="3136" spans="1:1" x14ac:dyDescent="0.25">
      <c r="A3136" s="9">
        <f t="shared" si="72"/>
        <v>0</v>
      </c>
    </row>
    <row r="3137" spans="1:1" x14ac:dyDescent="0.25">
      <c r="A3137" s="9">
        <f t="shared" si="72"/>
        <v>0</v>
      </c>
    </row>
    <row r="3138" spans="1:1" x14ac:dyDescent="0.25">
      <c r="A3138" s="9">
        <f t="shared" si="72"/>
        <v>0</v>
      </c>
    </row>
    <row r="3139" spans="1:1" x14ac:dyDescent="0.25">
      <c r="A3139" s="9">
        <f t="shared" si="72"/>
        <v>0</v>
      </c>
    </row>
    <row r="3140" spans="1:1" x14ac:dyDescent="0.25">
      <c r="A3140" s="9">
        <f t="shared" si="72"/>
        <v>0</v>
      </c>
    </row>
    <row r="3141" spans="1:1" x14ac:dyDescent="0.25">
      <c r="A3141" s="9">
        <f t="shared" si="72"/>
        <v>0</v>
      </c>
    </row>
    <row r="3142" spans="1:1" x14ac:dyDescent="0.25">
      <c r="A3142" s="9">
        <f t="shared" si="72"/>
        <v>0</v>
      </c>
    </row>
    <row r="3143" spans="1:1" x14ac:dyDescent="0.25">
      <c r="A3143" s="9">
        <f t="shared" si="72"/>
        <v>0</v>
      </c>
    </row>
    <row r="3144" spans="1:1" x14ac:dyDescent="0.25">
      <c r="A3144" s="9">
        <f t="shared" si="72"/>
        <v>0</v>
      </c>
    </row>
    <row r="3145" spans="1:1" x14ac:dyDescent="0.25">
      <c r="A3145" s="9">
        <f t="shared" si="72"/>
        <v>0</v>
      </c>
    </row>
    <row r="3146" spans="1:1" x14ac:dyDescent="0.25">
      <c r="A3146" s="9">
        <f t="shared" si="72"/>
        <v>0</v>
      </c>
    </row>
    <row r="3147" spans="1:1" x14ac:dyDescent="0.25">
      <c r="A3147" s="9">
        <f t="shared" si="72"/>
        <v>0</v>
      </c>
    </row>
    <row r="3148" spans="1:1" x14ac:dyDescent="0.25">
      <c r="A3148" s="9">
        <f t="shared" ref="A3148:A3211" si="73">IF(G3148&gt;0,1,0)</f>
        <v>0</v>
      </c>
    </row>
    <row r="3149" spans="1:1" x14ac:dyDescent="0.25">
      <c r="A3149" s="9">
        <f t="shared" si="73"/>
        <v>0</v>
      </c>
    </row>
    <row r="3150" spans="1:1" x14ac:dyDescent="0.25">
      <c r="A3150" s="9">
        <f t="shared" si="73"/>
        <v>0</v>
      </c>
    </row>
    <row r="3151" spans="1:1" x14ac:dyDescent="0.25">
      <c r="A3151" s="9">
        <f t="shared" si="73"/>
        <v>0</v>
      </c>
    </row>
    <row r="3152" spans="1:1" x14ac:dyDescent="0.25">
      <c r="A3152" s="9">
        <f t="shared" si="73"/>
        <v>0</v>
      </c>
    </row>
    <row r="3153" spans="1:1" x14ac:dyDescent="0.25">
      <c r="A3153" s="9">
        <f t="shared" si="73"/>
        <v>0</v>
      </c>
    </row>
    <row r="3154" spans="1:1" x14ac:dyDescent="0.25">
      <c r="A3154" s="9">
        <f t="shared" si="73"/>
        <v>0</v>
      </c>
    </row>
    <row r="3155" spans="1:1" x14ac:dyDescent="0.25">
      <c r="A3155" s="9">
        <f t="shared" si="73"/>
        <v>0</v>
      </c>
    </row>
    <row r="3156" spans="1:1" x14ac:dyDescent="0.25">
      <c r="A3156" s="9">
        <f t="shared" si="73"/>
        <v>0</v>
      </c>
    </row>
    <row r="3157" spans="1:1" x14ac:dyDescent="0.25">
      <c r="A3157" s="9">
        <f t="shared" si="73"/>
        <v>0</v>
      </c>
    </row>
    <row r="3158" spans="1:1" x14ac:dyDescent="0.25">
      <c r="A3158" s="9">
        <f t="shared" si="73"/>
        <v>0</v>
      </c>
    </row>
    <row r="3159" spans="1:1" x14ac:dyDescent="0.25">
      <c r="A3159" s="9">
        <f t="shared" si="73"/>
        <v>0</v>
      </c>
    </row>
    <row r="3160" spans="1:1" x14ac:dyDescent="0.25">
      <c r="A3160" s="9">
        <f t="shared" si="73"/>
        <v>0</v>
      </c>
    </row>
    <row r="3161" spans="1:1" x14ac:dyDescent="0.25">
      <c r="A3161" s="9">
        <f t="shared" si="73"/>
        <v>0</v>
      </c>
    </row>
    <row r="3162" spans="1:1" x14ac:dyDescent="0.25">
      <c r="A3162" s="9">
        <f t="shared" si="73"/>
        <v>0</v>
      </c>
    </row>
    <row r="3163" spans="1:1" x14ac:dyDescent="0.25">
      <c r="A3163" s="9">
        <f t="shared" si="73"/>
        <v>0</v>
      </c>
    </row>
    <row r="3164" spans="1:1" x14ac:dyDescent="0.25">
      <c r="A3164" s="9">
        <f t="shared" si="73"/>
        <v>0</v>
      </c>
    </row>
    <row r="3165" spans="1:1" x14ac:dyDescent="0.25">
      <c r="A3165" s="9">
        <f t="shared" si="73"/>
        <v>0</v>
      </c>
    </row>
    <row r="3166" spans="1:1" x14ac:dyDescent="0.25">
      <c r="A3166" s="9">
        <f t="shared" si="73"/>
        <v>0</v>
      </c>
    </row>
    <row r="3167" spans="1:1" x14ac:dyDescent="0.25">
      <c r="A3167" s="9">
        <f t="shared" si="73"/>
        <v>0</v>
      </c>
    </row>
    <row r="3168" spans="1:1" x14ac:dyDescent="0.25">
      <c r="A3168" s="9">
        <f t="shared" si="73"/>
        <v>0</v>
      </c>
    </row>
    <row r="3169" spans="1:1" x14ac:dyDescent="0.25">
      <c r="A3169" s="9">
        <f t="shared" si="73"/>
        <v>0</v>
      </c>
    </row>
    <row r="3170" spans="1:1" x14ac:dyDescent="0.25">
      <c r="A3170" s="9">
        <f t="shared" si="73"/>
        <v>0</v>
      </c>
    </row>
    <row r="3171" spans="1:1" x14ac:dyDescent="0.25">
      <c r="A3171" s="9">
        <f t="shared" si="73"/>
        <v>0</v>
      </c>
    </row>
    <row r="3172" spans="1:1" x14ac:dyDescent="0.25">
      <c r="A3172" s="9">
        <f t="shared" si="73"/>
        <v>0</v>
      </c>
    </row>
    <row r="3173" spans="1:1" x14ac:dyDescent="0.25">
      <c r="A3173" s="9">
        <f t="shared" si="73"/>
        <v>0</v>
      </c>
    </row>
    <row r="3174" spans="1:1" x14ac:dyDescent="0.25">
      <c r="A3174" s="9">
        <f t="shared" si="73"/>
        <v>0</v>
      </c>
    </row>
    <row r="3175" spans="1:1" x14ac:dyDescent="0.25">
      <c r="A3175" s="9">
        <f t="shared" si="73"/>
        <v>0</v>
      </c>
    </row>
    <row r="3176" spans="1:1" x14ac:dyDescent="0.25">
      <c r="A3176" s="9">
        <f t="shared" si="73"/>
        <v>0</v>
      </c>
    </row>
    <row r="3177" spans="1:1" x14ac:dyDescent="0.25">
      <c r="A3177" s="9">
        <f t="shared" si="73"/>
        <v>0</v>
      </c>
    </row>
    <row r="3178" spans="1:1" x14ac:dyDescent="0.25">
      <c r="A3178" s="9">
        <f t="shared" si="73"/>
        <v>0</v>
      </c>
    </row>
    <row r="3179" spans="1:1" x14ac:dyDescent="0.25">
      <c r="A3179" s="9">
        <f t="shared" si="73"/>
        <v>0</v>
      </c>
    </row>
    <row r="3180" spans="1:1" x14ac:dyDescent="0.25">
      <c r="A3180" s="9">
        <f t="shared" si="73"/>
        <v>0</v>
      </c>
    </row>
    <row r="3181" spans="1:1" x14ac:dyDescent="0.25">
      <c r="A3181" s="9">
        <f t="shared" si="73"/>
        <v>0</v>
      </c>
    </row>
    <row r="3182" spans="1:1" x14ac:dyDescent="0.25">
      <c r="A3182" s="9">
        <f t="shared" si="73"/>
        <v>0</v>
      </c>
    </row>
    <row r="3183" spans="1:1" x14ac:dyDescent="0.25">
      <c r="A3183" s="9">
        <f t="shared" si="73"/>
        <v>0</v>
      </c>
    </row>
    <row r="3184" spans="1:1" x14ac:dyDescent="0.25">
      <c r="A3184" s="9">
        <f t="shared" si="73"/>
        <v>0</v>
      </c>
    </row>
    <row r="3185" spans="1:1" x14ac:dyDescent="0.25">
      <c r="A3185" s="9">
        <f t="shared" si="73"/>
        <v>0</v>
      </c>
    </row>
    <row r="3186" spans="1:1" x14ac:dyDescent="0.25">
      <c r="A3186" s="9">
        <f t="shared" si="73"/>
        <v>0</v>
      </c>
    </row>
    <row r="3187" spans="1:1" x14ac:dyDescent="0.25">
      <c r="A3187" s="9">
        <f t="shared" si="73"/>
        <v>0</v>
      </c>
    </row>
    <row r="3188" spans="1:1" x14ac:dyDescent="0.25">
      <c r="A3188" s="9">
        <f t="shared" si="73"/>
        <v>0</v>
      </c>
    </row>
    <row r="3189" spans="1:1" x14ac:dyDescent="0.25">
      <c r="A3189" s="9">
        <f t="shared" si="73"/>
        <v>0</v>
      </c>
    </row>
    <row r="3190" spans="1:1" x14ac:dyDescent="0.25">
      <c r="A3190" s="9">
        <f t="shared" si="73"/>
        <v>0</v>
      </c>
    </row>
    <row r="3191" spans="1:1" x14ac:dyDescent="0.25">
      <c r="A3191" s="9">
        <f t="shared" si="73"/>
        <v>0</v>
      </c>
    </row>
    <row r="3192" spans="1:1" x14ac:dyDescent="0.25">
      <c r="A3192" s="9">
        <f t="shared" si="73"/>
        <v>0</v>
      </c>
    </row>
    <row r="3193" spans="1:1" x14ac:dyDescent="0.25">
      <c r="A3193" s="9">
        <f t="shared" si="73"/>
        <v>0</v>
      </c>
    </row>
    <row r="3194" spans="1:1" x14ac:dyDescent="0.25">
      <c r="A3194" s="9">
        <f t="shared" si="73"/>
        <v>0</v>
      </c>
    </row>
    <row r="3195" spans="1:1" x14ac:dyDescent="0.25">
      <c r="A3195" s="9">
        <f t="shared" si="73"/>
        <v>0</v>
      </c>
    </row>
    <row r="3196" spans="1:1" x14ac:dyDescent="0.25">
      <c r="A3196" s="9">
        <f t="shared" si="73"/>
        <v>0</v>
      </c>
    </row>
    <row r="3197" spans="1:1" x14ac:dyDescent="0.25">
      <c r="A3197" s="9">
        <f t="shared" si="73"/>
        <v>0</v>
      </c>
    </row>
    <row r="3198" spans="1:1" x14ac:dyDescent="0.25">
      <c r="A3198" s="9">
        <f t="shared" si="73"/>
        <v>0</v>
      </c>
    </row>
    <row r="3199" spans="1:1" x14ac:dyDescent="0.25">
      <c r="A3199" s="9">
        <f t="shared" si="73"/>
        <v>0</v>
      </c>
    </row>
    <row r="3200" spans="1:1" x14ac:dyDescent="0.25">
      <c r="A3200" s="9">
        <f t="shared" si="73"/>
        <v>0</v>
      </c>
    </row>
    <row r="3201" spans="1:1" x14ac:dyDescent="0.25">
      <c r="A3201" s="9">
        <f t="shared" si="73"/>
        <v>0</v>
      </c>
    </row>
    <row r="3202" spans="1:1" x14ac:dyDescent="0.25">
      <c r="A3202" s="9">
        <f t="shared" si="73"/>
        <v>0</v>
      </c>
    </row>
    <row r="3203" spans="1:1" x14ac:dyDescent="0.25">
      <c r="A3203" s="9">
        <f t="shared" si="73"/>
        <v>0</v>
      </c>
    </row>
    <row r="3204" spans="1:1" x14ac:dyDescent="0.25">
      <c r="A3204" s="9">
        <f t="shared" si="73"/>
        <v>0</v>
      </c>
    </row>
    <row r="3205" spans="1:1" x14ac:dyDescent="0.25">
      <c r="A3205" s="9">
        <f t="shared" si="73"/>
        <v>0</v>
      </c>
    </row>
    <row r="3206" spans="1:1" x14ac:dyDescent="0.25">
      <c r="A3206" s="9">
        <f t="shared" si="73"/>
        <v>0</v>
      </c>
    </row>
    <row r="3207" spans="1:1" x14ac:dyDescent="0.25">
      <c r="A3207" s="9">
        <f t="shared" si="73"/>
        <v>0</v>
      </c>
    </row>
    <row r="3208" spans="1:1" x14ac:dyDescent="0.25">
      <c r="A3208" s="9">
        <f t="shared" si="73"/>
        <v>0</v>
      </c>
    </row>
    <row r="3209" spans="1:1" x14ac:dyDescent="0.25">
      <c r="A3209" s="9">
        <f t="shared" si="73"/>
        <v>0</v>
      </c>
    </row>
    <row r="3210" spans="1:1" x14ac:dyDescent="0.25">
      <c r="A3210" s="9">
        <f t="shared" si="73"/>
        <v>0</v>
      </c>
    </row>
    <row r="3211" spans="1:1" x14ac:dyDescent="0.25">
      <c r="A3211" s="9">
        <f t="shared" si="73"/>
        <v>0</v>
      </c>
    </row>
    <row r="3212" spans="1:1" x14ac:dyDescent="0.25">
      <c r="A3212" s="9">
        <f t="shared" ref="A3212:A3275" si="74">IF(G3212&gt;0,1,0)</f>
        <v>0</v>
      </c>
    </row>
    <row r="3213" spans="1:1" x14ac:dyDescent="0.25">
      <c r="A3213" s="9">
        <f t="shared" si="74"/>
        <v>0</v>
      </c>
    </row>
    <row r="3214" spans="1:1" x14ac:dyDescent="0.25">
      <c r="A3214" s="9">
        <f t="shared" si="74"/>
        <v>0</v>
      </c>
    </row>
    <row r="3215" spans="1:1" x14ac:dyDescent="0.25">
      <c r="A3215" s="9">
        <f t="shared" si="74"/>
        <v>0</v>
      </c>
    </row>
    <row r="3216" spans="1:1" x14ac:dyDescent="0.25">
      <c r="A3216" s="9">
        <f t="shared" si="74"/>
        <v>0</v>
      </c>
    </row>
    <row r="3217" spans="1:1" x14ac:dyDescent="0.25">
      <c r="A3217" s="9">
        <f t="shared" si="74"/>
        <v>0</v>
      </c>
    </row>
    <row r="3218" spans="1:1" x14ac:dyDescent="0.25">
      <c r="A3218" s="9">
        <f t="shared" si="74"/>
        <v>0</v>
      </c>
    </row>
    <row r="3219" spans="1:1" x14ac:dyDescent="0.25">
      <c r="A3219" s="9">
        <f t="shared" si="74"/>
        <v>0</v>
      </c>
    </row>
    <row r="3220" spans="1:1" x14ac:dyDescent="0.25">
      <c r="A3220" s="9">
        <f t="shared" si="74"/>
        <v>0</v>
      </c>
    </row>
    <row r="3221" spans="1:1" x14ac:dyDescent="0.25">
      <c r="A3221" s="9">
        <f t="shared" si="74"/>
        <v>0</v>
      </c>
    </row>
    <row r="3222" spans="1:1" x14ac:dyDescent="0.25">
      <c r="A3222" s="9">
        <f t="shared" si="74"/>
        <v>0</v>
      </c>
    </row>
    <row r="3223" spans="1:1" x14ac:dyDescent="0.25">
      <c r="A3223" s="9">
        <f t="shared" si="74"/>
        <v>0</v>
      </c>
    </row>
    <row r="3224" spans="1:1" x14ac:dyDescent="0.25">
      <c r="A3224" s="9">
        <f t="shared" si="74"/>
        <v>0</v>
      </c>
    </row>
    <row r="3225" spans="1:1" x14ac:dyDescent="0.25">
      <c r="A3225" s="9">
        <f t="shared" si="74"/>
        <v>0</v>
      </c>
    </row>
    <row r="3226" spans="1:1" x14ac:dyDescent="0.25">
      <c r="A3226" s="9">
        <f t="shared" si="74"/>
        <v>0</v>
      </c>
    </row>
    <row r="3227" spans="1:1" x14ac:dyDescent="0.25">
      <c r="A3227" s="9">
        <f t="shared" si="74"/>
        <v>0</v>
      </c>
    </row>
    <row r="3228" spans="1:1" x14ac:dyDescent="0.25">
      <c r="A3228" s="9">
        <f t="shared" si="74"/>
        <v>0</v>
      </c>
    </row>
    <row r="3229" spans="1:1" x14ac:dyDescent="0.25">
      <c r="A3229" s="9">
        <f t="shared" si="74"/>
        <v>0</v>
      </c>
    </row>
    <row r="3230" spans="1:1" x14ac:dyDescent="0.25">
      <c r="A3230" s="9">
        <f t="shared" si="74"/>
        <v>0</v>
      </c>
    </row>
    <row r="3231" spans="1:1" x14ac:dyDescent="0.25">
      <c r="A3231" s="9">
        <f t="shared" si="74"/>
        <v>0</v>
      </c>
    </row>
    <row r="3232" spans="1:1" x14ac:dyDescent="0.25">
      <c r="A3232" s="9">
        <f t="shared" si="74"/>
        <v>0</v>
      </c>
    </row>
    <row r="3233" spans="1:1" x14ac:dyDescent="0.25">
      <c r="A3233" s="9">
        <f t="shared" si="74"/>
        <v>0</v>
      </c>
    </row>
    <row r="3234" spans="1:1" x14ac:dyDescent="0.25">
      <c r="A3234" s="9">
        <f t="shared" si="74"/>
        <v>0</v>
      </c>
    </row>
    <row r="3235" spans="1:1" x14ac:dyDescent="0.25">
      <c r="A3235" s="9">
        <f t="shared" si="74"/>
        <v>0</v>
      </c>
    </row>
    <row r="3236" spans="1:1" x14ac:dyDescent="0.25">
      <c r="A3236" s="9">
        <f t="shared" si="74"/>
        <v>0</v>
      </c>
    </row>
    <row r="3237" spans="1:1" x14ac:dyDescent="0.25">
      <c r="A3237" s="9">
        <f t="shared" si="74"/>
        <v>0</v>
      </c>
    </row>
    <row r="3238" spans="1:1" x14ac:dyDescent="0.25">
      <c r="A3238" s="9">
        <f t="shared" si="74"/>
        <v>0</v>
      </c>
    </row>
    <row r="3239" spans="1:1" x14ac:dyDescent="0.25">
      <c r="A3239" s="9">
        <f t="shared" si="74"/>
        <v>0</v>
      </c>
    </row>
    <row r="3240" spans="1:1" x14ac:dyDescent="0.25">
      <c r="A3240" s="9">
        <f t="shared" si="74"/>
        <v>0</v>
      </c>
    </row>
    <row r="3241" spans="1:1" x14ac:dyDescent="0.25">
      <c r="A3241" s="9">
        <f t="shared" si="74"/>
        <v>0</v>
      </c>
    </row>
    <row r="3242" spans="1:1" x14ac:dyDescent="0.25">
      <c r="A3242" s="9">
        <f t="shared" si="74"/>
        <v>0</v>
      </c>
    </row>
    <row r="3243" spans="1:1" x14ac:dyDescent="0.25">
      <c r="A3243" s="9">
        <f t="shared" si="74"/>
        <v>0</v>
      </c>
    </row>
    <row r="3244" spans="1:1" x14ac:dyDescent="0.25">
      <c r="A3244" s="9">
        <f t="shared" si="74"/>
        <v>0</v>
      </c>
    </row>
    <row r="3245" spans="1:1" x14ac:dyDescent="0.25">
      <c r="A3245" s="9">
        <f t="shared" si="74"/>
        <v>0</v>
      </c>
    </row>
    <row r="3246" spans="1:1" x14ac:dyDescent="0.25">
      <c r="A3246" s="9">
        <f t="shared" si="74"/>
        <v>0</v>
      </c>
    </row>
    <row r="3247" spans="1:1" x14ac:dyDescent="0.25">
      <c r="A3247" s="9">
        <f t="shared" si="74"/>
        <v>0</v>
      </c>
    </row>
    <row r="3248" spans="1:1" x14ac:dyDescent="0.25">
      <c r="A3248" s="9">
        <f t="shared" si="74"/>
        <v>0</v>
      </c>
    </row>
    <row r="3249" spans="1:1" x14ac:dyDescent="0.25">
      <c r="A3249" s="9">
        <f t="shared" si="74"/>
        <v>0</v>
      </c>
    </row>
    <row r="3250" spans="1:1" x14ac:dyDescent="0.25">
      <c r="A3250" s="9">
        <f t="shared" si="74"/>
        <v>0</v>
      </c>
    </row>
    <row r="3251" spans="1:1" x14ac:dyDescent="0.25">
      <c r="A3251" s="9">
        <f t="shared" si="74"/>
        <v>0</v>
      </c>
    </row>
    <row r="3252" spans="1:1" x14ac:dyDescent="0.25">
      <c r="A3252" s="9">
        <f t="shared" si="74"/>
        <v>0</v>
      </c>
    </row>
    <row r="3253" spans="1:1" x14ac:dyDescent="0.25">
      <c r="A3253" s="9">
        <f t="shared" si="74"/>
        <v>0</v>
      </c>
    </row>
    <row r="3254" spans="1:1" x14ac:dyDescent="0.25">
      <c r="A3254" s="9">
        <f t="shared" si="74"/>
        <v>0</v>
      </c>
    </row>
    <row r="3255" spans="1:1" x14ac:dyDescent="0.25">
      <c r="A3255" s="9">
        <f t="shared" si="74"/>
        <v>0</v>
      </c>
    </row>
    <row r="3256" spans="1:1" x14ac:dyDescent="0.25">
      <c r="A3256" s="9">
        <f t="shared" si="74"/>
        <v>0</v>
      </c>
    </row>
    <row r="3257" spans="1:1" x14ac:dyDescent="0.25">
      <c r="A3257" s="9">
        <f t="shared" si="74"/>
        <v>0</v>
      </c>
    </row>
    <row r="3258" spans="1:1" x14ac:dyDescent="0.25">
      <c r="A3258" s="9">
        <f t="shared" si="74"/>
        <v>0</v>
      </c>
    </row>
    <row r="3259" spans="1:1" x14ac:dyDescent="0.25">
      <c r="A3259" s="9">
        <f t="shared" si="74"/>
        <v>0</v>
      </c>
    </row>
    <row r="3260" spans="1:1" x14ac:dyDescent="0.25">
      <c r="A3260" s="9">
        <f t="shared" si="74"/>
        <v>0</v>
      </c>
    </row>
    <row r="3261" spans="1:1" x14ac:dyDescent="0.25">
      <c r="A3261" s="9">
        <f t="shared" si="74"/>
        <v>0</v>
      </c>
    </row>
    <row r="3262" spans="1:1" x14ac:dyDescent="0.25">
      <c r="A3262" s="9">
        <f t="shared" si="74"/>
        <v>0</v>
      </c>
    </row>
    <row r="3263" spans="1:1" x14ac:dyDescent="0.25">
      <c r="A3263" s="9">
        <f t="shared" si="74"/>
        <v>0</v>
      </c>
    </row>
    <row r="3264" spans="1:1" x14ac:dyDescent="0.25">
      <c r="A3264" s="9">
        <f t="shared" si="74"/>
        <v>0</v>
      </c>
    </row>
    <row r="3265" spans="1:1" x14ac:dyDescent="0.25">
      <c r="A3265" s="9">
        <f t="shared" si="74"/>
        <v>0</v>
      </c>
    </row>
    <row r="3266" spans="1:1" x14ac:dyDescent="0.25">
      <c r="A3266" s="9">
        <f t="shared" si="74"/>
        <v>0</v>
      </c>
    </row>
    <row r="3267" spans="1:1" x14ac:dyDescent="0.25">
      <c r="A3267" s="9">
        <f t="shared" si="74"/>
        <v>0</v>
      </c>
    </row>
    <row r="3268" spans="1:1" x14ac:dyDescent="0.25">
      <c r="A3268" s="9">
        <f t="shared" si="74"/>
        <v>0</v>
      </c>
    </row>
    <row r="3269" spans="1:1" x14ac:dyDescent="0.25">
      <c r="A3269" s="9">
        <f t="shared" si="74"/>
        <v>0</v>
      </c>
    </row>
    <row r="3270" spans="1:1" x14ac:dyDescent="0.25">
      <c r="A3270" s="9">
        <f t="shared" si="74"/>
        <v>0</v>
      </c>
    </row>
    <row r="3271" spans="1:1" x14ac:dyDescent="0.25">
      <c r="A3271" s="9">
        <f t="shared" si="74"/>
        <v>0</v>
      </c>
    </row>
    <row r="3272" spans="1:1" x14ac:dyDescent="0.25">
      <c r="A3272" s="9">
        <f t="shared" si="74"/>
        <v>0</v>
      </c>
    </row>
    <row r="3273" spans="1:1" x14ac:dyDescent="0.25">
      <c r="A3273" s="9">
        <f t="shared" si="74"/>
        <v>0</v>
      </c>
    </row>
    <row r="3274" spans="1:1" x14ac:dyDescent="0.25">
      <c r="A3274" s="9">
        <f t="shared" si="74"/>
        <v>0</v>
      </c>
    </row>
    <row r="3275" spans="1:1" x14ac:dyDescent="0.25">
      <c r="A3275" s="9">
        <f t="shared" si="74"/>
        <v>0</v>
      </c>
    </row>
    <row r="3276" spans="1:1" x14ac:dyDescent="0.25">
      <c r="A3276" s="9">
        <f t="shared" ref="A3276:A3339" si="75">IF(G3276&gt;0,1,0)</f>
        <v>0</v>
      </c>
    </row>
    <row r="3277" spans="1:1" x14ac:dyDescent="0.25">
      <c r="A3277" s="9">
        <f t="shared" si="75"/>
        <v>0</v>
      </c>
    </row>
    <row r="3278" spans="1:1" x14ac:dyDescent="0.25">
      <c r="A3278" s="9">
        <f t="shared" si="75"/>
        <v>0</v>
      </c>
    </row>
    <row r="3279" spans="1:1" x14ac:dyDescent="0.25">
      <c r="A3279" s="9">
        <f t="shared" si="75"/>
        <v>0</v>
      </c>
    </row>
    <row r="3280" spans="1:1" x14ac:dyDescent="0.25">
      <c r="A3280" s="9">
        <f t="shared" si="75"/>
        <v>0</v>
      </c>
    </row>
    <row r="3281" spans="1:1" x14ac:dyDescent="0.25">
      <c r="A3281" s="9">
        <f t="shared" si="75"/>
        <v>0</v>
      </c>
    </row>
    <row r="3282" spans="1:1" x14ac:dyDescent="0.25">
      <c r="A3282" s="9">
        <f t="shared" si="75"/>
        <v>0</v>
      </c>
    </row>
    <row r="3283" spans="1:1" x14ac:dyDescent="0.25">
      <c r="A3283" s="9">
        <f t="shared" si="75"/>
        <v>0</v>
      </c>
    </row>
    <row r="3284" spans="1:1" x14ac:dyDescent="0.25">
      <c r="A3284" s="9">
        <f t="shared" si="75"/>
        <v>0</v>
      </c>
    </row>
    <row r="3285" spans="1:1" x14ac:dyDescent="0.25">
      <c r="A3285" s="9">
        <f t="shared" si="75"/>
        <v>0</v>
      </c>
    </row>
    <row r="3286" spans="1:1" x14ac:dyDescent="0.25">
      <c r="A3286" s="9">
        <f t="shared" si="75"/>
        <v>0</v>
      </c>
    </row>
    <row r="3287" spans="1:1" x14ac:dyDescent="0.25">
      <c r="A3287" s="9">
        <f t="shared" si="75"/>
        <v>0</v>
      </c>
    </row>
    <row r="3288" spans="1:1" x14ac:dyDescent="0.25">
      <c r="A3288" s="9">
        <f t="shared" si="75"/>
        <v>0</v>
      </c>
    </row>
    <row r="3289" spans="1:1" x14ac:dyDescent="0.25">
      <c r="A3289" s="9">
        <f t="shared" si="75"/>
        <v>0</v>
      </c>
    </row>
    <row r="3290" spans="1:1" x14ac:dyDescent="0.25">
      <c r="A3290" s="9">
        <f t="shared" si="75"/>
        <v>0</v>
      </c>
    </row>
    <row r="3291" spans="1:1" x14ac:dyDescent="0.25">
      <c r="A3291" s="9">
        <f t="shared" si="75"/>
        <v>0</v>
      </c>
    </row>
    <row r="3292" spans="1:1" x14ac:dyDescent="0.25">
      <c r="A3292" s="9">
        <f t="shared" si="75"/>
        <v>0</v>
      </c>
    </row>
    <row r="3293" spans="1:1" x14ac:dyDescent="0.25">
      <c r="A3293" s="9">
        <f t="shared" si="75"/>
        <v>0</v>
      </c>
    </row>
    <row r="3294" spans="1:1" x14ac:dyDescent="0.25">
      <c r="A3294" s="9">
        <f t="shared" si="75"/>
        <v>0</v>
      </c>
    </row>
    <row r="3295" spans="1:1" x14ac:dyDescent="0.25">
      <c r="A3295" s="9">
        <f t="shared" si="75"/>
        <v>0</v>
      </c>
    </row>
    <row r="3296" spans="1:1" x14ac:dyDescent="0.25">
      <c r="A3296" s="9">
        <f t="shared" si="75"/>
        <v>0</v>
      </c>
    </row>
    <row r="3297" spans="1:1" x14ac:dyDescent="0.25">
      <c r="A3297" s="9">
        <f t="shared" si="75"/>
        <v>0</v>
      </c>
    </row>
    <row r="3298" spans="1:1" x14ac:dyDescent="0.25">
      <c r="A3298" s="9">
        <f t="shared" si="75"/>
        <v>0</v>
      </c>
    </row>
    <row r="3299" spans="1:1" x14ac:dyDescent="0.25">
      <c r="A3299" s="9">
        <f t="shared" si="75"/>
        <v>0</v>
      </c>
    </row>
    <row r="3300" spans="1:1" x14ac:dyDescent="0.25">
      <c r="A3300" s="9">
        <f t="shared" si="75"/>
        <v>0</v>
      </c>
    </row>
    <row r="3301" spans="1:1" x14ac:dyDescent="0.25">
      <c r="A3301" s="9">
        <f t="shared" si="75"/>
        <v>0</v>
      </c>
    </row>
    <row r="3302" spans="1:1" x14ac:dyDescent="0.25">
      <c r="A3302" s="9">
        <f t="shared" si="75"/>
        <v>0</v>
      </c>
    </row>
    <row r="3303" spans="1:1" x14ac:dyDescent="0.25">
      <c r="A3303" s="9">
        <f t="shared" si="75"/>
        <v>0</v>
      </c>
    </row>
    <row r="3304" spans="1:1" x14ac:dyDescent="0.25">
      <c r="A3304" s="9">
        <f t="shared" si="75"/>
        <v>0</v>
      </c>
    </row>
    <row r="3305" spans="1:1" x14ac:dyDescent="0.25">
      <c r="A3305" s="9">
        <f t="shared" si="75"/>
        <v>0</v>
      </c>
    </row>
    <row r="3306" spans="1:1" x14ac:dyDescent="0.25">
      <c r="A3306" s="9">
        <f t="shared" si="75"/>
        <v>0</v>
      </c>
    </row>
    <row r="3307" spans="1:1" x14ac:dyDescent="0.25">
      <c r="A3307" s="9">
        <f t="shared" si="75"/>
        <v>0</v>
      </c>
    </row>
    <row r="3308" spans="1:1" x14ac:dyDescent="0.25">
      <c r="A3308" s="9">
        <f t="shared" si="75"/>
        <v>0</v>
      </c>
    </row>
    <row r="3309" spans="1:1" x14ac:dyDescent="0.25">
      <c r="A3309" s="9">
        <f t="shared" si="75"/>
        <v>0</v>
      </c>
    </row>
    <row r="3310" spans="1:1" x14ac:dyDescent="0.25">
      <c r="A3310" s="9">
        <f t="shared" si="75"/>
        <v>0</v>
      </c>
    </row>
    <row r="3311" spans="1:1" x14ac:dyDescent="0.25">
      <c r="A3311" s="9">
        <f t="shared" si="75"/>
        <v>0</v>
      </c>
    </row>
    <row r="3312" spans="1:1" x14ac:dyDescent="0.25">
      <c r="A3312" s="9">
        <f t="shared" si="75"/>
        <v>0</v>
      </c>
    </row>
    <row r="3313" spans="1:1" x14ac:dyDescent="0.25">
      <c r="A3313" s="9">
        <f t="shared" si="75"/>
        <v>0</v>
      </c>
    </row>
    <row r="3314" spans="1:1" x14ac:dyDescent="0.25">
      <c r="A3314" s="9">
        <f t="shared" si="75"/>
        <v>0</v>
      </c>
    </row>
    <row r="3315" spans="1:1" x14ac:dyDescent="0.25">
      <c r="A3315" s="9">
        <f t="shared" si="75"/>
        <v>0</v>
      </c>
    </row>
    <row r="3316" spans="1:1" x14ac:dyDescent="0.25">
      <c r="A3316" s="9">
        <f t="shared" si="75"/>
        <v>0</v>
      </c>
    </row>
    <row r="3317" spans="1:1" x14ac:dyDescent="0.25">
      <c r="A3317" s="9">
        <f t="shared" si="75"/>
        <v>0</v>
      </c>
    </row>
    <row r="3318" spans="1:1" x14ac:dyDescent="0.25">
      <c r="A3318" s="9">
        <f t="shared" si="75"/>
        <v>0</v>
      </c>
    </row>
    <row r="3319" spans="1:1" x14ac:dyDescent="0.25">
      <c r="A3319" s="9">
        <f t="shared" si="75"/>
        <v>0</v>
      </c>
    </row>
    <row r="3320" spans="1:1" x14ac:dyDescent="0.25">
      <c r="A3320" s="9">
        <f t="shared" si="75"/>
        <v>0</v>
      </c>
    </row>
    <row r="3321" spans="1:1" x14ac:dyDescent="0.25">
      <c r="A3321" s="9">
        <f t="shared" si="75"/>
        <v>0</v>
      </c>
    </row>
    <row r="3322" spans="1:1" x14ac:dyDescent="0.25">
      <c r="A3322" s="9">
        <f t="shared" si="75"/>
        <v>0</v>
      </c>
    </row>
    <row r="3323" spans="1:1" x14ac:dyDescent="0.25">
      <c r="A3323" s="9">
        <f t="shared" si="75"/>
        <v>0</v>
      </c>
    </row>
    <row r="3324" spans="1:1" x14ac:dyDescent="0.25">
      <c r="A3324" s="9">
        <f t="shared" si="75"/>
        <v>0</v>
      </c>
    </row>
    <row r="3325" spans="1:1" x14ac:dyDescent="0.25">
      <c r="A3325" s="9">
        <f t="shared" si="75"/>
        <v>0</v>
      </c>
    </row>
    <row r="3326" spans="1:1" x14ac:dyDescent="0.25">
      <c r="A3326" s="9">
        <f t="shared" si="75"/>
        <v>0</v>
      </c>
    </row>
    <row r="3327" spans="1:1" x14ac:dyDescent="0.25">
      <c r="A3327" s="9">
        <f t="shared" si="75"/>
        <v>0</v>
      </c>
    </row>
    <row r="3328" spans="1:1" x14ac:dyDescent="0.25">
      <c r="A3328" s="9">
        <f t="shared" si="75"/>
        <v>0</v>
      </c>
    </row>
    <row r="3329" spans="1:1" x14ac:dyDescent="0.25">
      <c r="A3329" s="9">
        <f t="shared" si="75"/>
        <v>0</v>
      </c>
    </row>
    <row r="3330" spans="1:1" x14ac:dyDescent="0.25">
      <c r="A3330" s="9">
        <f t="shared" si="75"/>
        <v>0</v>
      </c>
    </row>
    <row r="3331" spans="1:1" x14ac:dyDescent="0.25">
      <c r="A3331" s="9">
        <f t="shared" si="75"/>
        <v>0</v>
      </c>
    </row>
    <row r="3332" spans="1:1" x14ac:dyDescent="0.25">
      <c r="A3332" s="9">
        <f t="shared" si="75"/>
        <v>0</v>
      </c>
    </row>
    <row r="3333" spans="1:1" x14ac:dyDescent="0.25">
      <c r="A3333" s="9">
        <f t="shared" si="75"/>
        <v>0</v>
      </c>
    </row>
    <row r="3334" spans="1:1" x14ac:dyDescent="0.25">
      <c r="A3334" s="9">
        <f t="shared" si="75"/>
        <v>0</v>
      </c>
    </row>
    <row r="3335" spans="1:1" x14ac:dyDescent="0.25">
      <c r="A3335" s="9">
        <f t="shared" si="75"/>
        <v>0</v>
      </c>
    </row>
    <row r="3336" spans="1:1" x14ac:dyDescent="0.25">
      <c r="A3336" s="9">
        <f t="shared" si="75"/>
        <v>0</v>
      </c>
    </row>
    <row r="3337" spans="1:1" x14ac:dyDescent="0.25">
      <c r="A3337" s="9">
        <f t="shared" si="75"/>
        <v>0</v>
      </c>
    </row>
    <row r="3338" spans="1:1" x14ac:dyDescent="0.25">
      <c r="A3338" s="9">
        <f t="shared" si="75"/>
        <v>0</v>
      </c>
    </row>
    <row r="3339" spans="1:1" x14ac:dyDescent="0.25">
      <c r="A3339" s="9">
        <f t="shared" si="75"/>
        <v>0</v>
      </c>
    </row>
    <row r="3340" spans="1:1" x14ac:dyDescent="0.25">
      <c r="A3340" s="9">
        <f t="shared" ref="A3340:A3403" si="76">IF(G3340&gt;0,1,0)</f>
        <v>0</v>
      </c>
    </row>
    <row r="3341" spans="1:1" x14ac:dyDescent="0.25">
      <c r="A3341" s="9">
        <f t="shared" si="76"/>
        <v>0</v>
      </c>
    </row>
    <row r="3342" spans="1:1" x14ac:dyDescent="0.25">
      <c r="A3342" s="9">
        <f t="shared" si="76"/>
        <v>0</v>
      </c>
    </row>
    <row r="3343" spans="1:1" x14ac:dyDescent="0.25">
      <c r="A3343" s="9">
        <f t="shared" si="76"/>
        <v>0</v>
      </c>
    </row>
    <row r="3344" spans="1:1" x14ac:dyDescent="0.25">
      <c r="A3344" s="9">
        <f t="shared" si="76"/>
        <v>0</v>
      </c>
    </row>
    <row r="3345" spans="1:1" x14ac:dyDescent="0.25">
      <c r="A3345" s="9">
        <f t="shared" si="76"/>
        <v>0</v>
      </c>
    </row>
    <row r="3346" spans="1:1" x14ac:dyDescent="0.25">
      <c r="A3346" s="9">
        <f t="shared" si="76"/>
        <v>0</v>
      </c>
    </row>
    <row r="3347" spans="1:1" x14ac:dyDescent="0.25">
      <c r="A3347" s="9">
        <f t="shared" si="76"/>
        <v>0</v>
      </c>
    </row>
    <row r="3348" spans="1:1" x14ac:dyDescent="0.25">
      <c r="A3348" s="9">
        <f t="shared" si="76"/>
        <v>0</v>
      </c>
    </row>
    <row r="3349" spans="1:1" x14ac:dyDescent="0.25">
      <c r="A3349" s="9">
        <f t="shared" si="76"/>
        <v>0</v>
      </c>
    </row>
    <row r="3350" spans="1:1" x14ac:dyDescent="0.25">
      <c r="A3350" s="9">
        <f t="shared" si="76"/>
        <v>0</v>
      </c>
    </row>
    <row r="3351" spans="1:1" x14ac:dyDescent="0.25">
      <c r="A3351" s="9">
        <f t="shared" si="76"/>
        <v>0</v>
      </c>
    </row>
    <row r="3352" spans="1:1" x14ac:dyDescent="0.25">
      <c r="A3352" s="9">
        <f t="shared" si="76"/>
        <v>0</v>
      </c>
    </row>
    <row r="3353" spans="1:1" x14ac:dyDescent="0.25">
      <c r="A3353" s="9">
        <f t="shared" si="76"/>
        <v>0</v>
      </c>
    </row>
    <row r="3354" spans="1:1" x14ac:dyDescent="0.25">
      <c r="A3354" s="9">
        <f t="shared" si="76"/>
        <v>0</v>
      </c>
    </row>
    <row r="3355" spans="1:1" x14ac:dyDescent="0.25">
      <c r="A3355" s="9">
        <f t="shared" si="76"/>
        <v>0</v>
      </c>
    </row>
    <row r="3356" spans="1:1" x14ac:dyDescent="0.25">
      <c r="A3356" s="9">
        <f t="shared" si="76"/>
        <v>0</v>
      </c>
    </row>
    <row r="3357" spans="1:1" x14ac:dyDescent="0.25">
      <c r="A3357" s="9">
        <f t="shared" si="76"/>
        <v>0</v>
      </c>
    </row>
    <row r="3358" spans="1:1" x14ac:dyDescent="0.25">
      <c r="A3358" s="9">
        <f t="shared" si="76"/>
        <v>0</v>
      </c>
    </row>
    <row r="3359" spans="1:1" x14ac:dyDescent="0.25">
      <c r="A3359" s="9">
        <f t="shared" si="76"/>
        <v>0</v>
      </c>
    </row>
    <row r="3360" spans="1:1" x14ac:dyDescent="0.25">
      <c r="A3360" s="9">
        <f t="shared" si="76"/>
        <v>0</v>
      </c>
    </row>
    <row r="3361" spans="1:1" x14ac:dyDescent="0.25">
      <c r="A3361" s="9">
        <f t="shared" si="76"/>
        <v>0</v>
      </c>
    </row>
    <row r="3362" spans="1:1" x14ac:dyDescent="0.25">
      <c r="A3362" s="9">
        <f t="shared" si="76"/>
        <v>0</v>
      </c>
    </row>
    <row r="3363" spans="1:1" x14ac:dyDescent="0.25">
      <c r="A3363" s="9">
        <f t="shared" si="76"/>
        <v>0</v>
      </c>
    </row>
    <row r="3364" spans="1:1" x14ac:dyDescent="0.25">
      <c r="A3364" s="9">
        <f t="shared" si="76"/>
        <v>0</v>
      </c>
    </row>
    <row r="3365" spans="1:1" x14ac:dyDescent="0.25">
      <c r="A3365" s="9">
        <f t="shared" si="76"/>
        <v>0</v>
      </c>
    </row>
    <row r="3366" spans="1:1" x14ac:dyDescent="0.25">
      <c r="A3366" s="9">
        <f t="shared" si="76"/>
        <v>0</v>
      </c>
    </row>
    <row r="3367" spans="1:1" x14ac:dyDescent="0.25">
      <c r="A3367" s="9">
        <f t="shared" si="76"/>
        <v>0</v>
      </c>
    </row>
    <row r="3368" spans="1:1" x14ac:dyDescent="0.25">
      <c r="A3368" s="9">
        <f t="shared" si="76"/>
        <v>0</v>
      </c>
    </row>
    <row r="3369" spans="1:1" x14ac:dyDescent="0.25">
      <c r="A3369" s="9">
        <f t="shared" si="76"/>
        <v>0</v>
      </c>
    </row>
    <row r="3370" spans="1:1" x14ac:dyDescent="0.25">
      <c r="A3370" s="9">
        <f t="shared" si="76"/>
        <v>0</v>
      </c>
    </row>
    <row r="3371" spans="1:1" x14ac:dyDescent="0.25">
      <c r="A3371" s="9">
        <f t="shared" si="76"/>
        <v>0</v>
      </c>
    </row>
    <row r="3372" spans="1:1" x14ac:dyDescent="0.25">
      <c r="A3372" s="9">
        <f t="shared" si="76"/>
        <v>0</v>
      </c>
    </row>
    <row r="3373" spans="1:1" x14ac:dyDescent="0.25">
      <c r="A3373" s="9">
        <f t="shared" si="76"/>
        <v>0</v>
      </c>
    </row>
    <row r="3374" spans="1:1" x14ac:dyDescent="0.25">
      <c r="A3374" s="9">
        <f t="shared" si="76"/>
        <v>0</v>
      </c>
    </row>
    <row r="3375" spans="1:1" x14ac:dyDescent="0.25">
      <c r="A3375" s="9">
        <f t="shared" si="76"/>
        <v>0</v>
      </c>
    </row>
    <row r="3376" spans="1:1" x14ac:dyDescent="0.25">
      <c r="A3376" s="9">
        <f t="shared" si="76"/>
        <v>0</v>
      </c>
    </row>
    <row r="3377" spans="1:1" x14ac:dyDescent="0.25">
      <c r="A3377" s="9">
        <f t="shared" si="76"/>
        <v>0</v>
      </c>
    </row>
    <row r="3378" spans="1:1" x14ac:dyDescent="0.25">
      <c r="A3378" s="9">
        <f t="shared" si="76"/>
        <v>0</v>
      </c>
    </row>
    <row r="3379" spans="1:1" x14ac:dyDescent="0.25">
      <c r="A3379" s="9">
        <f t="shared" si="76"/>
        <v>0</v>
      </c>
    </row>
    <row r="3380" spans="1:1" x14ac:dyDescent="0.25">
      <c r="A3380" s="9">
        <f t="shared" si="76"/>
        <v>0</v>
      </c>
    </row>
    <row r="3381" spans="1:1" x14ac:dyDescent="0.25">
      <c r="A3381" s="9">
        <f t="shared" si="76"/>
        <v>0</v>
      </c>
    </row>
    <row r="3382" spans="1:1" x14ac:dyDescent="0.25">
      <c r="A3382" s="9">
        <f t="shared" si="76"/>
        <v>0</v>
      </c>
    </row>
    <row r="3383" spans="1:1" x14ac:dyDescent="0.25">
      <c r="A3383" s="9">
        <f t="shared" si="76"/>
        <v>0</v>
      </c>
    </row>
    <row r="3384" spans="1:1" x14ac:dyDescent="0.25">
      <c r="A3384" s="9">
        <f t="shared" si="76"/>
        <v>0</v>
      </c>
    </row>
    <row r="3385" spans="1:1" x14ac:dyDescent="0.25">
      <c r="A3385" s="9">
        <f t="shared" si="76"/>
        <v>0</v>
      </c>
    </row>
    <row r="3386" spans="1:1" x14ac:dyDescent="0.25">
      <c r="A3386" s="9">
        <f t="shared" si="76"/>
        <v>0</v>
      </c>
    </row>
    <row r="3387" spans="1:1" x14ac:dyDescent="0.25">
      <c r="A3387" s="9">
        <f t="shared" si="76"/>
        <v>0</v>
      </c>
    </row>
    <row r="3388" spans="1:1" x14ac:dyDescent="0.25">
      <c r="A3388" s="9">
        <f t="shared" si="76"/>
        <v>0</v>
      </c>
    </row>
    <row r="3389" spans="1:1" x14ac:dyDescent="0.25">
      <c r="A3389" s="9">
        <f t="shared" si="76"/>
        <v>0</v>
      </c>
    </row>
    <row r="3390" spans="1:1" x14ac:dyDescent="0.25">
      <c r="A3390" s="9">
        <f t="shared" si="76"/>
        <v>0</v>
      </c>
    </row>
    <row r="3391" spans="1:1" x14ac:dyDescent="0.25">
      <c r="A3391" s="9">
        <f t="shared" si="76"/>
        <v>0</v>
      </c>
    </row>
    <row r="3392" spans="1:1" x14ac:dyDescent="0.25">
      <c r="A3392" s="9">
        <f t="shared" si="76"/>
        <v>0</v>
      </c>
    </row>
    <row r="3393" spans="1:1" x14ac:dyDescent="0.25">
      <c r="A3393" s="9">
        <f t="shared" si="76"/>
        <v>0</v>
      </c>
    </row>
    <row r="3394" spans="1:1" x14ac:dyDescent="0.25">
      <c r="A3394" s="9">
        <f t="shared" si="76"/>
        <v>0</v>
      </c>
    </row>
    <row r="3395" spans="1:1" x14ac:dyDescent="0.25">
      <c r="A3395" s="9">
        <f t="shared" si="76"/>
        <v>0</v>
      </c>
    </row>
    <row r="3396" spans="1:1" x14ac:dyDescent="0.25">
      <c r="A3396" s="9">
        <f t="shared" si="76"/>
        <v>0</v>
      </c>
    </row>
    <row r="3397" spans="1:1" x14ac:dyDescent="0.25">
      <c r="A3397" s="9">
        <f t="shared" si="76"/>
        <v>0</v>
      </c>
    </row>
    <row r="3398" spans="1:1" x14ac:dyDescent="0.25">
      <c r="A3398" s="9">
        <f t="shared" si="76"/>
        <v>0</v>
      </c>
    </row>
    <row r="3399" spans="1:1" x14ac:dyDescent="0.25">
      <c r="A3399" s="9">
        <f t="shared" si="76"/>
        <v>0</v>
      </c>
    </row>
    <row r="3400" spans="1:1" x14ac:dyDescent="0.25">
      <c r="A3400" s="9">
        <f t="shared" si="76"/>
        <v>0</v>
      </c>
    </row>
    <row r="3401" spans="1:1" x14ac:dyDescent="0.25">
      <c r="A3401" s="9">
        <f t="shared" si="76"/>
        <v>0</v>
      </c>
    </row>
    <row r="3402" spans="1:1" x14ac:dyDescent="0.25">
      <c r="A3402" s="9">
        <f t="shared" si="76"/>
        <v>0</v>
      </c>
    </row>
    <row r="3403" spans="1:1" x14ac:dyDescent="0.25">
      <c r="A3403" s="9">
        <f t="shared" si="76"/>
        <v>0</v>
      </c>
    </row>
    <row r="3404" spans="1:1" x14ac:dyDescent="0.25">
      <c r="A3404" s="9">
        <f t="shared" ref="A3404:A3467" si="77">IF(G3404&gt;0,1,0)</f>
        <v>0</v>
      </c>
    </row>
    <row r="3405" spans="1:1" x14ac:dyDescent="0.25">
      <c r="A3405" s="9">
        <f t="shared" si="77"/>
        <v>0</v>
      </c>
    </row>
    <row r="3406" spans="1:1" x14ac:dyDescent="0.25">
      <c r="A3406" s="9">
        <f t="shared" si="77"/>
        <v>0</v>
      </c>
    </row>
    <row r="3407" spans="1:1" x14ac:dyDescent="0.25">
      <c r="A3407" s="9">
        <f t="shared" si="77"/>
        <v>0</v>
      </c>
    </row>
    <row r="3408" spans="1:1" x14ac:dyDescent="0.25">
      <c r="A3408" s="9">
        <f t="shared" si="77"/>
        <v>0</v>
      </c>
    </row>
    <row r="3409" spans="1:1" x14ac:dyDescent="0.25">
      <c r="A3409" s="9">
        <f t="shared" si="77"/>
        <v>0</v>
      </c>
    </row>
    <row r="3410" spans="1:1" x14ac:dyDescent="0.25">
      <c r="A3410" s="9">
        <f t="shared" si="77"/>
        <v>0</v>
      </c>
    </row>
    <row r="3411" spans="1:1" x14ac:dyDescent="0.25">
      <c r="A3411" s="9">
        <f t="shared" si="77"/>
        <v>0</v>
      </c>
    </row>
    <row r="3412" spans="1:1" x14ac:dyDescent="0.25">
      <c r="A3412" s="9">
        <f t="shared" si="77"/>
        <v>0</v>
      </c>
    </row>
    <row r="3413" spans="1:1" x14ac:dyDescent="0.25">
      <c r="A3413" s="9">
        <f t="shared" si="77"/>
        <v>0</v>
      </c>
    </row>
    <row r="3414" spans="1:1" x14ac:dyDescent="0.25">
      <c r="A3414" s="9">
        <f t="shared" si="77"/>
        <v>0</v>
      </c>
    </row>
    <row r="3415" spans="1:1" x14ac:dyDescent="0.25">
      <c r="A3415" s="9">
        <f t="shared" si="77"/>
        <v>0</v>
      </c>
    </row>
    <row r="3416" spans="1:1" x14ac:dyDescent="0.25">
      <c r="A3416" s="9">
        <f t="shared" si="77"/>
        <v>0</v>
      </c>
    </row>
    <row r="3417" spans="1:1" x14ac:dyDescent="0.25">
      <c r="A3417" s="9">
        <f t="shared" si="77"/>
        <v>0</v>
      </c>
    </row>
    <row r="3418" spans="1:1" x14ac:dyDescent="0.25">
      <c r="A3418" s="9">
        <f t="shared" si="77"/>
        <v>0</v>
      </c>
    </row>
    <row r="3419" spans="1:1" x14ac:dyDescent="0.25">
      <c r="A3419" s="9">
        <f t="shared" si="77"/>
        <v>0</v>
      </c>
    </row>
    <row r="3420" spans="1:1" x14ac:dyDescent="0.25">
      <c r="A3420" s="9">
        <f t="shared" si="77"/>
        <v>0</v>
      </c>
    </row>
    <row r="3421" spans="1:1" x14ac:dyDescent="0.25">
      <c r="A3421" s="9">
        <f t="shared" si="77"/>
        <v>0</v>
      </c>
    </row>
    <row r="3422" spans="1:1" x14ac:dyDescent="0.25">
      <c r="A3422" s="9">
        <f t="shared" si="77"/>
        <v>0</v>
      </c>
    </row>
    <row r="3423" spans="1:1" x14ac:dyDescent="0.25">
      <c r="A3423" s="9">
        <f t="shared" si="77"/>
        <v>0</v>
      </c>
    </row>
    <row r="3424" spans="1:1" x14ac:dyDescent="0.25">
      <c r="A3424" s="9">
        <f t="shared" si="77"/>
        <v>0</v>
      </c>
    </row>
    <row r="3425" spans="1:1" x14ac:dyDescent="0.25">
      <c r="A3425" s="9">
        <f t="shared" si="77"/>
        <v>0</v>
      </c>
    </row>
    <row r="3426" spans="1:1" x14ac:dyDescent="0.25">
      <c r="A3426" s="9">
        <f t="shared" si="77"/>
        <v>0</v>
      </c>
    </row>
    <row r="3427" spans="1:1" x14ac:dyDescent="0.25">
      <c r="A3427" s="9">
        <f t="shared" si="77"/>
        <v>0</v>
      </c>
    </row>
    <row r="3428" spans="1:1" x14ac:dyDescent="0.25">
      <c r="A3428" s="9">
        <f t="shared" si="77"/>
        <v>0</v>
      </c>
    </row>
    <row r="3429" spans="1:1" x14ac:dyDescent="0.25">
      <c r="A3429" s="9">
        <f t="shared" si="77"/>
        <v>0</v>
      </c>
    </row>
    <row r="3430" spans="1:1" x14ac:dyDescent="0.25">
      <c r="A3430" s="9">
        <f t="shared" si="77"/>
        <v>0</v>
      </c>
    </row>
    <row r="3431" spans="1:1" x14ac:dyDescent="0.25">
      <c r="A3431" s="9">
        <f t="shared" si="77"/>
        <v>0</v>
      </c>
    </row>
    <row r="3432" spans="1:1" x14ac:dyDescent="0.25">
      <c r="A3432" s="9">
        <f t="shared" si="77"/>
        <v>0</v>
      </c>
    </row>
    <row r="3433" spans="1:1" x14ac:dyDescent="0.25">
      <c r="A3433" s="9">
        <f t="shared" si="77"/>
        <v>0</v>
      </c>
    </row>
    <row r="3434" spans="1:1" x14ac:dyDescent="0.25">
      <c r="A3434" s="9">
        <f t="shared" si="77"/>
        <v>0</v>
      </c>
    </row>
    <row r="3435" spans="1:1" x14ac:dyDescent="0.25">
      <c r="A3435" s="9">
        <f t="shared" si="77"/>
        <v>0</v>
      </c>
    </row>
    <row r="3436" spans="1:1" x14ac:dyDescent="0.25">
      <c r="A3436" s="9">
        <f t="shared" si="77"/>
        <v>0</v>
      </c>
    </row>
    <row r="3437" spans="1:1" x14ac:dyDescent="0.25">
      <c r="A3437" s="9">
        <f t="shared" si="77"/>
        <v>0</v>
      </c>
    </row>
    <row r="3438" spans="1:1" x14ac:dyDescent="0.25">
      <c r="A3438" s="9">
        <f t="shared" si="77"/>
        <v>0</v>
      </c>
    </row>
    <row r="3439" spans="1:1" x14ac:dyDescent="0.25">
      <c r="A3439" s="9">
        <f t="shared" si="77"/>
        <v>0</v>
      </c>
    </row>
    <row r="3440" spans="1:1" x14ac:dyDescent="0.25">
      <c r="A3440" s="9">
        <f t="shared" si="77"/>
        <v>0</v>
      </c>
    </row>
    <row r="3441" spans="1:1" x14ac:dyDescent="0.25">
      <c r="A3441" s="9">
        <f t="shared" si="77"/>
        <v>0</v>
      </c>
    </row>
    <row r="3442" spans="1:1" x14ac:dyDescent="0.25">
      <c r="A3442" s="9">
        <f t="shared" si="77"/>
        <v>0</v>
      </c>
    </row>
    <row r="3443" spans="1:1" x14ac:dyDescent="0.25">
      <c r="A3443" s="9">
        <f t="shared" si="77"/>
        <v>0</v>
      </c>
    </row>
    <row r="3444" spans="1:1" x14ac:dyDescent="0.25">
      <c r="A3444" s="9">
        <f t="shared" si="77"/>
        <v>0</v>
      </c>
    </row>
    <row r="3445" spans="1:1" x14ac:dyDescent="0.25">
      <c r="A3445" s="9">
        <f t="shared" si="77"/>
        <v>0</v>
      </c>
    </row>
    <row r="3446" spans="1:1" x14ac:dyDescent="0.25">
      <c r="A3446" s="9">
        <f t="shared" si="77"/>
        <v>0</v>
      </c>
    </row>
    <row r="3447" spans="1:1" x14ac:dyDescent="0.25">
      <c r="A3447" s="9">
        <f t="shared" si="77"/>
        <v>0</v>
      </c>
    </row>
    <row r="3448" spans="1:1" x14ac:dyDescent="0.25">
      <c r="A3448" s="9">
        <f t="shared" si="77"/>
        <v>0</v>
      </c>
    </row>
    <row r="3449" spans="1:1" x14ac:dyDescent="0.25">
      <c r="A3449" s="9">
        <f t="shared" si="77"/>
        <v>0</v>
      </c>
    </row>
    <row r="3450" spans="1:1" x14ac:dyDescent="0.25">
      <c r="A3450" s="9">
        <f t="shared" si="77"/>
        <v>0</v>
      </c>
    </row>
    <row r="3451" spans="1:1" x14ac:dyDescent="0.25">
      <c r="A3451" s="9">
        <f t="shared" si="77"/>
        <v>0</v>
      </c>
    </row>
    <row r="3452" spans="1:1" x14ac:dyDescent="0.25">
      <c r="A3452" s="9">
        <f t="shared" si="77"/>
        <v>0</v>
      </c>
    </row>
    <row r="3453" spans="1:1" x14ac:dyDescent="0.25">
      <c r="A3453" s="9">
        <f t="shared" si="77"/>
        <v>0</v>
      </c>
    </row>
    <row r="3454" spans="1:1" x14ac:dyDescent="0.25">
      <c r="A3454" s="9">
        <f t="shared" si="77"/>
        <v>0</v>
      </c>
    </row>
    <row r="3455" spans="1:1" x14ac:dyDescent="0.25">
      <c r="A3455" s="9">
        <f t="shared" si="77"/>
        <v>0</v>
      </c>
    </row>
    <row r="3456" spans="1:1" x14ac:dyDescent="0.25">
      <c r="A3456" s="9">
        <f t="shared" si="77"/>
        <v>0</v>
      </c>
    </row>
    <row r="3457" spans="1:1" x14ac:dyDescent="0.25">
      <c r="A3457" s="9">
        <f t="shared" si="77"/>
        <v>0</v>
      </c>
    </row>
    <row r="3458" spans="1:1" x14ac:dyDescent="0.25">
      <c r="A3458" s="9">
        <f t="shared" si="77"/>
        <v>0</v>
      </c>
    </row>
    <row r="3459" spans="1:1" x14ac:dyDescent="0.25">
      <c r="A3459" s="9">
        <f t="shared" si="77"/>
        <v>0</v>
      </c>
    </row>
    <row r="3460" spans="1:1" x14ac:dyDescent="0.25">
      <c r="A3460" s="9">
        <f t="shared" si="77"/>
        <v>0</v>
      </c>
    </row>
    <row r="3461" spans="1:1" x14ac:dyDescent="0.25">
      <c r="A3461" s="9">
        <f t="shared" si="77"/>
        <v>0</v>
      </c>
    </row>
    <row r="3462" spans="1:1" x14ac:dyDescent="0.25">
      <c r="A3462" s="9">
        <f t="shared" si="77"/>
        <v>0</v>
      </c>
    </row>
    <row r="3463" spans="1:1" x14ac:dyDescent="0.25">
      <c r="A3463" s="9">
        <f t="shared" si="77"/>
        <v>0</v>
      </c>
    </row>
    <row r="3464" spans="1:1" x14ac:dyDescent="0.25">
      <c r="A3464" s="9">
        <f t="shared" si="77"/>
        <v>0</v>
      </c>
    </row>
    <row r="3465" spans="1:1" x14ac:dyDescent="0.25">
      <c r="A3465" s="9">
        <f t="shared" si="77"/>
        <v>0</v>
      </c>
    </row>
    <row r="3466" spans="1:1" x14ac:dyDescent="0.25">
      <c r="A3466" s="9">
        <f t="shared" si="77"/>
        <v>0</v>
      </c>
    </row>
    <row r="3467" spans="1:1" x14ac:dyDescent="0.25">
      <c r="A3467" s="9">
        <f t="shared" si="77"/>
        <v>0</v>
      </c>
    </row>
    <row r="3468" spans="1:1" x14ac:dyDescent="0.25">
      <c r="A3468" s="9">
        <f t="shared" ref="A3468:A3531" si="78">IF(G3468&gt;0,1,0)</f>
        <v>0</v>
      </c>
    </row>
    <row r="3469" spans="1:1" x14ac:dyDescent="0.25">
      <c r="A3469" s="9">
        <f t="shared" si="78"/>
        <v>0</v>
      </c>
    </row>
    <row r="3470" spans="1:1" x14ac:dyDescent="0.25">
      <c r="A3470" s="9">
        <f t="shared" si="78"/>
        <v>0</v>
      </c>
    </row>
    <row r="3471" spans="1:1" x14ac:dyDescent="0.25">
      <c r="A3471" s="9">
        <f t="shared" si="78"/>
        <v>0</v>
      </c>
    </row>
    <row r="3472" spans="1:1" x14ac:dyDescent="0.25">
      <c r="A3472" s="9">
        <f t="shared" si="78"/>
        <v>0</v>
      </c>
    </row>
    <row r="3473" spans="1:1" x14ac:dyDescent="0.25">
      <c r="A3473" s="9">
        <f t="shared" si="78"/>
        <v>0</v>
      </c>
    </row>
    <row r="3474" spans="1:1" x14ac:dyDescent="0.25">
      <c r="A3474" s="9">
        <f t="shared" si="78"/>
        <v>0</v>
      </c>
    </row>
    <row r="3475" spans="1:1" x14ac:dyDescent="0.25">
      <c r="A3475" s="9">
        <f t="shared" si="78"/>
        <v>0</v>
      </c>
    </row>
    <row r="3476" spans="1:1" x14ac:dyDescent="0.25">
      <c r="A3476" s="9">
        <f t="shared" si="78"/>
        <v>0</v>
      </c>
    </row>
    <row r="3477" spans="1:1" x14ac:dyDescent="0.25">
      <c r="A3477" s="9">
        <f t="shared" si="78"/>
        <v>0</v>
      </c>
    </row>
    <row r="3478" spans="1:1" x14ac:dyDescent="0.25">
      <c r="A3478" s="9">
        <f t="shared" si="78"/>
        <v>0</v>
      </c>
    </row>
    <row r="3479" spans="1:1" x14ac:dyDescent="0.25">
      <c r="A3479" s="9">
        <f t="shared" si="78"/>
        <v>0</v>
      </c>
    </row>
    <row r="3480" spans="1:1" x14ac:dyDescent="0.25">
      <c r="A3480" s="9">
        <f t="shared" si="78"/>
        <v>0</v>
      </c>
    </row>
    <row r="3481" spans="1:1" x14ac:dyDescent="0.25">
      <c r="A3481" s="9">
        <f t="shared" si="78"/>
        <v>0</v>
      </c>
    </row>
    <row r="3482" spans="1:1" x14ac:dyDescent="0.25">
      <c r="A3482" s="9">
        <f t="shared" si="78"/>
        <v>0</v>
      </c>
    </row>
    <row r="3483" spans="1:1" x14ac:dyDescent="0.25">
      <c r="A3483" s="9">
        <f t="shared" si="78"/>
        <v>0</v>
      </c>
    </row>
    <row r="3484" spans="1:1" x14ac:dyDescent="0.25">
      <c r="A3484" s="9">
        <f t="shared" si="78"/>
        <v>0</v>
      </c>
    </row>
    <row r="3485" spans="1:1" x14ac:dyDescent="0.25">
      <c r="A3485" s="9">
        <f t="shared" si="78"/>
        <v>0</v>
      </c>
    </row>
    <row r="3486" spans="1:1" x14ac:dyDescent="0.25">
      <c r="A3486" s="9">
        <f t="shared" si="78"/>
        <v>0</v>
      </c>
    </row>
    <row r="3487" spans="1:1" x14ac:dyDescent="0.25">
      <c r="A3487" s="9">
        <f t="shared" si="78"/>
        <v>0</v>
      </c>
    </row>
    <row r="3488" spans="1:1" x14ac:dyDescent="0.25">
      <c r="A3488" s="9">
        <f t="shared" si="78"/>
        <v>0</v>
      </c>
    </row>
    <row r="3489" spans="1:1" x14ac:dyDescent="0.25">
      <c r="A3489" s="9">
        <f t="shared" si="78"/>
        <v>0</v>
      </c>
    </row>
    <row r="3490" spans="1:1" x14ac:dyDescent="0.25">
      <c r="A3490" s="9">
        <f t="shared" si="78"/>
        <v>0</v>
      </c>
    </row>
    <row r="3491" spans="1:1" x14ac:dyDescent="0.25">
      <c r="A3491" s="9">
        <f t="shared" si="78"/>
        <v>0</v>
      </c>
    </row>
    <row r="3492" spans="1:1" x14ac:dyDescent="0.25">
      <c r="A3492" s="9">
        <f t="shared" si="78"/>
        <v>0</v>
      </c>
    </row>
    <row r="3493" spans="1:1" x14ac:dyDescent="0.25">
      <c r="A3493" s="9">
        <f t="shared" si="78"/>
        <v>0</v>
      </c>
    </row>
    <row r="3494" spans="1:1" x14ac:dyDescent="0.25">
      <c r="A3494" s="9">
        <f t="shared" si="78"/>
        <v>0</v>
      </c>
    </row>
    <row r="3495" spans="1:1" x14ac:dyDescent="0.25">
      <c r="A3495" s="9">
        <f t="shared" si="78"/>
        <v>0</v>
      </c>
    </row>
    <row r="3496" spans="1:1" x14ac:dyDescent="0.25">
      <c r="A3496" s="9">
        <f t="shared" si="78"/>
        <v>0</v>
      </c>
    </row>
    <row r="3497" spans="1:1" x14ac:dyDescent="0.25">
      <c r="A3497" s="9">
        <f t="shared" si="78"/>
        <v>0</v>
      </c>
    </row>
    <row r="3498" spans="1:1" x14ac:dyDescent="0.25">
      <c r="A3498" s="9">
        <f t="shared" si="78"/>
        <v>0</v>
      </c>
    </row>
    <row r="3499" spans="1:1" x14ac:dyDescent="0.25">
      <c r="A3499" s="9">
        <f t="shared" si="78"/>
        <v>0</v>
      </c>
    </row>
    <row r="3500" spans="1:1" x14ac:dyDescent="0.25">
      <c r="A3500" s="9">
        <f t="shared" si="78"/>
        <v>0</v>
      </c>
    </row>
    <row r="3501" spans="1:1" x14ac:dyDescent="0.25">
      <c r="A3501" s="9">
        <f t="shared" si="78"/>
        <v>0</v>
      </c>
    </row>
    <row r="3502" spans="1:1" x14ac:dyDescent="0.25">
      <c r="A3502" s="9">
        <f t="shared" si="78"/>
        <v>0</v>
      </c>
    </row>
    <row r="3503" spans="1:1" x14ac:dyDescent="0.25">
      <c r="A3503" s="9">
        <f t="shared" si="78"/>
        <v>0</v>
      </c>
    </row>
    <row r="3504" spans="1:1" x14ac:dyDescent="0.25">
      <c r="A3504" s="9">
        <f t="shared" si="78"/>
        <v>0</v>
      </c>
    </row>
    <row r="3505" spans="1:1" x14ac:dyDescent="0.25">
      <c r="A3505" s="9">
        <f t="shared" si="78"/>
        <v>0</v>
      </c>
    </row>
    <row r="3506" spans="1:1" x14ac:dyDescent="0.25">
      <c r="A3506" s="9">
        <f t="shared" si="78"/>
        <v>0</v>
      </c>
    </row>
    <row r="3507" spans="1:1" x14ac:dyDescent="0.25">
      <c r="A3507" s="9">
        <f t="shared" si="78"/>
        <v>0</v>
      </c>
    </row>
    <row r="3508" spans="1:1" x14ac:dyDescent="0.25">
      <c r="A3508" s="9">
        <f t="shared" si="78"/>
        <v>0</v>
      </c>
    </row>
    <row r="3509" spans="1:1" x14ac:dyDescent="0.25">
      <c r="A3509" s="9">
        <f t="shared" si="78"/>
        <v>0</v>
      </c>
    </row>
    <row r="3510" spans="1:1" x14ac:dyDescent="0.25">
      <c r="A3510" s="9">
        <f t="shared" si="78"/>
        <v>0</v>
      </c>
    </row>
    <row r="3511" spans="1:1" x14ac:dyDescent="0.25">
      <c r="A3511" s="9">
        <f t="shared" si="78"/>
        <v>0</v>
      </c>
    </row>
    <row r="3512" spans="1:1" x14ac:dyDescent="0.25">
      <c r="A3512" s="9">
        <f t="shared" si="78"/>
        <v>0</v>
      </c>
    </row>
    <row r="3513" spans="1:1" x14ac:dyDescent="0.25">
      <c r="A3513" s="9">
        <f t="shared" si="78"/>
        <v>0</v>
      </c>
    </row>
    <row r="3514" spans="1:1" x14ac:dyDescent="0.25">
      <c r="A3514" s="9">
        <f t="shared" si="78"/>
        <v>0</v>
      </c>
    </row>
    <row r="3515" spans="1:1" x14ac:dyDescent="0.25">
      <c r="A3515" s="9">
        <f t="shared" si="78"/>
        <v>0</v>
      </c>
    </row>
    <row r="3516" spans="1:1" x14ac:dyDescent="0.25">
      <c r="A3516" s="9">
        <f t="shared" si="78"/>
        <v>0</v>
      </c>
    </row>
    <row r="3517" spans="1:1" x14ac:dyDescent="0.25">
      <c r="A3517" s="9">
        <f t="shared" si="78"/>
        <v>0</v>
      </c>
    </row>
    <row r="3518" spans="1:1" x14ac:dyDescent="0.25">
      <c r="A3518" s="9">
        <f t="shared" si="78"/>
        <v>0</v>
      </c>
    </row>
    <row r="3519" spans="1:1" x14ac:dyDescent="0.25">
      <c r="A3519" s="9">
        <f t="shared" si="78"/>
        <v>0</v>
      </c>
    </row>
    <row r="3520" spans="1:1" x14ac:dyDescent="0.25">
      <c r="A3520" s="9">
        <f t="shared" si="78"/>
        <v>0</v>
      </c>
    </row>
    <row r="3521" spans="1:1" x14ac:dyDescent="0.25">
      <c r="A3521" s="9">
        <f t="shared" si="78"/>
        <v>0</v>
      </c>
    </row>
    <row r="3522" spans="1:1" x14ac:dyDescent="0.25">
      <c r="A3522" s="9">
        <f t="shared" si="78"/>
        <v>0</v>
      </c>
    </row>
    <row r="3523" spans="1:1" x14ac:dyDescent="0.25">
      <c r="A3523" s="9">
        <f t="shared" si="78"/>
        <v>0</v>
      </c>
    </row>
    <row r="3524" spans="1:1" x14ac:dyDescent="0.25">
      <c r="A3524" s="9">
        <f t="shared" si="78"/>
        <v>0</v>
      </c>
    </row>
    <row r="3525" spans="1:1" x14ac:dyDescent="0.25">
      <c r="A3525" s="9">
        <f t="shared" si="78"/>
        <v>0</v>
      </c>
    </row>
    <row r="3526" spans="1:1" x14ac:dyDescent="0.25">
      <c r="A3526" s="9">
        <f t="shared" si="78"/>
        <v>0</v>
      </c>
    </row>
    <row r="3527" spans="1:1" x14ac:dyDescent="0.25">
      <c r="A3527" s="9">
        <f t="shared" si="78"/>
        <v>0</v>
      </c>
    </row>
    <row r="3528" spans="1:1" x14ac:dyDescent="0.25">
      <c r="A3528" s="9">
        <f t="shared" si="78"/>
        <v>0</v>
      </c>
    </row>
    <row r="3529" spans="1:1" x14ac:dyDescent="0.25">
      <c r="A3529" s="9">
        <f t="shared" si="78"/>
        <v>0</v>
      </c>
    </row>
    <row r="3530" spans="1:1" x14ac:dyDescent="0.25">
      <c r="A3530" s="9">
        <f t="shared" si="78"/>
        <v>0</v>
      </c>
    </row>
    <row r="3531" spans="1:1" x14ac:dyDescent="0.25">
      <c r="A3531" s="9">
        <f t="shared" si="78"/>
        <v>0</v>
      </c>
    </row>
    <row r="3532" spans="1:1" x14ac:dyDescent="0.25">
      <c r="A3532" s="9">
        <f t="shared" ref="A3532:A3595" si="79">IF(G3532&gt;0,1,0)</f>
        <v>0</v>
      </c>
    </row>
    <row r="3533" spans="1:1" x14ac:dyDescent="0.25">
      <c r="A3533" s="9">
        <f t="shared" si="79"/>
        <v>0</v>
      </c>
    </row>
    <row r="3534" spans="1:1" x14ac:dyDescent="0.25">
      <c r="A3534" s="9">
        <f t="shared" si="79"/>
        <v>0</v>
      </c>
    </row>
    <row r="3535" spans="1:1" x14ac:dyDescent="0.25">
      <c r="A3535" s="9">
        <f t="shared" si="79"/>
        <v>0</v>
      </c>
    </row>
    <row r="3536" spans="1:1" x14ac:dyDescent="0.25">
      <c r="A3536" s="9">
        <f t="shared" si="79"/>
        <v>0</v>
      </c>
    </row>
    <row r="3537" spans="1:1" x14ac:dyDescent="0.25">
      <c r="A3537" s="9">
        <f t="shared" si="79"/>
        <v>0</v>
      </c>
    </row>
    <row r="3538" spans="1:1" x14ac:dyDescent="0.25">
      <c r="A3538" s="9">
        <f t="shared" si="79"/>
        <v>0</v>
      </c>
    </row>
    <row r="3539" spans="1:1" x14ac:dyDescent="0.25">
      <c r="A3539" s="9">
        <f t="shared" si="79"/>
        <v>0</v>
      </c>
    </row>
    <row r="3540" spans="1:1" x14ac:dyDescent="0.25">
      <c r="A3540" s="9">
        <f t="shared" si="79"/>
        <v>0</v>
      </c>
    </row>
    <row r="3541" spans="1:1" x14ac:dyDescent="0.25">
      <c r="A3541" s="9">
        <f t="shared" si="79"/>
        <v>0</v>
      </c>
    </row>
    <row r="3542" spans="1:1" x14ac:dyDescent="0.25">
      <c r="A3542" s="9">
        <f t="shared" si="79"/>
        <v>0</v>
      </c>
    </row>
    <row r="3543" spans="1:1" x14ac:dyDescent="0.25">
      <c r="A3543" s="9">
        <f t="shared" si="79"/>
        <v>0</v>
      </c>
    </row>
    <row r="3544" spans="1:1" x14ac:dyDescent="0.25">
      <c r="A3544" s="9">
        <f t="shared" si="79"/>
        <v>0</v>
      </c>
    </row>
    <row r="3545" spans="1:1" x14ac:dyDescent="0.25">
      <c r="A3545" s="9">
        <f t="shared" si="79"/>
        <v>0</v>
      </c>
    </row>
    <row r="3546" spans="1:1" x14ac:dyDescent="0.25">
      <c r="A3546" s="9">
        <f t="shared" si="79"/>
        <v>0</v>
      </c>
    </row>
    <row r="3547" spans="1:1" x14ac:dyDescent="0.25">
      <c r="A3547" s="9">
        <f t="shared" si="79"/>
        <v>0</v>
      </c>
    </row>
    <row r="3548" spans="1:1" x14ac:dyDescent="0.25">
      <c r="A3548" s="9">
        <f t="shared" si="79"/>
        <v>0</v>
      </c>
    </row>
    <row r="3549" spans="1:1" x14ac:dyDescent="0.25">
      <c r="A3549" s="9">
        <f t="shared" si="79"/>
        <v>0</v>
      </c>
    </row>
    <row r="3550" spans="1:1" x14ac:dyDescent="0.25">
      <c r="A3550" s="9">
        <f t="shared" si="79"/>
        <v>0</v>
      </c>
    </row>
    <row r="3551" spans="1:1" x14ac:dyDescent="0.25">
      <c r="A3551" s="9">
        <f t="shared" si="79"/>
        <v>0</v>
      </c>
    </row>
    <row r="3552" spans="1:1" x14ac:dyDescent="0.25">
      <c r="A3552" s="9">
        <f t="shared" si="79"/>
        <v>0</v>
      </c>
    </row>
    <row r="3553" spans="1:1" x14ac:dyDescent="0.25">
      <c r="A3553" s="9">
        <f t="shared" si="79"/>
        <v>0</v>
      </c>
    </row>
    <row r="3554" spans="1:1" x14ac:dyDescent="0.25">
      <c r="A3554" s="9">
        <f t="shared" si="79"/>
        <v>0</v>
      </c>
    </row>
    <row r="3555" spans="1:1" x14ac:dyDescent="0.25">
      <c r="A3555" s="9">
        <f t="shared" si="79"/>
        <v>0</v>
      </c>
    </row>
    <row r="3556" spans="1:1" x14ac:dyDescent="0.25">
      <c r="A3556" s="9">
        <f t="shared" si="79"/>
        <v>0</v>
      </c>
    </row>
    <row r="3557" spans="1:1" x14ac:dyDescent="0.25">
      <c r="A3557" s="9">
        <f t="shared" si="79"/>
        <v>0</v>
      </c>
    </row>
    <row r="3558" spans="1:1" x14ac:dyDescent="0.25">
      <c r="A3558" s="9">
        <f t="shared" si="79"/>
        <v>0</v>
      </c>
    </row>
    <row r="3559" spans="1:1" x14ac:dyDescent="0.25">
      <c r="A3559" s="9">
        <f t="shared" si="79"/>
        <v>0</v>
      </c>
    </row>
    <row r="3560" spans="1:1" x14ac:dyDescent="0.25">
      <c r="A3560" s="9">
        <f t="shared" si="79"/>
        <v>0</v>
      </c>
    </row>
    <row r="3561" spans="1:1" x14ac:dyDescent="0.25">
      <c r="A3561" s="9">
        <f t="shared" si="79"/>
        <v>0</v>
      </c>
    </row>
    <row r="3562" spans="1:1" x14ac:dyDescent="0.25">
      <c r="A3562" s="9">
        <f t="shared" si="79"/>
        <v>0</v>
      </c>
    </row>
    <row r="3563" spans="1:1" x14ac:dyDescent="0.25">
      <c r="A3563" s="9">
        <f t="shared" si="79"/>
        <v>0</v>
      </c>
    </row>
    <row r="3564" spans="1:1" x14ac:dyDescent="0.25">
      <c r="A3564" s="9">
        <f t="shared" si="79"/>
        <v>0</v>
      </c>
    </row>
    <row r="3565" spans="1:1" x14ac:dyDescent="0.25">
      <c r="A3565" s="9">
        <f t="shared" si="79"/>
        <v>0</v>
      </c>
    </row>
    <row r="3566" spans="1:1" x14ac:dyDescent="0.25">
      <c r="A3566" s="9">
        <f t="shared" si="79"/>
        <v>0</v>
      </c>
    </row>
    <row r="3567" spans="1:1" x14ac:dyDescent="0.25">
      <c r="A3567" s="9">
        <f t="shared" si="79"/>
        <v>0</v>
      </c>
    </row>
    <row r="3568" spans="1:1" x14ac:dyDescent="0.25">
      <c r="A3568" s="9">
        <f t="shared" si="79"/>
        <v>0</v>
      </c>
    </row>
    <row r="3569" spans="1:1" x14ac:dyDescent="0.25">
      <c r="A3569" s="9">
        <f t="shared" si="79"/>
        <v>0</v>
      </c>
    </row>
    <row r="3570" spans="1:1" x14ac:dyDescent="0.25">
      <c r="A3570" s="9">
        <f t="shared" si="79"/>
        <v>0</v>
      </c>
    </row>
    <row r="3571" spans="1:1" x14ac:dyDescent="0.25">
      <c r="A3571" s="9">
        <f t="shared" si="79"/>
        <v>0</v>
      </c>
    </row>
    <row r="3572" spans="1:1" x14ac:dyDescent="0.25">
      <c r="A3572" s="9">
        <f t="shared" si="79"/>
        <v>0</v>
      </c>
    </row>
    <row r="3573" spans="1:1" x14ac:dyDescent="0.25">
      <c r="A3573" s="9">
        <f t="shared" si="79"/>
        <v>0</v>
      </c>
    </row>
    <row r="3574" spans="1:1" x14ac:dyDescent="0.25">
      <c r="A3574" s="9">
        <f t="shared" si="79"/>
        <v>0</v>
      </c>
    </row>
    <row r="3575" spans="1:1" x14ac:dyDescent="0.25">
      <c r="A3575" s="9">
        <f t="shared" si="79"/>
        <v>0</v>
      </c>
    </row>
    <row r="3576" spans="1:1" x14ac:dyDescent="0.25">
      <c r="A3576" s="9">
        <f t="shared" si="79"/>
        <v>0</v>
      </c>
    </row>
    <row r="3577" spans="1:1" x14ac:dyDescent="0.25">
      <c r="A3577" s="9">
        <f t="shared" si="79"/>
        <v>0</v>
      </c>
    </row>
    <row r="3578" spans="1:1" x14ac:dyDescent="0.25">
      <c r="A3578" s="9">
        <f t="shared" si="79"/>
        <v>0</v>
      </c>
    </row>
    <row r="3579" spans="1:1" x14ac:dyDescent="0.25">
      <c r="A3579" s="9">
        <f t="shared" si="79"/>
        <v>0</v>
      </c>
    </row>
    <row r="3580" spans="1:1" x14ac:dyDescent="0.25">
      <c r="A3580" s="9">
        <f t="shared" si="79"/>
        <v>0</v>
      </c>
    </row>
    <row r="3581" spans="1:1" x14ac:dyDescent="0.25">
      <c r="A3581" s="9">
        <f t="shared" si="79"/>
        <v>0</v>
      </c>
    </row>
    <row r="3582" spans="1:1" x14ac:dyDescent="0.25">
      <c r="A3582" s="9">
        <f t="shared" si="79"/>
        <v>0</v>
      </c>
    </row>
    <row r="3583" spans="1:1" x14ac:dyDescent="0.25">
      <c r="A3583" s="9">
        <f t="shared" si="79"/>
        <v>0</v>
      </c>
    </row>
    <row r="3584" spans="1:1" x14ac:dyDescent="0.25">
      <c r="A3584" s="9">
        <f t="shared" si="79"/>
        <v>0</v>
      </c>
    </row>
    <row r="3585" spans="1:1" x14ac:dyDescent="0.25">
      <c r="A3585" s="9">
        <f t="shared" si="79"/>
        <v>0</v>
      </c>
    </row>
    <row r="3586" spans="1:1" x14ac:dyDescent="0.25">
      <c r="A3586" s="9">
        <f t="shared" si="79"/>
        <v>0</v>
      </c>
    </row>
    <row r="3587" spans="1:1" x14ac:dyDescent="0.25">
      <c r="A3587" s="9">
        <f t="shared" si="79"/>
        <v>0</v>
      </c>
    </row>
    <row r="3588" spans="1:1" x14ac:dyDescent="0.25">
      <c r="A3588" s="9">
        <f t="shared" si="79"/>
        <v>0</v>
      </c>
    </row>
    <row r="3589" spans="1:1" x14ac:dyDescent="0.25">
      <c r="A3589" s="9">
        <f t="shared" si="79"/>
        <v>0</v>
      </c>
    </row>
    <row r="3590" spans="1:1" x14ac:dyDescent="0.25">
      <c r="A3590" s="9">
        <f t="shared" si="79"/>
        <v>0</v>
      </c>
    </row>
    <row r="3591" spans="1:1" x14ac:dyDescent="0.25">
      <c r="A3591" s="9">
        <f t="shared" si="79"/>
        <v>0</v>
      </c>
    </row>
    <row r="3592" spans="1:1" x14ac:dyDescent="0.25">
      <c r="A3592" s="9">
        <f t="shared" si="79"/>
        <v>0</v>
      </c>
    </row>
    <row r="3593" spans="1:1" x14ac:dyDescent="0.25">
      <c r="A3593" s="9">
        <f t="shared" si="79"/>
        <v>0</v>
      </c>
    </row>
    <row r="3594" spans="1:1" x14ac:dyDescent="0.25">
      <c r="A3594" s="9">
        <f t="shared" si="79"/>
        <v>0</v>
      </c>
    </row>
    <row r="3595" spans="1:1" x14ac:dyDescent="0.25">
      <c r="A3595" s="9">
        <f t="shared" si="79"/>
        <v>0</v>
      </c>
    </row>
    <row r="3596" spans="1:1" x14ac:dyDescent="0.25">
      <c r="A3596" s="9">
        <f t="shared" ref="A3596:A3659" si="80">IF(G3596&gt;0,1,0)</f>
        <v>0</v>
      </c>
    </row>
    <row r="3597" spans="1:1" x14ac:dyDescent="0.25">
      <c r="A3597" s="9">
        <f t="shared" si="80"/>
        <v>0</v>
      </c>
    </row>
    <row r="3598" spans="1:1" x14ac:dyDescent="0.25">
      <c r="A3598" s="9">
        <f t="shared" si="80"/>
        <v>0</v>
      </c>
    </row>
    <row r="3599" spans="1:1" x14ac:dyDescent="0.25">
      <c r="A3599" s="9">
        <f t="shared" si="80"/>
        <v>0</v>
      </c>
    </row>
    <row r="3600" spans="1:1" x14ac:dyDescent="0.25">
      <c r="A3600" s="9">
        <f t="shared" si="80"/>
        <v>0</v>
      </c>
    </row>
    <row r="3601" spans="1:1" x14ac:dyDescent="0.25">
      <c r="A3601" s="9">
        <f t="shared" si="80"/>
        <v>0</v>
      </c>
    </row>
    <row r="3602" spans="1:1" x14ac:dyDescent="0.25">
      <c r="A3602" s="9">
        <f t="shared" si="80"/>
        <v>0</v>
      </c>
    </row>
    <row r="3603" spans="1:1" x14ac:dyDescent="0.25">
      <c r="A3603" s="9">
        <f t="shared" si="80"/>
        <v>0</v>
      </c>
    </row>
    <row r="3604" spans="1:1" x14ac:dyDescent="0.25">
      <c r="A3604" s="9">
        <f t="shared" si="80"/>
        <v>0</v>
      </c>
    </row>
    <row r="3605" spans="1:1" x14ac:dyDescent="0.25">
      <c r="A3605" s="9">
        <f t="shared" si="80"/>
        <v>0</v>
      </c>
    </row>
    <row r="3606" spans="1:1" x14ac:dyDescent="0.25">
      <c r="A3606" s="9">
        <f t="shared" si="80"/>
        <v>0</v>
      </c>
    </row>
    <row r="3607" spans="1:1" x14ac:dyDescent="0.25">
      <c r="A3607" s="9">
        <f t="shared" si="80"/>
        <v>0</v>
      </c>
    </row>
    <row r="3608" spans="1:1" x14ac:dyDescent="0.25">
      <c r="A3608" s="9">
        <f t="shared" si="80"/>
        <v>0</v>
      </c>
    </row>
    <row r="3609" spans="1:1" x14ac:dyDescent="0.25">
      <c r="A3609" s="9">
        <f t="shared" si="80"/>
        <v>0</v>
      </c>
    </row>
    <row r="3610" spans="1:1" x14ac:dyDescent="0.25">
      <c r="A3610" s="9">
        <f t="shared" si="80"/>
        <v>0</v>
      </c>
    </row>
    <row r="3611" spans="1:1" x14ac:dyDescent="0.25">
      <c r="A3611" s="9">
        <f t="shared" si="80"/>
        <v>0</v>
      </c>
    </row>
    <row r="3612" spans="1:1" x14ac:dyDescent="0.25">
      <c r="A3612" s="9">
        <f t="shared" si="80"/>
        <v>0</v>
      </c>
    </row>
    <row r="3613" spans="1:1" x14ac:dyDescent="0.25">
      <c r="A3613" s="9">
        <f t="shared" si="80"/>
        <v>0</v>
      </c>
    </row>
    <row r="3614" spans="1:1" x14ac:dyDescent="0.25">
      <c r="A3614" s="9">
        <f t="shared" si="80"/>
        <v>0</v>
      </c>
    </row>
    <row r="3615" spans="1:1" x14ac:dyDescent="0.25">
      <c r="A3615" s="9">
        <f t="shared" si="80"/>
        <v>0</v>
      </c>
    </row>
    <row r="3616" spans="1:1" x14ac:dyDescent="0.25">
      <c r="A3616" s="9">
        <f t="shared" si="80"/>
        <v>0</v>
      </c>
    </row>
    <row r="3617" spans="1:1" x14ac:dyDescent="0.25">
      <c r="A3617" s="9">
        <f t="shared" si="80"/>
        <v>0</v>
      </c>
    </row>
    <row r="3618" spans="1:1" x14ac:dyDescent="0.25">
      <c r="A3618" s="9">
        <f t="shared" si="80"/>
        <v>0</v>
      </c>
    </row>
    <row r="3619" spans="1:1" x14ac:dyDescent="0.25">
      <c r="A3619" s="9">
        <f t="shared" si="80"/>
        <v>0</v>
      </c>
    </row>
    <row r="3620" spans="1:1" x14ac:dyDescent="0.25">
      <c r="A3620" s="9">
        <f t="shared" si="80"/>
        <v>0</v>
      </c>
    </row>
    <row r="3621" spans="1:1" x14ac:dyDescent="0.25">
      <c r="A3621" s="9">
        <f t="shared" si="80"/>
        <v>0</v>
      </c>
    </row>
    <row r="3622" spans="1:1" x14ac:dyDescent="0.25">
      <c r="A3622" s="9">
        <f t="shared" si="80"/>
        <v>0</v>
      </c>
    </row>
    <row r="3623" spans="1:1" x14ac:dyDescent="0.25">
      <c r="A3623" s="9">
        <f t="shared" si="80"/>
        <v>0</v>
      </c>
    </row>
    <row r="3624" spans="1:1" x14ac:dyDescent="0.25">
      <c r="A3624" s="9">
        <f t="shared" si="80"/>
        <v>0</v>
      </c>
    </row>
    <row r="3625" spans="1:1" x14ac:dyDescent="0.25">
      <c r="A3625" s="9">
        <f t="shared" si="80"/>
        <v>0</v>
      </c>
    </row>
    <row r="3626" spans="1:1" x14ac:dyDescent="0.25">
      <c r="A3626" s="9">
        <f t="shared" si="80"/>
        <v>0</v>
      </c>
    </row>
    <row r="3627" spans="1:1" x14ac:dyDescent="0.25">
      <c r="A3627" s="9">
        <f t="shared" si="80"/>
        <v>0</v>
      </c>
    </row>
    <row r="3628" spans="1:1" x14ac:dyDescent="0.25">
      <c r="A3628" s="9">
        <f t="shared" si="80"/>
        <v>0</v>
      </c>
    </row>
    <row r="3629" spans="1:1" x14ac:dyDescent="0.25">
      <c r="A3629" s="9">
        <f t="shared" si="80"/>
        <v>0</v>
      </c>
    </row>
    <row r="3630" spans="1:1" x14ac:dyDescent="0.25">
      <c r="A3630" s="9">
        <f t="shared" si="80"/>
        <v>0</v>
      </c>
    </row>
    <row r="3631" spans="1:1" x14ac:dyDescent="0.25">
      <c r="A3631" s="9">
        <f t="shared" si="80"/>
        <v>0</v>
      </c>
    </row>
    <row r="3632" spans="1:1" x14ac:dyDescent="0.25">
      <c r="A3632" s="9">
        <f t="shared" si="80"/>
        <v>0</v>
      </c>
    </row>
    <row r="3633" spans="1:1" x14ac:dyDescent="0.25">
      <c r="A3633" s="9">
        <f t="shared" si="80"/>
        <v>0</v>
      </c>
    </row>
    <row r="3634" spans="1:1" x14ac:dyDescent="0.25">
      <c r="A3634" s="9">
        <f t="shared" si="80"/>
        <v>0</v>
      </c>
    </row>
    <row r="3635" spans="1:1" x14ac:dyDescent="0.25">
      <c r="A3635" s="9">
        <f t="shared" si="80"/>
        <v>0</v>
      </c>
    </row>
    <row r="3636" spans="1:1" x14ac:dyDescent="0.25">
      <c r="A3636" s="9">
        <f t="shared" si="80"/>
        <v>0</v>
      </c>
    </row>
    <row r="3637" spans="1:1" x14ac:dyDescent="0.25">
      <c r="A3637" s="9">
        <f t="shared" si="80"/>
        <v>0</v>
      </c>
    </row>
    <row r="3638" spans="1:1" x14ac:dyDescent="0.25">
      <c r="A3638" s="9">
        <f t="shared" si="80"/>
        <v>0</v>
      </c>
    </row>
    <row r="3639" spans="1:1" x14ac:dyDescent="0.25">
      <c r="A3639" s="9">
        <f t="shared" si="80"/>
        <v>0</v>
      </c>
    </row>
    <row r="3640" spans="1:1" x14ac:dyDescent="0.25">
      <c r="A3640" s="9">
        <f t="shared" si="80"/>
        <v>0</v>
      </c>
    </row>
    <row r="3641" spans="1:1" x14ac:dyDescent="0.25">
      <c r="A3641" s="9">
        <f t="shared" si="80"/>
        <v>0</v>
      </c>
    </row>
    <row r="3642" spans="1:1" x14ac:dyDescent="0.25">
      <c r="A3642" s="9">
        <f t="shared" si="80"/>
        <v>0</v>
      </c>
    </row>
    <row r="3643" spans="1:1" x14ac:dyDescent="0.25">
      <c r="A3643" s="9">
        <f t="shared" si="80"/>
        <v>0</v>
      </c>
    </row>
    <row r="3644" spans="1:1" x14ac:dyDescent="0.25">
      <c r="A3644" s="9">
        <f t="shared" si="80"/>
        <v>0</v>
      </c>
    </row>
    <row r="3645" spans="1:1" x14ac:dyDescent="0.25">
      <c r="A3645" s="9">
        <f t="shared" si="80"/>
        <v>0</v>
      </c>
    </row>
    <row r="3646" spans="1:1" x14ac:dyDescent="0.25">
      <c r="A3646" s="9">
        <f t="shared" si="80"/>
        <v>0</v>
      </c>
    </row>
    <row r="3647" spans="1:1" x14ac:dyDescent="0.25">
      <c r="A3647" s="9">
        <f t="shared" si="80"/>
        <v>0</v>
      </c>
    </row>
    <row r="3648" spans="1:1" x14ac:dyDescent="0.25">
      <c r="A3648" s="9">
        <f t="shared" si="80"/>
        <v>0</v>
      </c>
    </row>
    <row r="3649" spans="1:1" x14ac:dyDescent="0.25">
      <c r="A3649" s="9">
        <f t="shared" si="80"/>
        <v>0</v>
      </c>
    </row>
    <row r="3650" spans="1:1" x14ac:dyDescent="0.25">
      <c r="A3650" s="9">
        <f t="shared" si="80"/>
        <v>0</v>
      </c>
    </row>
    <row r="3651" spans="1:1" x14ac:dyDescent="0.25">
      <c r="A3651" s="9">
        <f t="shared" si="80"/>
        <v>0</v>
      </c>
    </row>
    <row r="3652" spans="1:1" x14ac:dyDescent="0.25">
      <c r="A3652" s="9">
        <f t="shared" si="80"/>
        <v>0</v>
      </c>
    </row>
    <row r="3653" spans="1:1" x14ac:dyDescent="0.25">
      <c r="A3653" s="9">
        <f t="shared" si="80"/>
        <v>0</v>
      </c>
    </row>
    <row r="3654" spans="1:1" x14ac:dyDescent="0.25">
      <c r="A3654" s="9">
        <f t="shared" si="80"/>
        <v>0</v>
      </c>
    </row>
    <row r="3655" spans="1:1" x14ac:dyDescent="0.25">
      <c r="A3655" s="9">
        <f t="shared" si="80"/>
        <v>0</v>
      </c>
    </row>
    <row r="3656" spans="1:1" x14ac:dyDescent="0.25">
      <c r="A3656" s="9">
        <f t="shared" si="80"/>
        <v>0</v>
      </c>
    </row>
    <row r="3657" spans="1:1" x14ac:dyDescent="0.25">
      <c r="A3657" s="9">
        <f t="shared" si="80"/>
        <v>0</v>
      </c>
    </row>
    <row r="3658" spans="1:1" x14ac:dyDescent="0.25">
      <c r="A3658" s="9">
        <f t="shared" si="80"/>
        <v>0</v>
      </c>
    </row>
    <row r="3659" spans="1:1" x14ac:dyDescent="0.25">
      <c r="A3659" s="9">
        <f t="shared" si="80"/>
        <v>0</v>
      </c>
    </row>
    <row r="3660" spans="1:1" x14ac:dyDescent="0.25">
      <c r="A3660" s="9">
        <f t="shared" ref="A3660:A3723" si="81">IF(G3660&gt;0,1,0)</f>
        <v>0</v>
      </c>
    </row>
    <row r="3661" spans="1:1" x14ac:dyDescent="0.25">
      <c r="A3661" s="9">
        <f t="shared" si="81"/>
        <v>0</v>
      </c>
    </row>
    <row r="3662" spans="1:1" x14ac:dyDescent="0.25">
      <c r="A3662" s="9">
        <f t="shared" si="81"/>
        <v>0</v>
      </c>
    </row>
    <row r="3663" spans="1:1" x14ac:dyDescent="0.25">
      <c r="A3663" s="9">
        <f t="shared" si="81"/>
        <v>0</v>
      </c>
    </row>
    <row r="3664" spans="1:1" x14ac:dyDescent="0.25">
      <c r="A3664" s="9">
        <f t="shared" si="81"/>
        <v>0</v>
      </c>
    </row>
    <row r="3665" spans="1:1" x14ac:dyDescent="0.25">
      <c r="A3665" s="9">
        <f t="shared" si="81"/>
        <v>0</v>
      </c>
    </row>
    <row r="3666" spans="1:1" x14ac:dyDescent="0.25">
      <c r="A3666" s="9">
        <f t="shared" si="81"/>
        <v>0</v>
      </c>
    </row>
    <row r="3667" spans="1:1" x14ac:dyDescent="0.25">
      <c r="A3667" s="9">
        <f t="shared" si="81"/>
        <v>0</v>
      </c>
    </row>
    <row r="3668" spans="1:1" x14ac:dyDescent="0.25">
      <c r="A3668" s="9">
        <f t="shared" si="81"/>
        <v>0</v>
      </c>
    </row>
    <row r="3669" spans="1:1" x14ac:dyDescent="0.25">
      <c r="A3669" s="9">
        <f t="shared" si="81"/>
        <v>0</v>
      </c>
    </row>
    <row r="3670" spans="1:1" x14ac:dyDescent="0.25">
      <c r="A3670" s="9">
        <f t="shared" si="81"/>
        <v>0</v>
      </c>
    </row>
    <row r="3671" spans="1:1" x14ac:dyDescent="0.25">
      <c r="A3671" s="9">
        <f t="shared" si="81"/>
        <v>0</v>
      </c>
    </row>
    <row r="3672" spans="1:1" x14ac:dyDescent="0.25">
      <c r="A3672" s="9">
        <f t="shared" si="81"/>
        <v>0</v>
      </c>
    </row>
    <row r="3673" spans="1:1" x14ac:dyDescent="0.25">
      <c r="A3673" s="9">
        <f t="shared" si="81"/>
        <v>0</v>
      </c>
    </row>
    <row r="3674" spans="1:1" x14ac:dyDescent="0.25">
      <c r="A3674" s="9">
        <f t="shared" si="81"/>
        <v>0</v>
      </c>
    </row>
    <row r="3675" spans="1:1" x14ac:dyDescent="0.25">
      <c r="A3675" s="9">
        <f t="shared" si="81"/>
        <v>0</v>
      </c>
    </row>
    <row r="3676" spans="1:1" x14ac:dyDescent="0.25">
      <c r="A3676" s="9">
        <f t="shared" si="81"/>
        <v>0</v>
      </c>
    </row>
    <row r="3677" spans="1:1" x14ac:dyDescent="0.25">
      <c r="A3677" s="9">
        <f t="shared" si="81"/>
        <v>0</v>
      </c>
    </row>
    <row r="3678" spans="1:1" x14ac:dyDescent="0.25">
      <c r="A3678" s="9">
        <f t="shared" si="81"/>
        <v>0</v>
      </c>
    </row>
    <row r="3679" spans="1:1" x14ac:dyDescent="0.25">
      <c r="A3679" s="9">
        <f t="shared" si="81"/>
        <v>0</v>
      </c>
    </row>
    <row r="3680" spans="1:1" x14ac:dyDescent="0.25">
      <c r="A3680" s="9">
        <f t="shared" si="81"/>
        <v>0</v>
      </c>
    </row>
    <row r="3681" spans="1:1" x14ac:dyDescent="0.25">
      <c r="A3681" s="9">
        <f t="shared" si="81"/>
        <v>0</v>
      </c>
    </row>
    <row r="3682" spans="1:1" x14ac:dyDescent="0.25">
      <c r="A3682" s="9">
        <f t="shared" si="81"/>
        <v>0</v>
      </c>
    </row>
    <row r="3683" spans="1:1" x14ac:dyDescent="0.25">
      <c r="A3683" s="9">
        <f t="shared" si="81"/>
        <v>0</v>
      </c>
    </row>
    <row r="3684" spans="1:1" x14ac:dyDescent="0.25">
      <c r="A3684" s="9">
        <f t="shared" si="81"/>
        <v>0</v>
      </c>
    </row>
    <row r="3685" spans="1:1" x14ac:dyDescent="0.25">
      <c r="A3685" s="9">
        <f t="shared" si="81"/>
        <v>0</v>
      </c>
    </row>
    <row r="3686" spans="1:1" x14ac:dyDescent="0.25">
      <c r="A3686" s="9">
        <f t="shared" si="81"/>
        <v>0</v>
      </c>
    </row>
    <row r="3687" spans="1:1" x14ac:dyDescent="0.25">
      <c r="A3687" s="9">
        <f t="shared" si="81"/>
        <v>0</v>
      </c>
    </row>
    <row r="3688" spans="1:1" x14ac:dyDescent="0.25">
      <c r="A3688" s="9">
        <f t="shared" si="81"/>
        <v>0</v>
      </c>
    </row>
    <row r="3689" spans="1:1" x14ac:dyDescent="0.25">
      <c r="A3689" s="9">
        <f t="shared" si="81"/>
        <v>0</v>
      </c>
    </row>
    <row r="3690" spans="1:1" x14ac:dyDescent="0.25">
      <c r="A3690" s="9">
        <f t="shared" si="81"/>
        <v>0</v>
      </c>
    </row>
    <row r="3691" spans="1:1" x14ac:dyDescent="0.25">
      <c r="A3691" s="9">
        <f t="shared" si="81"/>
        <v>0</v>
      </c>
    </row>
    <row r="3692" spans="1:1" x14ac:dyDescent="0.25">
      <c r="A3692" s="9">
        <f t="shared" si="81"/>
        <v>0</v>
      </c>
    </row>
    <row r="3693" spans="1:1" x14ac:dyDescent="0.25">
      <c r="A3693" s="9">
        <f t="shared" si="81"/>
        <v>0</v>
      </c>
    </row>
    <row r="3694" spans="1:1" x14ac:dyDescent="0.25">
      <c r="A3694" s="9">
        <f t="shared" si="81"/>
        <v>0</v>
      </c>
    </row>
    <row r="3695" spans="1:1" x14ac:dyDescent="0.25">
      <c r="A3695" s="9">
        <f t="shared" si="81"/>
        <v>0</v>
      </c>
    </row>
    <row r="3696" spans="1:1" x14ac:dyDescent="0.25">
      <c r="A3696" s="9">
        <f t="shared" si="81"/>
        <v>0</v>
      </c>
    </row>
    <row r="3697" spans="1:1" x14ac:dyDescent="0.25">
      <c r="A3697" s="9">
        <f t="shared" si="81"/>
        <v>0</v>
      </c>
    </row>
    <row r="3698" spans="1:1" x14ac:dyDescent="0.25">
      <c r="A3698" s="9">
        <f t="shared" si="81"/>
        <v>0</v>
      </c>
    </row>
    <row r="3699" spans="1:1" x14ac:dyDescent="0.25">
      <c r="A3699" s="9">
        <f t="shared" si="81"/>
        <v>0</v>
      </c>
    </row>
    <row r="3700" spans="1:1" x14ac:dyDescent="0.25">
      <c r="A3700" s="9">
        <f t="shared" si="81"/>
        <v>0</v>
      </c>
    </row>
    <row r="3701" spans="1:1" x14ac:dyDescent="0.25">
      <c r="A3701" s="9">
        <f t="shared" si="81"/>
        <v>0</v>
      </c>
    </row>
    <row r="3702" spans="1:1" x14ac:dyDescent="0.25">
      <c r="A3702" s="9">
        <f t="shared" si="81"/>
        <v>0</v>
      </c>
    </row>
    <row r="3703" spans="1:1" x14ac:dyDescent="0.25">
      <c r="A3703" s="9">
        <f t="shared" si="81"/>
        <v>0</v>
      </c>
    </row>
    <row r="3704" spans="1:1" x14ac:dyDescent="0.25">
      <c r="A3704" s="9">
        <f t="shared" si="81"/>
        <v>0</v>
      </c>
    </row>
    <row r="3705" spans="1:1" x14ac:dyDescent="0.25">
      <c r="A3705" s="9">
        <f t="shared" si="81"/>
        <v>0</v>
      </c>
    </row>
    <row r="3706" spans="1:1" x14ac:dyDescent="0.25">
      <c r="A3706" s="9">
        <f t="shared" si="81"/>
        <v>0</v>
      </c>
    </row>
    <row r="3707" spans="1:1" x14ac:dyDescent="0.25">
      <c r="A3707" s="9">
        <f t="shared" si="81"/>
        <v>0</v>
      </c>
    </row>
    <row r="3708" spans="1:1" x14ac:dyDescent="0.25">
      <c r="A3708" s="9">
        <f t="shared" si="81"/>
        <v>0</v>
      </c>
    </row>
    <row r="3709" spans="1:1" x14ac:dyDescent="0.25">
      <c r="A3709" s="9">
        <f t="shared" si="81"/>
        <v>0</v>
      </c>
    </row>
    <row r="3710" spans="1:1" x14ac:dyDescent="0.25">
      <c r="A3710" s="9">
        <f t="shared" si="81"/>
        <v>0</v>
      </c>
    </row>
    <row r="3711" spans="1:1" x14ac:dyDescent="0.25">
      <c r="A3711" s="9">
        <f t="shared" si="81"/>
        <v>0</v>
      </c>
    </row>
    <row r="3712" spans="1:1" x14ac:dyDescent="0.25">
      <c r="A3712" s="9">
        <f t="shared" si="81"/>
        <v>0</v>
      </c>
    </row>
    <row r="3713" spans="1:1" x14ac:dyDescent="0.25">
      <c r="A3713" s="9">
        <f t="shared" si="81"/>
        <v>0</v>
      </c>
    </row>
    <row r="3714" spans="1:1" x14ac:dyDescent="0.25">
      <c r="A3714" s="9">
        <f t="shared" si="81"/>
        <v>0</v>
      </c>
    </row>
    <row r="3715" spans="1:1" x14ac:dyDescent="0.25">
      <c r="A3715" s="9">
        <f t="shared" si="81"/>
        <v>0</v>
      </c>
    </row>
    <row r="3716" spans="1:1" x14ac:dyDescent="0.25">
      <c r="A3716" s="9">
        <f t="shared" si="81"/>
        <v>0</v>
      </c>
    </row>
    <row r="3717" spans="1:1" x14ac:dyDescent="0.25">
      <c r="A3717" s="9">
        <f t="shared" si="81"/>
        <v>0</v>
      </c>
    </row>
    <row r="3718" spans="1:1" x14ac:dyDescent="0.25">
      <c r="A3718" s="9">
        <f t="shared" si="81"/>
        <v>0</v>
      </c>
    </row>
    <row r="3719" spans="1:1" x14ac:dyDescent="0.25">
      <c r="A3719" s="9">
        <f t="shared" si="81"/>
        <v>0</v>
      </c>
    </row>
    <row r="3720" spans="1:1" x14ac:dyDescent="0.25">
      <c r="A3720" s="9">
        <f t="shared" si="81"/>
        <v>0</v>
      </c>
    </row>
    <row r="3721" spans="1:1" x14ac:dyDescent="0.25">
      <c r="A3721" s="9">
        <f t="shared" si="81"/>
        <v>0</v>
      </c>
    </row>
    <row r="3722" spans="1:1" x14ac:dyDescent="0.25">
      <c r="A3722" s="9">
        <f t="shared" si="81"/>
        <v>0</v>
      </c>
    </row>
    <row r="3723" spans="1:1" x14ac:dyDescent="0.25">
      <c r="A3723" s="9">
        <f t="shared" si="81"/>
        <v>0</v>
      </c>
    </row>
    <row r="3724" spans="1:1" x14ac:dyDescent="0.25">
      <c r="A3724" s="9">
        <f t="shared" ref="A3724:A3787" si="82">IF(G3724&gt;0,1,0)</f>
        <v>0</v>
      </c>
    </row>
    <row r="3725" spans="1:1" x14ac:dyDescent="0.25">
      <c r="A3725" s="9">
        <f t="shared" si="82"/>
        <v>0</v>
      </c>
    </row>
    <row r="3726" spans="1:1" x14ac:dyDescent="0.25">
      <c r="A3726" s="9">
        <f t="shared" si="82"/>
        <v>0</v>
      </c>
    </row>
    <row r="3727" spans="1:1" x14ac:dyDescent="0.25">
      <c r="A3727" s="9">
        <f t="shared" si="82"/>
        <v>0</v>
      </c>
    </row>
    <row r="3728" spans="1:1" x14ac:dyDescent="0.25">
      <c r="A3728" s="9">
        <f t="shared" si="82"/>
        <v>0</v>
      </c>
    </row>
    <row r="3729" spans="1:1" x14ac:dyDescent="0.25">
      <c r="A3729" s="9">
        <f t="shared" si="82"/>
        <v>0</v>
      </c>
    </row>
    <row r="3730" spans="1:1" x14ac:dyDescent="0.25">
      <c r="A3730" s="9">
        <f t="shared" si="82"/>
        <v>0</v>
      </c>
    </row>
    <row r="3731" spans="1:1" x14ac:dyDescent="0.25">
      <c r="A3731" s="9">
        <f t="shared" si="82"/>
        <v>0</v>
      </c>
    </row>
    <row r="3732" spans="1:1" x14ac:dyDescent="0.25">
      <c r="A3732" s="9">
        <f t="shared" si="82"/>
        <v>0</v>
      </c>
    </row>
    <row r="3733" spans="1:1" x14ac:dyDescent="0.25">
      <c r="A3733" s="9">
        <f t="shared" si="82"/>
        <v>0</v>
      </c>
    </row>
    <row r="3734" spans="1:1" x14ac:dyDescent="0.25">
      <c r="A3734" s="9">
        <f t="shared" si="82"/>
        <v>0</v>
      </c>
    </row>
    <row r="3735" spans="1:1" x14ac:dyDescent="0.25">
      <c r="A3735" s="9">
        <f t="shared" si="82"/>
        <v>0</v>
      </c>
    </row>
    <row r="3736" spans="1:1" x14ac:dyDescent="0.25">
      <c r="A3736" s="9">
        <f t="shared" si="82"/>
        <v>0</v>
      </c>
    </row>
    <row r="3737" spans="1:1" x14ac:dyDescent="0.25">
      <c r="A3737" s="9">
        <f t="shared" si="82"/>
        <v>0</v>
      </c>
    </row>
    <row r="3738" spans="1:1" x14ac:dyDescent="0.25">
      <c r="A3738" s="9">
        <f t="shared" si="82"/>
        <v>0</v>
      </c>
    </row>
    <row r="3739" spans="1:1" x14ac:dyDescent="0.25">
      <c r="A3739" s="9">
        <f t="shared" si="82"/>
        <v>0</v>
      </c>
    </row>
    <row r="3740" spans="1:1" x14ac:dyDescent="0.25">
      <c r="A3740" s="9">
        <f t="shared" si="82"/>
        <v>0</v>
      </c>
    </row>
    <row r="3741" spans="1:1" x14ac:dyDescent="0.25">
      <c r="A3741" s="9">
        <f t="shared" si="82"/>
        <v>0</v>
      </c>
    </row>
    <row r="3742" spans="1:1" x14ac:dyDescent="0.25">
      <c r="A3742" s="9">
        <f t="shared" si="82"/>
        <v>0</v>
      </c>
    </row>
    <row r="3743" spans="1:1" x14ac:dyDescent="0.25">
      <c r="A3743" s="9">
        <f t="shared" si="82"/>
        <v>0</v>
      </c>
    </row>
    <row r="3744" spans="1:1" x14ac:dyDescent="0.25">
      <c r="A3744" s="9">
        <f t="shared" si="82"/>
        <v>0</v>
      </c>
    </row>
    <row r="3745" spans="1:1" x14ac:dyDescent="0.25">
      <c r="A3745" s="9">
        <f t="shared" si="82"/>
        <v>0</v>
      </c>
    </row>
    <row r="3746" spans="1:1" x14ac:dyDescent="0.25">
      <c r="A3746" s="9">
        <f t="shared" si="82"/>
        <v>0</v>
      </c>
    </row>
    <row r="3747" spans="1:1" x14ac:dyDescent="0.25">
      <c r="A3747" s="9">
        <f t="shared" si="82"/>
        <v>0</v>
      </c>
    </row>
    <row r="3748" spans="1:1" x14ac:dyDescent="0.25">
      <c r="A3748" s="9">
        <f t="shared" si="82"/>
        <v>0</v>
      </c>
    </row>
    <row r="3749" spans="1:1" x14ac:dyDescent="0.25">
      <c r="A3749" s="9">
        <f t="shared" si="82"/>
        <v>0</v>
      </c>
    </row>
    <row r="3750" spans="1:1" x14ac:dyDescent="0.25">
      <c r="A3750" s="9">
        <f t="shared" si="82"/>
        <v>0</v>
      </c>
    </row>
    <row r="3751" spans="1:1" x14ac:dyDescent="0.25">
      <c r="A3751" s="9">
        <f t="shared" si="82"/>
        <v>0</v>
      </c>
    </row>
    <row r="3752" spans="1:1" x14ac:dyDescent="0.25">
      <c r="A3752" s="9">
        <f t="shared" si="82"/>
        <v>0</v>
      </c>
    </row>
    <row r="3753" spans="1:1" x14ac:dyDescent="0.25">
      <c r="A3753" s="9">
        <f t="shared" si="82"/>
        <v>0</v>
      </c>
    </row>
    <row r="3754" spans="1:1" x14ac:dyDescent="0.25">
      <c r="A3754" s="9">
        <f t="shared" si="82"/>
        <v>0</v>
      </c>
    </row>
    <row r="3755" spans="1:1" x14ac:dyDescent="0.25">
      <c r="A3755" s="9">
        <f t="shared" si="82"/>
        <v>0</v>
      </c>
    </row>
    <row r="3756" spans="1:1" x14ac:dyDescent="0.25">
      <c r="A3756" s="9">
        <f t="shared" si="82"/>
        <v>0</v>
      </c>
    </row>
    <row r="3757" spans="1:1" x14ac:dyDescent="0.25">
      <c r="A3757" s="9">
        <f t="shared" si="82"/>
        <v>0</v>
      </c>
    </row>
    <row r="3758" spans="1:1" x14ac:dyDescent="0.25">
      <c r="A3758" s="9">
        <f t="shared" si="82"/>
        <v>0</v>
      </c>
    </row>
    <row r="3759" spans="1:1" x14ac:dyDescent="0.25">
      <c r="A3759" s="9">
        <f t="shared" si="82"/>
        <v>0</v>
      </c>
    </row>
    <row r="3760" spans="1:1" x14ac:dyDescent="0.25">
      <c r="A3760" s="9">
        <f t="shared" si="82"/>
        <v>0</v>
      </c>
    </row>
    <row r="3761" spans="1:1" x14ac:dyDescent="0.25">
      <c r="A3761" s="9">
        <f t="shared" si="82"/>
        <v>0</v>
      </c>
    </row>
    <row r="3762" spans="1:1" x14ac:dyDescent="0.25">
      <c r="A3762" s="9">
        <f t="shared" si="82"/>
        <v>0</v>
      </c>
    </row>
    <row r="3763" spans="1:1" x14ac:dyDescent="0.25">
      <c r="A3763" s="9">
        <f t="shared" si="82"/>
        <v>0</v>
      </c>
    </row>
    <row r="3764" spans="1:1" x14ac:dyDescent="0.25">
      <c r="A3764" s="9">
        <f t="shared" si="82"/>
        <v>0</v>
      </c>
    </row>
    <row r="3765" spans="1:1" x14ac:dyDescent="0.25">
      <c r="A3765" s="9">
        <f t="shared" si="82"/>
        <v>0</v>
      </c>
    </row>
    <row r="3766" spans="1:1" x14ac:dyDescent="0.25">
      <c r="A3766" s="9">
        <f t="shared" si="82"/>
        <v>0</v>
      </c>
    </row>
    <row r="3767" spans="1:1" x14ac:dyDescent="0.25">
      <c r="A3767" s="9">
        <f t="shared" si="82"/>
        <v>0</v>
      </c>
    </row>
    <row r="3768" spans="1:1" x14ac:dyDescent="0.25">
      <c r="A3768" s="9">
        <f t="shared" si="82"/>
        <v>0</v>
      </c>
    </row>
    <row r="3769" spans="1:1" x14ac:dyDescent="0.25">
      <c r="A3769" s="9">
        <f t="shared" si="82"/>
        <v>0</v>
      </c>
    </row>
    <row r="3770" spans="1:1" x14ac:dyDescent="0.25">
      <c r="A3770" s="9">
        <f t="shared" si="82"/>
        <v>0</v>
      </c>
    </row>
    <row r="3771" spans="1:1" x14ac:dyDescent="0.25">
      <c r="A3771" s="9">
        <f t="shared" si="82"/>
        <v>0</v>
      </c>
    </row>
    <row r="3772" spans="1:1" x14ac:dyDescent="0.25">
      <c r="A3772" s="9">
        <f t="shared" si="82"/>
        <v>0</v>
      </c>
    </row>
    <row r="3773" spans="1:1" x14ac:dyDescent="0.25">
      <c r="A3773" s="9">
        <f t="shared" si="82"/>
        <v>0</v>
      </c>
    </row>
    <row r="3774" spans="1:1" x14ac:dyDescent="0.25">
      <c r="A3774" s="9">
        <f t="shared" si="82"/>
        <v>0</v>
      </c>
    </row>
    <row r="3775" spans="1:1" x14ac:dyDescent="0.25">
      <c r="A3775" s="9">
        <f t="shared" si="82"/>
        <v>0</v>
      </c>
    </row>
    <row r="3776" spans="1:1" x14ac:dyDescent="0.25">
      <c r="A3776" s="9">
        <f t="shared" si="82"/>
        <v>0</v>
      </c>
    </row>
    <row r="3777" spans="1:1" x14ac:dyDescent="0.25">
      <c r="A3777" s="9">
        <f t="shared" si="82"/>
        <v>0</v>
      </c>
    </row>
    <row r="3778" spans="1:1" x14ac:dyDescent="0.25">
      <c r="A3778" s="9">
        <f t="shared" si="82"/>
        <v>0</v>
      </c>
    </row>
    <row r="3779" spans="1:1" x14ac:dyDescent="0.25">
      <c r="A3779" s="9">
        <f t="shared" si="82"/>
        <v>0</v>
      </c>
    </row>
    <row r="3780" spans="1:1" x14ac:dyDescent="0.25">
      <c r="A3780" s="9">
        <f t="shared" si="82"/>
        <v>0</v>
      </c>
    </row>
    <row r="3781" spans="1:1" x14ac:dyDescent="0.25">
      <c r="A3781" s="9">
        <f t="shared" si="82"/>
        <v>0</v>
      </c>
    </row>
    <row r="3782" spans="1:1" x14ac:dyDescent="0.25">
      <c r="A3782" s="9">
        <f t="shared" si="82"/>
        <v>0</v>
      </c>
    </row>
    <row r="3783" spans="1:1" x14ac:dyDescent="0.25">
      <c r="A3783" s="9">
        <f t="shared" si="82"/>
        <v>0</v>
      </c>
    </row>
    <row r="3784" spans="1:1" x14ac:dyDescent="0.25">
      <c r="A3784" s="9">
        <f t="shared" si="82"/>
        <v>0</v>
      </c>
    </row>
    <row r="3785" spans="1:1" x14ac:dyDescent="0.25">
      <c r="A3785" s="9">
        <f t="shared" si="82"/>
        <v>0</v>
      </c>
    </row>
    <row r="3786" spans="1:1" x14ac:dyDescent="0.25">
      <c r="A3786" s="9">
        <f t="shared" si="82"/>
        <v>0</v>
      </c>
    </row>
    <row r="3787" spans="1:1" x14ac:dyDescent="0.25">
      <c r="A3787" s="9">
        <f t="shared" si="82"/>
        <v>0</v>
      </c>
    </row>
    <row r="3788" spans="1:1" x14ac:dyDescent="0.25">
      <c r="A3788" s="9">
        <f t="shared" ref="A3788:A3851" si="83">IF(G3788&gt;0,1,0)</f>
        <v>0</v>
      </c>
    </row>
    <row r="3789" spans="1:1" x14ac:dyDescent="0.25">
      <c r="A3789" s="9">
        <f t="shared" si="83"/>
        <v>0</v>
      </c>
    </row>
    <row r="3790" spans="1:1" x14ac:dyDescent="0.25">
      <c r="A3790" s="9">
        <f t="shared" si="83"/>
        <v>0</v>
      </c>
    </row>
    <row r="3791" spans="1:1" x14ac:dyDescent="0.25">
      <c r="A3791" s="9">
        <f t="shared" si="83"/>
        <v>0</v>
      </c>
    </row>
    <row r="3792" spans="1:1" x14ac:dyDescent="0.25">
      <c r="A3792" s="9">
        <f t="shared" si="83"/>
        <v>0</v>
      </c>
    </row>
    <row r="3793" spans="1:1" x14ac:dyDescent="0.25">
      <c r="A3793" s="9">
        <f t="shared" si="83"/>
        <v>0</v>
      </c>
    </row>
    <row r="3794" spans="1:1" x14ac:dyDescent="0.25">
      <c r="A3794" s="9">
        <f t="shared" si="83"/>
        <v>0</v>
      </c>
    </row>
    <row r="3795" spans="1:1" x14ac:dyDescent="0.25">
      <c r="A3795" s="9">
        <f t="shared" si="83"/>
        <v>0</v>
      </c>
    </row>
    <row r="3796" spans="1:1" x14ac:dyDescent="0.25">
      <c r="A3796" s="9">
        <f t="shared" si="83"/>
        <v>0</v>
      </c>
    </row>
    <row r="3797" spans="1:1" x14ac:dyDescent="0.25">
      <c r="A3797" s="9">
        <f t="shared" si="83"/>
        <v>0</v>
      </c>
    </row>
    <row r="3798" spans="1:1" x14ac:dyDescent="0.25">
      <c r="A3798" s="9">
        <f t="shared" si="83"/>
        <v>0</v>
      </c>
    </row>
    <row r="3799" spans="1:1" x14ac:dyDescent="0.25">
      <c r="A3799" s="9">
        <f t="shared" si="83"/>
        <v>0</v>
      </c>
    </row>
    <row r="3800" spans="1:1" x14ac:dyDescent="0.25">
      <c r="A3800" s="9">
        <f t="shared" si="83"/>
        <v>0</v>
      </c>
    </row>
    <row r="3801" spans="1:1" x14ac:dyDescent="0.25">
      <c r="A3801" s="9">
        <f t="shared" si="83"/>
        <v>0</v>
      </c>
    </row>
    <row r="3802" spans="1:1" x14ac:dyDescent="0.25">
      <c r="A3802" s="9">
        <f t="shared" si="83"/>
        <v>0</v>
      </c>
    </row>
    <row r="3803" spans="1:1" x14ac:dyDescent="0.25">
      <c r="A3803" s="9">
        <f t="shared" si="83"/>
        <v>0</v>
      </c>
    </row>
    <row r="3804" spans="1:1" x14ac:dyDescent="0.25">
      <c r="A3804" s="9">
        <f t="shared" si="83"/>
        <v>0</v>
      </c>
    </row>
    <row r="3805" spans="1:1" x14ac:dyDescent="0.25">
      <c r="A3805" s="9">
        <f t="shared" si="83"/>
        <v>0</v>
      </c>
    </row>
    <row r="3806" spans="1:1" x14ac:dyDescent="0.25">
      <c r="A3806" s="9">
        <f t="shared" si="83"/>
        <v>0</v>
      </c>
    </row>
    <row r="3807" spans="1:1" x14ac:dyDescent="0.25">
      <c r="A3807" s="9">
        <f t="shared" si="83"/>
        <v>0</v>
      </c>
    </row>
    <row r="3808" spans="1:1" x14ac:dyDescent="0.25">
      <c r="A3808" s="9">
        <f t="shared" si="83"/>
        <v>0</v>
      </c>
    </row>
    <row r="3809" spans="1:1" x14ac:dyDescent="0.25">
      <c r="A3809" s="9">
        <f t="shared" si="83"/>
        <v>0</v>
      </c>
    </row>
    <row r="3810" spans="1:1" x14ac:dyDescent="0.25">
      <c r="A3810" s="9">
        <f t="shared" si="83"/>
        <v>0</v>
      </c>
    </row>
    <row r="3811" spans="1:1" x14ac:dyDescent="0.25">
      <c r="A3811" s="9">
        <f t="shared" si="83"/>
        <v>0</v>
      </c>
    </row>
    <row r="3812" spans="1:1" x14ac:dyDescent="0.25">
      <c r="A3812" s="9">
        <f t="shared" si="83"/>
        <v>0</v>
      </c>
    </row>
    <row r="3813" spans="1:1" x14ac:dyDescent="0.25">
      <c r="A3813" s="9">
        <f t="shared" si="83"/>
        <v>0</v>
      </c>
    </row>
    <row r="3814" spans="1:1" x14ac:dyDescent="0.25">
      <c r="A3814" s="9">
        <f t="shared" si="83"/>
        <v>0</v>
      </c>
    </row>
    <row r="3815" spans="1:1" x14ac:dyDescent="0.25">
      <c r="A3815" s="9">
        <f t="shared" si="83"/>
        <v>0</v>
      </c>
    </row>
    <row r="3816" spans="1:1" x14ac:dyDescent="0.25">
      <c r="A3816" s="9">
        <f t="shared" si="83"/>
        <v>0</v>
      </c>
    </row>
    <row r="3817" spans="1:1" x14ac:dyDescent="0.25">
      <c r="A3817" s="9">
        <f t="shared" si="83"/>
        <v>0</v>
      </c>
    </row>
    <row r="3818" spans="1:1" x14ac:dyDescent="0.25">
      <c r="A3818" s="9">
        <f t="shared" si="83"/>
        <v>0</v>
      </c>
    </row>
    <row r="3819" spans="1:1" x14ac:dyDescent="0.25">
      <c r="A3819" s="9">
        <f t="shared" si="83"/>
        <v>0</v>
      </c>
    </row>
    <row r="3820" spans="1:1" x14ac:dyDescent="0.25">
      <c r="A3820" s="9">
        <f t="shared" si="83"/>
        <v>0</v>
      </c>
    </row>
    <row r="3821" spans="1:1" x14ac:dyDescent="0.25">
      <c r="A3821" s="9">
        <f t="shared" si="83"/>
        <v>0</v>
      </c>
    </row>
    <row r="3822" spans="1:1" x14ac:dyDescent="0.25">
      <c r="A3822" s="9">
        <f t="shared" si="83"/>
        <v>0</v>
      </c>
    </row>
    <row r="3823" spans="1:1" x14ac:dyDescent="0.25">
      <c r="A3823" s="9">
        <f t="shared" si="83"/>
        <v>0</v>
      </c>
    </row>
    <row r="3824" spans="1:1" x14ac:dyDescent="0.25">
      <c r="A3824" s="9">
        <f t="shared" si="83"/>
        <v>0</v>
      </c>
    </row>
    <row r="3825" spans="1:1" x14ac:dyDescent="0.25">
      <c r="A3825" s="9">
        <f t="shared" si="83"/>
        <v>0</v>
      </c>
    </row>
    <row r="3826" spans="1:1" x14ac:dyDescent="0.25">
      <c r="A3826" s="9">
        <f t="shared" si="83"/>
        <v>0</v>
      </c>
    </row>
    <row r="3827" spans="1:1" x14ac:dyDescent="0.25">
      <c r="A3827" s="9">
        <f t="shared" si="83"/>
        <v>0</v>
      </c>
    </row>
    <row r="3828" spans="1:1" x14ac:dyDescent="0.25">
      <c r="A3828" s="9">
        <f t="shared" si="83"/>
        <v>0</v>
      </c>
    </row>
    <row r="3829" spans="1:1" x14ac:dyDescent="0.25">
      <c r="A3829" s="9">
        <f t="shared" si="83"/>
        <v>0</v>
      </c>
    </row>
    <row r="3830" spans="1:1" x14ac:dyDescent="0.25">
      <c r="A3830" s="9">
        <f t="shared" si="83"/>
        <v>0</v>
      </c>
    </row>
    <row r="3831" spans="1:1" x14ac:dyDescent="0.25">
      <c r="A3831" s="9">
        <f t="shared" si="83"/>
        <v>0</v>
      </c>
    </row>
    <row r="3832" spans="1:1" x14ac:dyDescent="0.25">
      <c r="A3832" s="9">
        <f t="shared" si="83"/>
        <v>0</v>
      </c>
    </row>
    <row r="3833" spans="1:1" x14ac:dyDescent="0.25">
      <c r="A3833" s="9">
        <f t="shared" si="83"/>
        <v>0</v>
      </c>
    </row>
    <row r="3834" spans="1:1" x14ac:dyDescent="0.25">
      <c r="A3834" s="9">
        <f t="shared" si="83"/>
        <v>0</v>
      </c>
    </row>
    <row r="3835" spans="1:1" x14ac:dyDescent="0.25">
      <c r="A3835" s="9">
        <f t="shared" si="83"/>
        <v>0</v>
      </c>
    </row>
    <row r="3836" spans="1:1" x14ac:dyDescent="0.25">
      <c r="A3836" s="9">
        <f t="shared" si="83"/>
        <v>0</v>
      </c>
    </row>
    <row r="3837" spans="1:1" x14ac:dyDescent="0.25">
      <c r="A3837" s="9">
        <f t="shared" si="83"/>
        <v>0</v>
      </c>
    </row>
    <row r="3838" spans="1:1" x14ac:dyDescent="0.25">
      <c r="A3838" s="9">
        <f t="shared" si="83"/>
        <v>0</v>
      </c>
    </row>
    <row r="3839" spans="1:1" x14ac:dyDescent="0.25">
      <c r="A3839" s="9">
        <f t="shared" si="83"/>
        <v>0</v>
      </c>
    </row>
    <row r="3840" spans="1:1" x14ac:dyDescent="0.25">
      <c r="A3840" s="9">
        <f t="shared" si="83"/>
        <v>0</v>
      </c>
    </row>
    <row r="3841" spans="1:1" x14ac:dyDescent="0.25">
      <c r="A3841" s="9">
        <f t="shared" si="83"/>
        <v>0</v>
      </c>
    </row>
    <row r="3842" spans="1:1" x14ac:dyDescent="0.25">
      <c r="A3842" s="9">
        <f t="shared" si="83"/>
        <v>0</v>
      </c>
    </row>
    <row r="3843" spans="1:1" x14ac:dyDescent="0.25">
      <c r="A3843" s="9">
        <f t="shared" si="83"/>
        <v>0</v>
      </c>
    </row>
    <row r="3844" spans="1:1" x14ac:dyDescent="0.25">
      <c r="A3844" s="9">
        <f t="shared" si="83"/>
        <v>0</v>
      </c>
    </row>
    <row r="3845" spans="1:1" x14ac:dyDescent="0.25">
      <c r="A3845" s="9">
        <f t="shared" si="83"/>
        <v>0</v>
      </c>
    </row>
    <row r="3846" spans="1:1" x14ac:dyDescent="0.25">
      <c r="A3846" s="9">
        <f t="shared" si="83"/>
        <v>0</v>
      </c>
    </row>
    <row r="3847" spans="1:1" x14ac:dyDescent="0.25">
      <c r="A3847" s="9">
        <f t="shared" si="83"/>
        <v>0</v>
      </c>
    </row>
    <row r="3848" spans="1:1" x14ac:dyDescent="0.25">
      <c r="A3848" s="9">
        <f t="shared" si="83"/>
        <v>0</v>
      </c>
    </row>
    <row r="3849" spans="1:1" x14ac:dyDescent="0.25">
      <c r="A3849" s="9">
        <f t="shared" si="83"/>
        <v>0</v>
      </c>
    </row>
    <row r="3850" spans="1:1" x14ac:dyDescent="0.25">
      <c r="A3850" s="9">
        <f t="shared" si="83"/>
        <v>0</v>
      </c>
    </row>
    <row r="3851" spans="1:1" x14ac:dyDescent="0.25">
      <c r="A3851" s="9">
        <f t="shared" si="83"/>
        <v>0</v>
      </c>
    </row>
    <row r="3852" spans="1:1" x14ac:dyDescent="0.25">
      <c r="A3852" s="9">
        <f t="shared" ref="A3852:A3915" si="84">IF(G3852&gt;0,1,0)</f>
        <v>0</v>
      </c>
    </row>
    <row r="3853" spans="1:1" x14ac:dyDescent="0.25">
      <c r="A3853" s="9">
        <f t="shared" si="84"/>
        <v>0</v>
      </c>
    </row>
    <row r="3854" spans="1:1" x14ac:dyDescent="0.25">
      <c r="A3854" s="9">
        <f t="shared" si="84"/>
        <v>0</v>
      </c>
    </row>
    <row r="3855" spans="1:1" x14ac:dyDescent="0.25">
      <c r="A3855" s="9">
        <f t="shared" si="84"/>
        <v>0</v>
      </c>
    </row>
    <row r="3856" spans="1:1" x14ac:dyDescent="0.25">
      <c r="A3856" s="9">
        <f t="shared" si="84"/>
        <v>0</v>
      </c>
    </row>
    <row r="3857" spans="1:1" x14ac:dyDescent="0.25">
      <c r="A3857" s="9">
        <f t="shared" si="84"/>
        <v>0</v>
      </c>
    </row>
    <row r="3858" spans="1:1" x14ac:dyDescent="0.25">
      <c r="A3858" s="9">
        <f t="shared" si="84"/>
        <v>0</v>
      </c>
    </row>
    <row r="3859" spans="1:1" x14ac:dyDescent="0.25">
      <c r="A3859" s="9">
        <f t="shared" si="84"/>
        <v>0</v>
      </c>
    </row>
    <row r="3860" spans="1:1" x14ac:dyDescent="0.25">
      <c r="A3860" s="9">
        <f t="shared" si="84"/>
        <v>0</v>
      </c>
    </row>
    <row r="3861" spans="1:1" x14ac:dyDescent="0.25">
      <c r="A3861" s="9">
        <f t="shared" si="84"/>
        <v>0</v>
      </c>
    </row>
    <row r="3862" spans="1:1" x14ac:dyDescent="0.25">
      <c r="A3862" s="9">
        <f t="shared" si="84"/>
        <v>0</v>
      </c>
    </row>
    <row r="3863" spans="1:1" x14ac:dyDescent="0.25">
      <c r="A3863" s="9">
        <f t="shared" si="84"/>
        <v>0</v>
      </c>
    </row>
    <row r="3864" spans="1:1" x14ac:dyDescent="0.25">
      <c r="A3864" s="9">
        <f t="shared" si="84"/>
        <v>0</v>
      </c>
    </row>
    <row r="3865" spans="1:1" x14ac:dyDescent="0.25">
      <c r="A3865" s="9">
        <f t="shared" si="84"/>
        <v>0</v>
      </c>
    </row>
    <row r="3866" spans="1:1" x14ac:dyDescent="0.25">
      <c r="A3866" s="9">
        <f t="shared" si="84"/>
        <v>0</v>
      </c>
    </row>
    <row r="3867" spans="1:1" x14ac:dyDescent="0.25">
      <c r="A3867" s="9">
        <f t="shared" si="84"/>
        <v>0</v>
      </c>
    </row>
    <row r="3868" spans="1:1" x14ac:dyDescent="0.25">
      <c r="A3868" s="9">
        <f t="shared" si="84"/>
        <v>0</v>
      </c>
    </row>
    <row r="3869" spans="1:1" x14ac:dyDescent="0.25">
      <c r="A3869" s="9">
        <f t="shared" si="84"/>
        <v>0</v>
      </c>
    </row>
    <row r="3870" spans="1:1" x14ac:dyDescent="0.25">
      <c r="A3870" s="9">
        <f t="shared" si="84"/>
        <v>0</v>
      </c>
    </row>
    <row r="3871" spans="1:1" x14ac:dyDescent="0.25">
      <c r="A3871" s="9">
        <f t="shared" si="84"/>
        <v>0</v>
      </c>
    </row>
    <row r="3872" spans="1:1" x14ac:dyDescent="0.25">
      <c r="A3872" s="9">
        <f t="shared" si="84"/>
        <v>0</v>
      </c>
    </row>
    <row r="3873" spans="1:1" x14ac:dyDescent="0.25">
      <c r="A3873" s="9">
        <f t="shared" si="84"/>
        <v>0</v>
      </c>
    </row>
    <row r="3874" spans="1:1" x14ac:dyDescent="0.25">
      <c r="A3874" s="9">
        <f t="shared" si="84"/>
        <v>0</v>
      </c>
    </row>
    <row r="3875" spans="1:1" x14ac:dyDescent="0.25">
      <c r="A3875" s="9">
        <f t="shared" si="84"/>
        <v>0</v>
      </c>
    </row>
    <row r="3876" spans="1:1" x14ac:dyDescent="0.25">
      <c r="A3876" s="9">
        <f t="shared" si="84"/>
        <v>0</v>
      </c>
    </row>
    <row r="3877" spans="1:1" x14ac:dyDescent="0.25">
      <c r="A3877" s="9">
        <f t="shared" si="84"/>
        <v>0</v>
      </c>
    </row>
    <row r="3878" spans="1:1" x14ac:dyDescent="0.25">
      <c r="A3878" s="9">
        <f t="shared" si="84"/>
        <v>0</v>
      </c>
    </row>
    <row r="3879" spans="1:1" x14ac:dyDescent="0.25">
      <c r="A3879" s="9">
        <f t="shared" si="84"/>
        <v>0</v>
      </c>
    </row>
    <row r="3880" spans="1:1" x14ac:dyDescent="0.25">
      <c r="A3880" s="9">
        <f t="shared" si="84"/>
        <v>0</v>
      </c>
    </row>
    <row r="3881" spans="1:1" x14ac:dyDescent="0.25">
      <c r="A3881" s="9">
        <f t="shared" si="84"/>
        <v>0</v>
      </c>
    </row>
    <row r="3882" spans="1:1" x14ac:dyDescent="0.25">
      <c r="A3882" s="9">
        <f t="shared" si="84"/>
        <v>0</v>
      </c>
    </row>
    <row r="3883" spans="1:1" x14ac:dyDescent="0.25">
      <c r="A3883" s="9">
        <f t="shared" si="84"/>
        <v>0</v>
      </c>
    </row>
    <row r="3884" spans="1:1" x14ac:dyDescent="0.25">
      <c r="A3884" s="9">
        <f t="shared" si="84"/>
        <v>0</v>
      </c>
    </row>
    <row r="3885" spans="1:1" x14ac:dyDescent="0.25">
      <c r="A3885" s="9">
        <f t="shared" si="84"/>
        <v>0</v>
      </c>
    </row>
    <row r="3886" spans="1:1" x14ac:dyDescent="0.25">
      <c r="A3886" s="9">
        <f t="shared" si="84"/>
        <v>0</v>
      </c>
    </row>
    <row r="3887" spans="1:1" x14ac:dyDescent="0.25">
      <c r="A3887" s="9">
        <f t="shared" si="84"/>
        <v>0</v>
      </c>
    </row>
    <row r="3888" spans="1:1" x14ac:dyDescent="0.25">
      <c r="A3888" s="9">
        <f t="shared" si="84"/>
        <v>0</v>
      </c>
    </row>
    <row r="3889" spans="1:1" x14ac:dyDescent="0.25">
      <c r="A3889" s="9">
        <f t="shared" si="84"/>
        <v>0</v>
      </c>
    </row>
    <row r="3890" spans="1:1" x14ac:dyDescent="0.25">
      <c r="A3890" s="9">
        <f t="shared" si="84"/>
        <v>0</v>
      </c>
    </row>
    <row r="3891" spans="1:1" x14ac:dyDescent="0.25">
      <c r="A3891" s="9">
        <f t="shared" si="84"/>
        <v>0</v>
      </c>
    </row>
    <row r="3892" spans="1:1" x14ac:dyDescent="0.25">
      <c r="A3892" s="9">
        <f t="shared" si="84"/>
        <v>0</v>
      </c>
    </row>
    <row r="3893" spans="1:1" x14ac:dyDescent="0.25">
      <c r="A3893" s="9">
        <f t="shared" si="84"/>
        <v>0</v>
      </c>
    </row>
    <row r="3894" spans="1:1" x14ac:dyDescent="0.25">
      <c r="A3894" s="9">
        <f t="shared" si="84"/>
        <v>0</v>
      </c>
    </row>
    <row r="3895" spans="1:1" x14ac:dyDescent="0.25">
      <c r="A3895" s="9">
        <f t="shared" si="84"/>
        <v>0</v>
      </c>
    </row>
    <row r="3896" spans="1:1" x14ac:dyDescent="0.25">
      <c r="A3896" s="9">
        <f t="shared" si="84"/>
        <v>0</v>
      </c>
    </row>
    <row r="3897" spans="1:1" x14ac:dyDescent="0.25">
      <c r="A3897" s="9">
        <f t="shared" si="84"/>
        <v>0</v>
      </c>
    </row>
    <row r="3898" spans="1:1" x14ac:dyDescent="0.25">
      <c r="A3898" s="9">
        <f t="shared" si="84"/>
        <v>0</v>
      </c>
    </row>
    <row r="3899" spans="1:1" x14ac:dyDescent="0.25">
      <c r="A3899" s="9">
        <f t="shared" si="84"/>
        <v>0</v>
      </c>
    </row>
    <row r="3900" spans="1:1" x14ac:dyDescent="0.25">
      <c r="A3900" s="9">
        <f t="shared" si="84"/>
        <v>0</v>
      </c>
    </row>
    <row r="3901" spans="1:1" x14ac:dyDescent="0.25">
      <c r="A3901" s="9">
        <f t="shared" si="84"/>
        <v>0</v>
      </c>
    </row>
    <row r="3902" spans="1:1" x14ac:dyDescent="0.25">
      <c r="A3902" s="9">
        <f t="shared" si="84"/>
        <v>0</v>
      </c>
    </row>
    <row r="3903" spans="1:1" x14ac:dyDescent="0.25">
      <c r="A3903" s="9">
        <f t="shared" si="84"/>
        <v>0</v>
      </c>
    </row>
    <row r="3904" spans="1:1" x14ac:dyDescent="0.25">
      <c r="A3904" s="9">
        <f t="shared" si="84"/>
        <v>0</v>
      </c>
    </row>
    <row r="3905" spans="1:1" x14ac:dyDescent="0.25">
      <c r="A3905" s="9">
        <f t="shared" si="84"/>
        <v>0</v>
      </c>
    </row>
    <row r="3906" spans="1:1" x14ac:dyDescent="0.25">
      <c r="A3906" s="9">
        <f t="shared" si="84"/>
        <v>0</v>
      </c>
    </row>
    <row r="3907" spans="1:1" x14ac:dyDescent="0.25">
      <c r="A3907" s="9">
        <f t="shared" si="84"/>
        <v>0</v>
      </c>
    </row>
    <row r="3908" spans="1:1" x14ac:dyDescent="0.25">
      <c r="A3908" s="9">
        <f t="shared" si="84"/>
        <v>0</v>
      </c>
    </row>
    <row r="3909" spans="1:1" x14ac:dyDescent="0.25">
      <c r="A3909" s="9">
        <f t="shared" si="84"/>
        <v>0</v>
      </c>
    </row>
    <row r="3910" spans="1:1" x14ac:dyDescent="0.25">
      <c r="A3910" s="9">
        <f t="shared" si="84"/>
        <v>0</v>
      </c>
    </row>
    <row r="3911" spans="1:1" x14ac:dyDescent="0.25">
      <c r="A3911" s="9">
        <f t="shared" si="84"/>
        <v>0</v>
      </c>
    </row>
    <row r="3912" spans="1:1" x14ac:dyDescent="0.25">
      <c r="A3912" s="9">
        <f t="shared" si="84"/>
        <v>0</v>
      </c>
    </row>
    <row r="3913" spans="1:1" x14ac:dyDescent="0.25">
      <c r="A3913" s="9">
        <f t="shared" si="84"/>
        <v>0</v>
      </c>
    </row>
    <row r="3914" spans="1:1" x14ac:dyDescent="0.25">
      <c r="A3914" s="9">
        <f t="shared" si="84"/>
        <v>0</v>
      </c>
    </row>
    <row r="3915" spans="1:1" x14ac:dyDescent="0.25">
      <c r="A3915" s="9">
        <f t="shared" si="84"/>
        <v>0</v>
      </c>
    </row>
    <row r="3916" spans="1:1" x14ac:dyDescent="0.25">
      <c r="A3916" s="9">
        <f t="shared" ref="A3916:A3979" si="85">IF(G3916&gt;0,1,0)</f>
        <v>0</v>
      </c>
    </row>
    <row r="3917" spans="1:1" x14ac:dyDescent="0.25">
      <c r="A3917" s="9">
        <f t="shared" si="85"/>
        <v>0</v>
      </c>
    </row>
    <row r="3918" spans="1:1" x14ac:dyDescent="0.25">
      <c r="A3918" s="9">
        <f t="shared" si="85"/>
        <v>0</v>
      </c>
    </row>
    <row r="3919" spans="1:1" x14ac:dyDescent="0.25">
      <c r="A3919" s="9">
        <f t="shared" si="85"/>
        <v>0</v>
      </c>
    </row>
    <row r="3920" spans="1:1" x14ac:dyDescent="0.25">
      <c r="A3920" s="9">
        <f t="shared" si="85"/>
        <v>0</v>
      </c>
    </row>
    <row r="3921" spans="1:1" x14ac:dyDescent="0.25">
      <c r="A3921" s="9">
        <f t="shared" si="85"/>
        <v>0</v>
      </c>
    </row>
    <row r="3922" spans="1:1" x14ac:dyDescent="0.25">
      <c r="A3922" s="9">
        <f t="shared" si="85"/>
        <v>0</v>
      </c>
    </row>
    <row r="3923" spans="1:1" x14ac:dyDescent="0.25">
      <c r="A3923" s="9">
        <f t="shared" si="85"/>
        <v>0</v>
      </c>
    </row>
    <row r="3924" spans="1:1" x14ac:dyDescent="0.25">
      <c r="A3924" s="9">
        <f t="shared" si="85"/>
        <v>0</v>
      </c>
    </row>
    <row r="3925" spans="1:1" x14ac:dyDescent="0.25">
      <c r="A3925" s="9">
        <f t="shared" si="85"/>
        <v>0</v>
      </c>
    </row>
    <row r="3926" spans="1:1" x14ac:dyDescent="0.25">
      <c r="A3926" s="9">
        <f t="shared" si="85"/>
        <v>0</v>
      </c>
    </row>
    <row r="3927" spans="1:1" x14ac:dyDescent="0.25">
      <c r="A3927" s="9">
        <f t="shared" si="85"/>
        <v>0</v>
      </c>
    </row>
    <row r="3928" spans="1:1" x14ac:dyDescent="0.25">
      <c r="A3928" s="9">
        <f t="shared" si="85"/>
        <v>0</v>
      </c>
    </row>
    <row r="3929" spans="1:1" x14ac:dyDescent="0.25">
      <c r="A3929" s="9">
        <f t="shared" si="85"/>
        <v>0</v>
      </c>
    </row>
    <row r="3930" spans="1:1" x14ac:dyDescent="0.25">
      <c r="A3930" s="9">
        <f t="shared" si="85"/>
        <v>0</v>
      </c>
    </row>
    <row r="3931" spans="1:1" x14ac:dyDescent="0.25">
      <c r="A3931" s="9">
        <f t="shared" si="85"/>
        <v>0</v>
      </c>
    </row>
    <row r="3932" spans="1:1" x14ac:dyDescent="0.25">
      <c r="A3932" s="9">
        <f t="shared" si="85"/>
        <v>0</v>
      </c>
    </row>
    <row r="3933" spans="1:1" x14ac:dyDescent="0.25">
      <c r="A3933" s="9">
        <f t="shared" si="85"/>
        <v>0</v>
      </c>
    </row>
    <row r="3934" spans="1:1" x14ac:dyDescent="0.25">
      <c r="A3934" s="9">
        <f t="shared" si="85"/>
        <v>0</v>
      </c>
    </row>
    <row r="3935" spans="1:1" x14ac:dyDescent="0.25">
      <c r="A3935" s="9">
        <f t="shared" si="85"/>
        <v>0</v>
      </c>
    </row>
    <row r="3936" spans="1:1" x14ac:dyDescent="0.25">
      <c r="A3936" s="9">
        <f t="shared" si="85"/>
        <v>0</v>
      </c>
    </row>
    <row r="3937" spans="1:1" x14ac:dyDescent="0.25">
      <c r="A3937" s="9">
        <f t="shared" si="85"/>
        <v>0</v>
      </c>
    </row>
    <row r="3938" spans="1:1" x14ac:dyDescent="0.25">
      <c r="A3938" s="9">
        <f t="shared" si="85"/>
        <v>0</v>
      </c>
    </row>
    <row r="3939" spans="1:1" x14ac:dyDescent="0.25">
      <c r="A3939" s="9">
        <f t="shared" si="85"/>
        <v>0</v>
      </c>
    </row>
    <row r="3940" spans="1:1" x14ac:dyDescent="0.25">
      <c r="A3940" s="9">
        <f t="shared" si="85"/>
        <v>0</v>
      </c>
    </row>
    <row r="3941" spans="1:1" x14ac:dyDescent="0.25">
      <c r="A3941" s="9">
        <f t="shared" si="85"/>
        <v>0</v>
      </c>
    </row>
    <row r="3942" spans="1:1" x14ac:dyDescent="0.25">
      <c r="A3942" s="9">
        <f t="shared" si="85"/>
        <v>0</v>
      </c>
    </row>
    <row r="3943" spans="1:1" x14ac:dyDescent="0.25">
      <c r="A3943" s="9">
        <f t="shared" si="85"/>
        <v>0</v>
      </c>
    </row>
    <row r="3944" spans="1:1" x14ac:dyDescent="0.25">
      <c r="A3944" s="9">
        <f t="shared" si="85"/>
        <v>0</v>
      </c>
    </row>
    <row r="3945" spans="1:1" x14ac:dyDescent="0.25">
      <c r="A3945" s="9">
        <f t="shared" si="85"/>
        <v>0</v>
      </c>
    </row>
    <row r="3946" spans="1:1" x14ac:dyDescent="0.25">
      <c r="A3946" s="9">
        <f t="shared" si="85"/>
        <v>0</v>
      </c>
    </row>
    <row r="3947" spans="1:1" x14ac:dyDescent="0.25">
      <c r="A3947" s="9">
        <f t="shared" si="85"/>
        <v>0</v>
      </c>
    </row>
    <row r="3948" spans="1:1" x14ac:dyDescent="0.25">
      <c r="A3948" s="9">
        <f t="shared" si="85"/>
        <v>0</v>
      </c>
    </row>
    <row r="3949" spans="1:1" x14ac:dyDescent="0.25">
      <c r="A3949" s="9">
        <f t="shared" si="85"/>
        <v>0</v>
      </c>
    </row>
    <row r="3950" spans="1:1" x14ac:dyDescent="0.25">
      <c r="A3950" s="9">
        <f t="shared" si="85"/>
        <v>0</v>
      </c>
    </row>
    <row r="3951" spans="1:1" x14ac:dyDescent="0.25">
      <c r="A3951" s="9">
        <f t="shared" si="85"/>
        <v>0</v>
      </c>
    </row>
    <row r="3952" spans="1:1" x14ac:dyDescent="0.25">
      <c r="A3952" s="9">
        <f t="shared" si="85"/>
        <v>0</v>
      </c>
    </row>
    <row r="3953" spans="1:1" x14ac:dyDescent="0.25">
      <c r="A3953" s="9">
        <f t="shared" si="85"/>
        <v>0</v>
      </c>
    </row>
    <row r="3954" spans="1:1" x14ac:dyDescent="0.25">
      <c r="A3954" s="9">
        <f t="shared" si="85"/>
        <v>0</v>
      </c>
    </row>
    <row r="3955" spans="1:1" x14ac:dyDescent="0.25">
      <c r="A3955" s="9">
        <f t="shared" si="85"/>
        <v>0</v>
      </c>
    </row>
    <row r="3956" spans="1:1" x14ac:dyDescent="0.25">
      <c r="A3956" s="9">
        <f t="shared" si="85"/>
        <v>0</v>
      </c>
    </row>
    <row r="3957" spans="1:1" x14ac:dyDescent="0.25">
      <c r="A3957" s="9">
        <f t="shared" si="85"/>
        <v>0</v>
      </c>
    </row>
    <row r="3958" spans="1:1" x14ac:dyDescent="0.25">
      <c r="A3958" s="9">
        <f t="shared" si="85"/>
        <v>0</v>
      </c>
    </row>
    <row r="3959" spans="1:1" x14ac:dyDescent="0.25">
      <c r="A3959" s="9">
        <f t="shared" si="85"/>
        <v>0</v>
      </c>
    </row>
    <row r="3960" spans="1:1" x14ac:dyDescent="0.25">
      <c r="A3960" s="9">
        <f t="shared" si="85"/>
        <v>0</v>
      </c>
    </row>
    <row r="3961" spans="1:1" x14ac:dyDescent="0.25">
      <c r="A3961" s="9">
        <f t="shared" si="85"/>
        <v>0</v>
      </c>
    </row>
    <row r="3962" spans="1:1" x14ac:dyDescent="0.25">
      <c r="A3962" s="9">
        <f t="shared" si="85"/>
        <v>0</v>
      </c>
    </row>
    <row r="3963" spans="1:1" x14ac:dyDescent="0.25">
      <c r="A3963" s="9">
        <f t="shared" si="85"/>
        <v>0</v>
      </c>
    </row>
    <row r="3964" spans="1:1" x14ac:dyDescent="0.25">
      <c r="A3964" s="9">
        <f t="shared" si="85"/>
        <v>0</v>
      </c>
    </row>
    <row r="3965" spans="1:1" x14ac:dyDescent="0.25">
      <c r="A3965" s="9">
        <f t="shared" si="85"/>
        <v>0</v>
      </c>
    </row>
    <row r="3966" spans="1:1" x14ac:dyDescent="0.25">
      <c r="A3966" s="9">
        <f t="shared" si="85"/>
        <v>0</v>
      </c>
    </row>
    <row r="3967" spans="1:1" x14ac:dyDescent="0.25">
      <c r="A3967" s="9">
        <f t="shared" si="85"/>
        <v>0</v>
      </c>
    </row>
    <row r="3968" spans="1:1" x14ac:dyDescent="0.25">
      <c r="A3968" s="9">
        <f t="shared" si="85"/>
        <v>0</v>
      </c>
    </row>
    <row r="3969" spans="1:1" x14ac:dyDescent="0.25">
      <c r="A3969" s="9">
        <f t="shared" si="85"/>
        <v>0</v>
      </c>
    </row>
    <row r="3970" spans="1:1" x14ac:dyDescent="0.25">
      <c r="A3970" s="9">
        <f t="shared" si="85"/>
        <v>0</v>
      </c>
    </row>
    <row r="3971" spans="1:1" x14ac:dyDescent="0.25">
      <c r="A3971" s="9">
        <f t="shared" si="85"/>
        <v>0</v>
      </c>
    </row>
    <row r="3972" spans="1:1" x14ac:dyDescent="0.25">
      <c r="A3972" s="9">
        <f t="shared" si="85"/>
        <v>0</v>
      </c>
    </row>
    <row r="3973" spans="1:1" x14ac:dyDescent="0.25">
      <c r="A3973" s="9">
        <f t="shared" si="85"/>
        <v>0</v>
      </c>
    </row>
    <row r="3974" spans="1:1" x14ac:dyDescent="0.25">
      <c r="A3974" s="9">
        <f t="shared" si="85"/>
        <v>0</v>
      </c>
    </row>
    <row r="3975" spans="1:1" x14ac:dyDescent="0.25">
      <c r="A3975" s="9">
        <f t="shared" si="85"/>
        <v>0</v>
      </c>
    </row>
    <row r="3976" spans="1:1" x14ac:dyDescent="0.25">
      <c r="A3976" s="9">
        <f t="shared" si="85"/>
        <v>0</v>
      </c>
    </row>
    <row r="3977" spans="1:1" x14ac:dyDescent="0.25">
      <c r="A3977" s="9">
        <f t="shared" si="85"/>
        <v>0</v>
      </c>
    </row>
    <row r="3978" spans="1:1" x14ac:dyDescent="0.25">
      <c r="A3978" s="9">
        <f t="shared" si="85"/>
        <v>0</v>
      </c>
    </row>
    <row r="3979" spans="1:1" x14ac:dyDescent="0.25">
      <c r="A3979" s="9">
        <f t="shared" si="85"/>
        <v>0</v>
      </c>
    </row>
    <row r="3980" spans="1:1" x14ac:dyDescent="0.25">
      <c r="A3980" s="9">
        <f t="shared" ref="A3980:A4043" si="86">IF(G3980&gt;0,1,0)</f>
        <v>0</v>
      </c>
    </row>
    <row r="3981" spans="1:1" x14ac:dyDescent="0.25">
      <c r="A3981" s="9">
        <f t="shared" si="86"/>
        <v>0</v>
      </c>
    </row>
    <row r="3982" spans="1:1" x14ac:dyDescent="0.25">
      <c r="A3982" s="9">
        <f t="shared" si="86"/>
        <v>0</v>
      </c>
    </row>
    <row r="3983" spans="1:1" x14ac:dyDescent="0.25">
      <c r="A3983" s="9">
        <f t="shared" si="86"/>
        <v>0</v>
      </c>
    </row>
    <row r="3984" spans="1:1" x14ac:dyDescent="0.25">
      <c r="A3984" s="9">
        <f t="shared" si="86"/>
        <v>0</v>
      </c>
    </row>
    <row r="3985" spans="1:1" x14ac:dyDescent="0.25">
      <c r="A3985" s="9">
        <f t="shared" si="86"/>
        <v>0</v>
      </c>
    </row>
    <row r="3986" spans="1:1" x14ac:dyDescent="0.25">
      <c r="A3986" s="9">
        <f t="shared" si="86"/>
        <v>0</v>
      </c>
    </row>
    <row r="3987" spans="1:1" x14ac:dyDescent="0.25">
      <c r="A3987" s="9">
        <f t="shared" si="86"/>
        <v>0</v>
      </c>
    </row>
    <row r="3988" spans="1:1" x14ac:dyDescent="0.25">
      <c r="A3988" s="9">
        <f t="shared" si="86"/>
        <v>0</v>
      </c>
    </row>
    <row r="3989" spans="1:1" x14ac:dyDescent="0.25">
      <c r="A3989" s="9">
        <f t="shared" si="86"/>
        <v>0</v>
      </c>
    </row>
    <row r="3990" spans="1:1" x14ac:dyDescent="0.25">
      <c r="A3990" s="9">
        <f t="shared" si="86"/>
        <v>0</v>
      </c>
    </row>
    <row r="3991" spans="1:1" x14ac:dyDescent="0.25">
      <c r="A3991" s="9">
        <f t="shared" si="86"/>
        <v>0</v>
      </c>
    </row>
    <row r="3992" spans="1:1" x14ac:dyDescent="0.25">
      <c r="A3992" s="9">
        <f t="shared" si="86"/>
        <v>0</v>
      </c>
    </row>
    <row r="3993" spans="1:1" x14ac:dyDescent="0.25">
      <c r="A3993" s="9">
        <f t="shared" si="86"/>
        <v>0</v>
      </c>
    </row>
    <row r="3994" spans="1:1" x14ac:dyDescent="0.25">
      <c r="A3994" s="9">
        <f t="shared" si="86"/>
        <v>0</v>
      </c>
    </row>
    <row r="3995" spans="1:1" x14ac:dyDescent="0.25">
      <c r="A3995" s="9">
        <f t="shared" si="86"/>
        <v>0</v>
      </c>
    </row>
    <row r="3996" spans="1:1" x14ac:dyDescent="0.25">
      <c r="A3996" s="9">
        <f t="shared" si="86"/>
        <v>0</v>
      </c>
    </row>
    <row r="3997" spans="1:1" x14ac:dyDescent="0.25">
      <c r="A3997" s="9">
        <f t="shared" si="86"/>
        <v>0</v>
      </c>
    </row>
    <row r="3998" spans="1:1" x14ac:dyDescent="0.25">
      <c r="A3998" s="9">
        <f t="shared" si="86"/>
        <v>0</v>
      </c>
    </row>
    <row r="3999" spans="1:1" x14ac:dyDescent="0.25">
      <c r="A3999" s="9">
        <f t="shared" si="86"/>
        <v>0</v>
      </c>
    </row>
    <row r="4000" spans="1:1" x14ac:dyDescent="0.25">
      <c r="A4000" s="9">
        <f t="shared" si="86"/>
        <v>0</v>
      </c>
    </row>
    <row r="4001" spans="1:1" x14ac:dyDescent="0.25">
      <c r="A4001" s="9">
        <f t="shared" si="86"/>
        <v>0</v>
      </c>
    </row>
    <row r="4002" spans="1:1" x14ac:dyDescent="0.25">
      <c r="A4002" s="9">
        <f t="shared" si="86"/>
        <v>0</v>
      </c>
    </row>
    <row r="4003" spans="1:1" x14ac:dyDescent="0.25">
      <c r="A4003" s="9">
        <f t="shared" si="86"/>
        <v>0</v>
      </c>
    </row>
    <row r="4004" spans="1:1" x14ac:dyDescent="0.25">
      <c r="A4004" s="9">
        <f t="shared" si="86"/>
        <v>0</v>
      </c>
    </row>
    <row r="4005" spans="1:1" x14ac:dyDescent="0.25">
      <c r="A4005" s="9">
        <f t="shared" si="86"/>
        <v>0</v>
      </c>
    </row>
    <row r="4006" spans="1:1" x14ac:dyDescent="0.25">
      <c r="A4006" s="9">
        <f t="shared" si="86"/>
        <v>0</v>
      </c>
    </row>
    <row r="4007" spans="1:1" x14ac:dyDescent="0.25">
      <c r="A4007" s="9">
        <f t="shared" si="86"/>
        <v>0</v>
      </c>
    </row>
    <row r="4008" spans="1:1" x14ac:dyDescent="0.25">
      <c r="A4008" s="9">
        <f t="shared" si="86"/>
        <v>0</v>
      </c>
    </row>
    <row r="4009" spans="1:1" x14ac:dyDescent="0.25">
      <c r="A4009" s="9">
        <f t="shared" si="86"/>
        <v>0</v>
      </c>
    </row>
    <row r="4010" spans="1:1" x14ac:dyDescent="0.25">
      <c r="A4010" s="9">
        <f t="shared" si="86"/>
        <v>0</v>
      </c>
    </row>
    <row r="4011" spans="1:1" x14ac:dyDescent="0.25">
      <c r="A4011" s="9">
        <f t="shared" si="86"/>
        <v>0</v>
      </c>
    </row>
    <row r="4012" spans="1:1" x14ac:dyDescent="0.25">
      <c r="A4012" s="9">
        <f t="shared" si="86"/>
        <v>0</v>
      </c>
    </row>
    <row r="4013" spans="1:1" x14ac:dyDescent="0.25">
      <c r="A4013" s="9">
        <f t="shared" si="86"/>
        <v>0</v>
      </c>
    </row>
    <row r="4014" spans="1:1" x14ac:dyDescent="0.25">
      <c r="A4014" s="9">
        <f t="shared" si="86"/>
        <v>0</v>
      </c>
    </row>
    <row r="4015" spans="1:1" x14ac:dyDescent="0.25">
      <c r="A4015" s="9">
        <f t="shared" si="86"/>
        <v>0</v>
      </c>
    </row>
    <row r="4016" spans="1:1" x14ac:dyDescent="0.25">
      <c r="A4016" s="9">
        <f t="shared" si="86"/>
        <v>0</v>
      </c>
    </row>
    <row r="4017" spans="1:1" x14ac:dyDescent="0.25">
      <c r="A4017" s="9">
        <f t="shared" si="86"/>
        <v>0</v>
      </c>
    </row>
    <row r="4018" spans="1:1" x14ac:dyDescent="0.25">
      <c r="A4018" s="9">
        <f t="shared" si="86"/>
        <v>0</v>
      </c>
    </row>
    <row r="4019" spans="1:1" x14ac:dyDescent="0.25">
      <c r="A4019" s="9">
        <f t="shared" si="86"/>
        <v>0</v>
      </c>
    </row>
    <row r="4020" spans="1:1" x14ac:dyDescent="0.25">
      <c r="A4020" s="9">
        <f t="shared" si="86"/>
        <v>0</v>
      </c>
    </row>
    <row r="4021" spans="1:1" x14ac:dyDescent="0.25">
      <c r="A4021" s="9">
        <f t="shared" si="86"/>
        <v>0</v>
      </c>
    </row>
    <row r="4022" spans="1:1" x14ac:dyDescent="0.25">
      <c r="A4022" s="9">
        <f t="shared" si="86"/>
        <v>0</v>
      </c>
    </row>
    <row r="4023" spans="1:1" x14ac:dyDescent="0.25">
      <c r="A4023" s="9">
        <f t="shared" si="86"/>
        <v>0</v>
      </c>
    </row>
    <row r="4024" spans="1:1" x14ac:dyDescent="0.25">
      <c r="A4024" s="9">
        <f t="shared" si="86"/>
        <v>0</v>
      </c>
    </row>
    <row r="4025" spans="1:1" x14ac:dyDescent="0.25">
      <c r="A4025" s="9">
        <f t="shared" si="86"/>
        <v>0</v>
      </c>
    </row>
    <row r="4026" spans="1:1" x14ac:dyDescent="0.25">
      <c r="A4026" s="9">
        <f t="shared" si="86"/>
        <v>0</v>
      </c>
    </row>
    <row r="4027" spans="1:1" x14ac:dyDescent="0.25">
      <c r="A4027" s="9">
        <f t="shared" si="86"/>
        <v>0</v>
      </c>
    </row>
    <row r="4028" spans="1:1" x14ac:dyDescent="0.25">
      <c r="A4028" s="9">
        <f t="shared" si="86"/>
        <v>0</v>
      </c>
    </row>
    <row r="4029" spans="1:1" x14ac:dyDescent="0.25">
      <c r="A4029" s="9">
        <f t="shared" si="86"/>
        <v>0</v>
      </c>
    </row>
    <row r="4030" spans="1:1" x14ac:dyDescent="0.25">
      <c r="A4030" s="9">
        <f t="shared" si="86"/>
        <v>0</v>
      </c>
    </row>
    <row r="4031" spans="1:1" x14ac:dyDescent="0.25">
      <c r="A4031" s="9">
        <f t="shared" si="86"/>
        <v>0</v>
      </c>
    </row>
    <row r="4032" spans="1:1" x14ac:dyDescent="0.25">
      <c r="A4032" s="9">
        <f t="shared" si="86"/>
        <v>0</v>
      </c>
    </row>
    <row r="4033" spans="1:1" x14ac:dyDescent="0.25">
      <c r="A4033" s="9">
        <f t="shared" si="86"/>
        <v>0</v>
      </c>
    </row>
    <row r="4034" spans="1:1" x14ac:dyDescent="0.25">
      <c r="A4034" s="9">
        <f t="shared" si="86"/>
        <v>0</v>
      </c>
    </row>
    <row r="4035" spans="1:1" x14ac:dyDescent="0.25">
      <c r="A4035" s="9">
        <f t="shared" si="86"/>
        <v>0</v>
      </c>
    </row>
    <row r="4036" spans="1:1" x14ac:dyDescent="0.25">
      <c r="A4036" s="9">
        <f t="shared" si="86"/>
        <v>0</v>
      </c>
    </row>
    <row r="4037" spans="1:1" x14ac:dyDescent="0.25">
      <c r="A4037" s="9">
        <f t="shared" si="86"/>
        <v>0</v>
      </c>
    </row>
    <row r="4038" spans="1:1" x14ac:dyDescent="0.25">
      <c r="A4038" s="9">
        <f t="shared" si="86"/>
        <v>0</v>
      </c>
    </row>
    <row r="4039" spans="1:1" x14ac:dyDescent="0.25">
      <c r="A4039" s="9">
        <f t="shared" si="86"/>
        <v>0</v>
      </c>
    </row>
    <row r="4040" spans="1:1" x14ac:dyDescent="0.25">
      <c r="A4040" s="9">
        <f t="shared" si="86"/>
        <v>0</v>
      </c>
    </row>
    <row r="4041" spans="1:1" x14ac:dyDescent="0.25">
      <c r="A4041" s="9">
        <f t="shared" si="86"/>
        <v>0</v>
      </c>
    </row>
    <row r="4042" spans="1:1" x14ac:dyDescent="0.25">
      <c r="A4042" s="9">
        <f t="shared" si="86"/>
        <v>0</v>
      </c>
    </row>
    <row r="4043" spans="1:1" x14ac:dyDescent="0.25">
      <c r="A4043" s="9">
        <f t="shared" si="86"/>
        <v>0</v>
      </c>
    </row>
    <row r="4044" spans="1:1" x14ac:dyDescent="0.25">
      <c r="A4044" s="9">
        <f t="shared" ref="A4044:A4107" si="87">IF(G4044&gt;0,1,0)</f>
        <v>0</v>
      </c>
    </row>
    <row r="4045" spans="1:1" x14ac:dyDescent="0.25">
      <c r="A4045" s="9">
        <f t="shared" si="87"/>
        <v>0</v>
      </c>
    </row>
    <row r="4046" spans="1:1" x14ac:dyDescent="0.25">
      <c r="A4046" s="9">
        <f t="shared" si="87"/>
        <v>0</v>
      </c>
    </row>
    <row r="4047" spans="1:1" x14ac:dyDescent="0.25">
      <c r="A4047" s="9">
        <f t="shared" si="87"/>
        <v>0</v>
      </c>
    </row>
    <row r="4048" spans="1:1" x14ac:dyDescent="0.25">
      <c r="A4048" s="9">
        <f t="shared" si="87"/>
        <v>0</v>
      </c>
    </row>
    <row r="4049" spans="1:1" x14ac:dyDescent="0.25">
      <c r="A4049" s="9">
        <f t="shared" si="87"/>
        <v>0</v>
      </c>
    </row>
    <row r="4050" spans="1:1" x14ac:dyDescent="0.25">
      <c r="A4050" s="9">
        <f t="shared" si="87"/>
        <v>0</v>
      </c>
    </row>
    <row r="4051" spans="1:1" x14ac:dyDescent="0.25">
      <c r="A4051" s="9">
        <f t="shared" si="87"/>
        <v>0</v>
      </c>
    </row>
    <row r="4052" spans="1:1" x14ac:dyDescent="0.25">
      <c r="A4052" s="9">
        <f t="shared" si="87"/>
        <v>0</v>
      </c>
    </row>
    <row r="4053" spans="1:1" x14ac:dyDescent="0.25">
      <c r="A4053" s="9">
        <f t="shared" si="87"/>
        <v>0</v>
      </c>
    </row>
    <row r="4054" spans="1:1" x14ac:dyDescent="0.25">
      <c r="A4054" s="9">
        <f t="shared" si="87"/>
        <v>0</v>
      </c>
    </row>
    <row r="4055" spans="1:1" x14ac:dyDescent="0.25">
      <c r="A4055" s="9">
        <f t="shared" si="87"/>
        <v>0</v>
      </c>
    </row>
    <row r="4056" spans="1:1" x14ac:dyDescent="0.25">
      <c r="A4056" s="9">
        <f t="shared" si="87"/>
        <v>0</v>
      </c>
    </row>
    <row r="4057" spans="1:1" x14ac:dyDescent="0.25">
      <c r="A4057" s="9">
        <f t="shared" si="87"/>
        <v>0</v>
      </c>
    </row>
    <row r="4058" spans="1:1" x14ac:dyDescent="0.25">
      <c r="A4058" s="9">
        <f t="shared" si="87"/>
        <v>0</v>
      </c>
    </row>
    <row r="4059" spans="1:1" x14ac:dyDescent="0.25">
      <c r="A4059" s="9">
        <f t="shared" si="87"/>
        <v>0</v>
      </c>
    </row>
    <row r="4060" spans="1:1" x14ac:dyDescent="0.25">
      <c r="A4060" s="9">
        <f t="shared" si="87"/>
        <v>0</v>
      </c>
    </row>
    <row r="4061" spans="1:1" x14ac:dyDescent="0.25">
      <c r="A4061" s="9">
        <f t="shared" si="87"/>
        <v>0</v>
      </c>
    </row>
    <row r="4062" spans="1:1" x14ac:dyDescent="0.25">
      <c r="A4062" s="9">
        <f t="shared" si="87"/>
        <v>0</v>
      </c>
    </row>
    <row r="4063" spans="1:1" x14ac:dyDescent="0.25">
      <c r="A4063" s="9">
        <f t="shared" si="87"/>
        <v>0</v>
      </c>
    </row>
    <row r="4064" spans="1:1" x14ac:dyDescent="0.25">
      <c r="A4064" s="9">
        <f t="shared" si="87"/>
        <v>0</v>
      </c>
    </row>
    <row r="4065" spans="1:1" x14ac:dyDescent="0.25">
      <c r="A4065" s="9">
        <f t="shared" si="87"/>
        <v>0</v>
      </c>
    </row>
    <row r="4066" spans="1:1" x14ac:dyDescent="0.25">
      <c r="A4066" s="9">
        <f t="shared" si="87"/>
        <v>0</v>
      </c>
    </row>
    <row r="4067" spans="1:1" x14ac:dyDescent="0.25">
      <c r="A4067" s="9">
        <f t="shared" si="87"/>
        <v>0</v>
      </c>
    </row>
    <row r="4068" spans="1:1" x14ac:dyDescent="0.25">
      <c r="A4068" s="9">
        <f t="shared" si="87"/>
        <v>0</v>
      </c>
    </row>
    <row r="4069" spans="1:1" x14ac:dyDescent="0.25">
      <c r="A4069" s="9">
        <f t="shared" si="87"/>
        <v>0</v>
      </c>
    </row>
    <row r="4070" spans="1:1" x14ac:dyDescent="0.25">
      <c r="A4070" s="9">
        <f t="shared" si="87"/>
        <v>0</v>
      </c>
    </row>
    <row r="4071" spans="1:1" x14ac:dyDescent="0.25">
      <c r="A4071" s="9">
        <f t="shared" si="87"/>
        <v>0</v>
      </c>
    </row>
    <row r="4072" spans="1:1" x14ac:dyDescent="0.25">
      <c r="A4072" s="9">
        <f t="shared" si="87"/>
        <v>0</v>
      </c>
    </row>
    <row r="4073" spans="1:1" x14ac:dyDescent="0.25">
      <c r="A4073" s="9">
        <f t="shared" si="87"/>
        <v>0</v>
      </c>
    </row>
    <row r="4074" spans="1:1" x14ac:dyDescent="0.25">
      <c r="A4074" s="9">
        <f t="shared" si="87"/>
        <v>0</v>
      </c>
    </row>
    <row r="4075" spans="1:1" x14ac:dyDescent="0.25">
      <c r="A4075" s="9">
        <f t="shared" si="87"/>
        <v>0</v>
      </c>
    </row>
    <row r="4076" spans="1:1" x14ac:dyDescent="0.25">
      <c r="A4076" s="9">
        <f t="shared" si="87"/>
        <v>0</v>
      </c>
    </row>
    <row r="4077" spans="1:1" x14ac:dyDescent="0.25">
      <c r="A4077" s="9">
        <f t="shared" si="87"/>
        <v>0</v>
      </c>
    </row>
    <row r="4078" spans="1:1" x14ac:dyDescent="0.25">
      <c r="A4078" s="9">
        <f t="shared" si="87"/>
        <v>0</v>
      </c>
    </row>
    <row r="4079" spans="1:1" x14ac:dyDescent="0.25">
      <c r="A4079" s="9">
        <f t="shared" si="87"/>
        <v>0</v>
      </c>
    </row>
    <row r="4080" spans="1:1" x14ac:dyDescent="0.25">
      <c r="A4080" s="9">
        <f t="shared" si="87"/>
        <v>0</v>
      </c>
    </row>
    <row r="4081" spans="1:1" x14ac:dyDescent="0.25">
      <c r="A4081" s="9">
        <f t="shared" si="87"/>
        <v>0</v>
      </c>
    </row>
    <row r="4082" spans="1:1" x14ac:dyDescent="0.25">
      <c r="A4082" s="9">
        <f t="shared" si="87"/>
        <v>0</v>
      </c>
    </row>
    <row r="4083" spans="1:1" x14ac:dyDescent="0.25">
      <c r="A4083" s="9">
        <f t="shared" si="87"/>
        <v>0</v>
      </c>
    </row>
    <row r="4084" spans="1:1" x14ac:dyDescent="0.25">
      <c r="A4084" s="9">
        <f t="shared" si="87"/>
        <v>0</v>
      </c>
    </row>
    <row r="4085" spans="1:1" x14ac:dyDescent="0.25">
      <c r="A4085" s="9">
        <f t="shared" si="87"/>
        <v>0</v>
      </c>
    </row>
    <row r="4086" spans="1:1" x14ac:dyDescent="0.25">
      <c r="A4086" s="9">
        <f t="shared" si="87"/>
        <v>0</v>
      </c>
    </row>
    <row r="4087" spans="1:1" x14ac:dyDescent="0.25">
      <c r="A4087" s="9">
        <f t="shared" si="87"/>
        <v>0</v>
      </c>
    </row>
    <row r="4088" spans="1:1" x14ac:dyDescent="0.25">
      <c r="A4088" s="9">
        <f t="shared" si="87"/>
        <v>0</v>
      </c>
    </row>
    <row r="4089" spans="1:1" x14ac:dyDescent="0.25">
      <c r="A4089" s="9">
        <f t="shared" si="87"/>
        <v>0</v>
      </c>
    </row>
    <row r="4090" spans="1:1" x14ac:dyDescent="0.25">
      <c r="A4090" s="9">
        <f t="shared" si="87"/>
        <v>0</v>
      </c>
    </row>
    <row r="4091" spans="1:1" x14ac:dyDescent="0.25">
      <c r="A4091" s="9">
        <f t="shared" si="87"/>
        <v>0</v>
      </c>
    </row>
    <row r="4092" spans="1:1" x14ac:dyDescent="0.25">
      <c r="A4092" s="9">
        <f t="shared" si="87"/>
        <v>0</v>
      </c>
    </row>
    <row r="4093" spans="1:1" x14ac:dyDescent="0.25">
      <c r="A4093" s="9">
        <f t="shared" si="87"/>
        <v>0</v>
      </c>
    </row>
    <row r="4094" spans="1:1" x14ac:dyDescent="0.25">
      <c r="A4094" s="9">
        <f t="shared" si="87"/>
        <v>0</v>
      </c>
    </row>
    <row r="4095" spans="1:1" x14ac:dyDescent="0.25">
      <c r="A4095" s="9">
        <f t="shared" si="87"/>
        <v>0</v>
      </c>
    </row>
    <row r="4096" spans="1:1" x14ac:dyDescent="0.25">
      <c r="A4096" s="9">
        <f t="shared" si="87"/>
        <v>0</v>
      </c>
    </row>
    <row r="4097" spans="1:1" x14ac:dyDescent="0.25">
      <c r="A4097" s="9">
        <f t="shared" si="87"/>
        <v>0</v>
      </c>
    </row>
    <row r="4098" spans="1:1" x14ac:dyDescent="0.25">
      <c r="A4098" s="9">
        <f t="shared" si="87"/>
        <v>0</v>
      </c>
    </row>
    <row r="4099" spans="1:1" x14ac:dyDescent="0.25">
      <c r="A4099" s="9">
        <f t="shared" si="87"/>
        <v>0</v>
      </c>
    </row>
    <row r="4100" spans="1:1" x14ac:dyDescent="0.25">
      <c r="A4100" s="9">
        <f t="shared" si="87"/>
        <v>0</v>
      </c>
    </row>
    <row r="4101" spans="1:1" x14ac:dyDescent="0.25">
      <c r="A4101" s="9">
        <f t="shared" si="87"/>
        <v>0</v>
      </c>
    </row>
    <row r="4102" spans="1:1" x14ac:dyDescent="0.25">
      <c r="A4102" s="9">
        <f t="shared" si="87"/>
        <v>0</v>
      </c>
    </row>
    <row r="4103" spans="1:1" x14ac:dyDescent="0.25">
      <c r="A4103" s="9">
        <f t="shared" si="87"/>
        <v>0</v>
      </c>
    </row>
    <row r="4104" spans="1:1" x14ac:dyDescent="0.25">
      <c r="A4104" s="9">
        <f t="shared" si="87"/>
        <v>0</v>
      </c>
    </row>
    <row r="4105" spans="1:1" x14ac:dyDescent="0.25">
      <c r="A4105" s="9">
        <f t="shared" si="87"/>
        <v>0</v>
      </c>
    </row>
    <row r="4106" spans="1:1" x14ac:dyDescent="0.25">
      <c r="A4106" s="9">
        <f t="shared" si="87"/>
        <v>0</v>
      </c>
    </row>
    <row r="4107" spans="1:1" x14ac:dyDescent="0.25">
      <c r="A4107" s="9">
        <f t="shared" si="87"/>
        <v>0</v>
      </c>
    </row>
    <row r="4108" spans="1:1" x14ac:dyDescent="0.25">
      <c r="A4108" s="9">
        <f t="shared" ref="A4108:A4171" si="88">IF(G4108&gt;0,1,0)</f>
        <v>0</v>
      </c>
    </row>
    <row r="4109" spans="1:1" x14ac:dyDescent="0.25">
      <c r="A4109" s="9">
        <f t="shared" si="88"/>
        <v>0</v>
      </c>
    </row>
    <row r="4110" spans="1:1" x14ac:dyDescent="0.25">
      <c r="A4110" s="9">
        <f t="shared" si="88"/>
        <v>0</v>
      </c>
    </row>
    <row r="4111" spans="1:1" x14ac:dyDescent="0.25">
      <c r="A4111" s="9">
        <f t="shared" si="88"/>
        <v>0</v>
      </c>
    </row>
    <row r="4112" spans="1:1" x14ac:dyDescent="0.25">
      <c r="A4112" s="9">
        <f t="shared" si="88"/>
        <v>0</v>
      </c>
    </row>
    <row r="4113" spans="1:1" x14ac:dyDescent="0.25">
      <c r="A4113" s="9">
        <f t="shared" si="88"/>
        <v>0</v>
      </c>
    </row>
    <row r="4114" spans="1:1" x14ac:dyDescent="0.25">
      <c r="A4114" s="9">
        <f t="shared" si="88"/>
        <v>0</v>
      </c>
    </row>
    <row r="4115" spans="1:1" x14ac:dyDescent="0.25">
      <c r="A4115" s="9">
        <f t="shared" si="88"/>
        <v>0</v>
      </c>
    </row>
    <row r="4116" spans="1:1" x14ac:dyDescent="0.25">
      <c r="A4116" s="9">
        <f t="shared" si="88"/>
        <v>0</v>
      </c>
    </row>
    <row r="4117" spans="1:1" x14ac:dyDescent="0.25">
      <c r="A4117" s="9">
        <f t="shared" si="88"/>
        <v>0</v>
      </c>
    </row>
    <row r="4118" spans="1:1" x14ac:dyDescent="0.25">
      <c r="A4118" s="9">
        <f t="shared" si="88"/>
        <v>0</v>
      </c>
    </row>
    <row r="4119" spans="1:1" x14ac:dyDescent="0.25">
      <c r="A4119" s="9">
        <f t="shared" si="88"/>
        <v>0</v>
      </c>
    </row>
    <row r="4120" spans="1:1" x14ac:dyDescent="0.25">
      <c r="A4120" s="9">
        <f t="shared" si="88"/>
        <v>0</v>
      </c>
    </row>
    <row r="4121" spans="1:1" x14ac:dyDescent="0.25">
      <c r="A4121" s="9">
        <f t="shared" si="88"/>
        <v>0</v>
      </c>
    </row>
    <row r="4122" spans="1:1" x14ac:dyDescent="0.25">
      <c r="A4122" s="9">
        <f t="shared" si="88"/>
        <v>0</v>
      </c>
    </row>
    <row r="4123" spans="1:1" x14ac:dyDescent="0.25">
      <c r="A4123" s="9">
        <f t="shared" si="88"/>
        <v>0</v>
      </c>
    </row>
    <row r="4124" spans="1:1" x14ac:dyDescent="0.25">
      <c r="A4124" s="9">
        <f t="shared" si="88"/>
        <v>0</v>
      </c>
    </row>
    <row r="4125" spans="1:1" x14ac:dyDescent="0.25">
      <c r="A4125" s="9">
        <f t="shared" si="88"/>
        <v>0</v>
      </c>
    </row>
    <row r="4126" spans="1:1" x14ac:dyDescent="0.25">
      <c r="A4126" s="9">
        <f t="shared" si="88"/>
        <v>0</v>
      </c>
    </row>
    <row r="4127" spans="1:1" x14ac:dyDescent="0.25">
      <c r="A4127" s="9">
        <f t="shared" si="88"/>
        <v>0</v>
      </c>
    </row>
    <row r="4128" spans="1:1" x14ac:dyDescent="0.25">
      <c r="A4128" s="9">
        <f t="shared" si="88"/>
        <v>0</v>
      </c>
    </row>
    <row r="4129" spans="1:1" x14ac:dyDescent="0.25">
      <c r="A4129" s="9">
        <f t="shared" si="88"/>
        <v>0</v>
      </c>
    </row>
    <row r="4130" spans="1:1" x14ac:dyDescent="0.25">
      <c r="A4130" s="9">
        <f t="shared" si="88"/>
        <v>0</v>
      </c>
    </row>
    <row r="4131" spans="1:1" x14ac:dyDescent="0.25">
      <c r="A4131" s="9">
        <f t="shared" si="88"/>
        <v>0</v>
      </c>
    </row>
    <row r="4132" spans="1:1" x14ac:dyDescent="0.25">
      <c r="A4132" s="9">
        <f t="shared" si="88"/>
        <v>0</v>
      </c>
    </row>
    <row r="4133" spans="1:1" x14ac:dyDescent="0.25">
      <c r="A4133" s="9">
        <f t="shared" si="88"/>
        <v>0</v>
      </c>
    </row>
    <row r="4134" spans="1:1" x14ac:dyDescent="0.25">
      <c r="A4134" s="9">
        <f t="shared" si="88"/>
        <v>0</v>
      </c>
    </row>
    <row r="4135" spans="1:1" x14ac:dyDescent="0.25">
      <c r="A4135" s="9">
        <f t="shared" si="88"/>
        <v>0</v>
      </c>
    </row>
    <row r="4136" spans="1:1" x14ac:dyDescent="0.25">
      <c r="A4136" s="9">
        <f t="shared" si="88"/>
        <v>0</v>
      </c>
    </row>
    <row r="4137" spans="1:1" x14ac:dyDescent="0.25">
      <c r="A4137" s="9">
        <f t="shared" si="88"/>
        <v>0</v>
      </c>
    </row>
    <row r="4138" spans="1:1" x14ac:dyDescent="0.25">
      <c r="A4138" s="9">
        <f t="shared" si="88"/>
        <v>0</v>
      </c>
    </row>
    <row r="4139" spans="1:1" x14ac:dyDescent="0.25">
      <c r="A4139" s="9">
        <f t="shared" si="88"/>
        <v>0</v>
      </c>
    </row>
    <row r="4140" spans="1:1" x14ac:dyDescent="0.25">
      <c r="A4140" s="9">
        <f t="shared" si="88"/>
        <v>0</v>
      </c>
    </row>
    <row r="4141" spans="1:1" x14ac:dyDescent="0.25">
      <c r="A4141" s="9">
        <f t="shared" si="88"/>
        <v>0</v>
      </c>
    </row>
    <row r="4142" spans="1:1" x14ac:dyDescent="0.25">
      <c r="A4142" s="9">
        <f t="shared" si="88"/>
        <v>0</v>
      </c>
    </row>
    <row r="4143" spans="1:1" x14ac:dyDescent="0.25">
      <c r="A4143" s="9">
        <f t="shared" si="88"/>
        <v>0</v>
      </c>
    </row>
    <row r="4144" spans="1:1" x14ac:dyDescent="0.25">
      <c r="A4144" s="9">
        <f t="shared" si="88"/>
        <v>0</v>
      </c>
    </row>
    <row r="4145" spans="1:1" x14ac:dyDescent="0.25">
      <c r="A4145" s="9">
        <f t="shared" si="88"/>
        <v>0</v>
      </c>
    </row>
    <row r="4146" spans="1:1" x14ac:dyDescent="0.25">
      <c r="A4146" s="9">
        <f t="shared" si="88"/>
        <v>0</v>
      </c>
    </row>
    <row r="4147" spans="1:1" x14ac:dyDescent="0.25">
      <c r="A4147" s="9">
        <f t="shared" si="88"/>
        <v>0</v>
      </c>
    </row>
    <row r="4148" spans="1:1" x14ac:dyDescent="0.25">
      <c r="A4148" s="9">
        <f t="shared" si="88"/>
        <v>0</v>
      </c>
    </row>
    <row r="4149" spans="1:1" x14ac:dyDescent="0.25">
      <c r="A4149" s="9">
        <f t="shared" si="88"/>
        <v>0</v>
      </c>
    </row>
    <row r="4150" spans="1:1" x14ac:dyDescent="0.25">
      <c r="A4150" s="9">
        <f t="shared" si="88"/>
        <v>0</v>
      </c>
    </row>
    <row r="4151" spans="1:1" x14ac:dyDescent="0.25">
      <c r="A4151" s="9">
        <f t="shared" si="88"/>
        <v>0</v>
      </c>
    </row>
    <row r="4152" spans="1:1" x14ac:dyDescent="0.25">
      <c r="A4152" s="9">
        <f t="shared" si="88"/>
        <v>0</v>
      </c>
    </row>
    <row r="4153" spans="1:1" x14ac:dyDescent="0.25">
      <c r="A4153" s="9">
        <f t="shared" si="88"/>
        <v>0</v>
      </c>
    </row>
    <row r="4154" spans="1:1" x14ac:dyDescent="0.25">
      <c r="A4154" s="9">
        <f t="shared" si="88"/>
        <v>0</v>
      </c>
    </row>
    <row r="4155" spans="1:1" x14ac:dyDescent="0.25">
      <c r="A4155" s="9">
        <f t="shared" si="88"/>
        <v>0</v>
      </c>
    </row>
    <row r="4156" spans="1:1" x14ac:dyDescent="0.25">
      <c r="A4156" s="9">
        <f t="shared" si="88"/>
        <v>0</v>
      </c>
    </row>
    <row r="4157" spans="1:1" x14ac:dyDescent="0.25">
      <c r="A4157" s="9">
        <f t="shared" si="88"/>
        <v>0</v>
      </c>
    </row>
    <row r="4158" spans="1:1" x14ac:dyDescent="0.25">
      <c r="A4158" s="9">
        <f t="shared" si="88"/>
        <v>0</v>
      </c>
    </row>
    <row r="4159" spans="1:1" x14ac:dyDescent="0.25">
      <c r="A4159" s="9">
        <f t="shared" si="88"/>
        <v>0</v>
      </c>
    </row>
    <row r="4160" spans="1:1" x14ac:dyDescent="0.25">
      <c r="A4160" s="9">
        <f t="shared" si="88"/>
        <v>0</v>
      </c>
    </row>
    <row r="4161" spans="1:1" x14ac:dyDescent="0.25">
      <c r="A4161" s="9">
        <f t="shared" si="88"/>
        <v>0</v>
      </c>
    </row>
    <row r="4162" spans="1:1" x14ac:dyDescent="0.25">
      <c r="A4162" s="9">
        <f t="shared" si="88"/>
        <v>0</v>
      </c>
    </row>
    <row r="4163" spans="1:1" x14ac:dyDescent="0.25">
      <c r="A4163" s="9">
        <f t="shared" si="88"/>
        <v>0</v>
      </c>
    </row>
    <row r="4164" spans="1:1" x14ac:dyDescent="0.25">
      <c r="A4164" s="9">
        <f t="shared" si="88"/>
        <v>0</v>
      </c>
    </row>
    <row r="4165" spans="1:1" x14ac:dyDescent="0.25">
      <c r="A4165" s="9">
        <f t="shared" si="88"/>
        <v>0</v>
      </c>
    </row>
    <row r="4166" spans="1:1" x14ac:dyDescent="0.25">
      <c r="A4166" s="9">
        <f t="shared" si="88"/>
        <v>0</v>
      </c>
    </row>
    <row r="4167" spans="1:1" x14ac:dyDescent="0.25">
      <c r="A4167" s="9">
        <f t="shared" si="88"/>
        <v>0</v>
      </c>
    </row>
    <row r="4168" spans="1:1" x14ac:dyDescent="0.25">
      <c r="A4168" s="9">
        <f t="shared" si="88"/>
        <v>0</v>
      </c>
    </row>
    <row r="4169" spans="1:1" x14ac:dyDescent="0.25">
      <c r="A4169" s="9">
        <f t="shared" si="88"/>
        <v>0</v>
      </c>
    </row>
    <row r="4170" spans="1:1" x14ac:dyDescent="0.25">
      <c r="A4170" s="9">
        <f t="shared" si="88"/>
        <v>0</v>
      </c>
    </row>
    <row r="4171" spans="1:1" x14ac:dyDescent="0.25">
      <c r="A4171" s="9">
        <f t="shared" si="88"/>
        <v>0</v>
      </c>
    </row>
    <row r="4172" spans="1:1" x14ac:dyDescent="0.25">
      <c r="A4172" s="9">
        <f t="shared" ref="A4172:A4235" si="89">IF(G4172&gt;0,1,0)</f>
        <v>0</v>
      </c>
    </row>
    <row r="4173" spans="1:1" x14ac:dyDescent="0.25">
      <c r="A4173" s="9">
        <f t="shared" si="89"/>
        <v>0</v>
      </c>
    </row>
    <row r="4174" spans="1:1" x14ac:dyDescent="0.25">
      <c r="A4174" s="9">
        <f t="shared" si="89"/>
        <v>0</v>
      </c>
    </row>
    <row r="4175" spans="1:1" x14ac:dyDescent="0.25">
      <c r="A4175" s="9">
        <f t="shared" si="89"/>
        <v>0</v>
      </c>
    </row>
    <row r="4176" spans="1:1" x14ac:dyDescent="0.25">
      <c r="A4176" s="9">
        <f t="shared" si="89"/>
        <v>0</v>
      </c>
    </row>
    <row r="4177" spans="1:1" x14ac:dyDescent="0.25">
      <c r="A4177" s="9">
        <f t="shared" si="89"/>
        <v>0</v>
      </c>
    </row>
    <row r="4178" spans="1:1" x14ac:dyDescent="0.25">
      <c r="A4178" s="9">
        <f t="shared" si="89"/>
        <v>0</v>
      </c>
    </row>
    <row r="4179" spans="1:1" x14ac:dyDescent="0.25">
      <c r="A4179" s="9">
        <f t="shared" si="89"/>
        <v>0</v>
      </c>
    </row>
    <row r="4180" spans="1:1" x14ac:dyDescent="0.25">
      <c r="A4180" s="9">
        <f t="shared" si="89"/>
        <v>0</v>
      </c>
    </row>
    <row r="4181" spans="1:1" x14ac:dyDescent="0.25">
      <c r="A4181" s="9">
        <f t="shared" si="89"/>
        <v>0</v>
      </c>
    </row>
    <row r="4182" spans="1:1" x14ac:dyDescent="0.25">
      <c r="A4182" s="9">
        <f t="shared" si="89"/>
        <v>0</v>
      </c>
    </row>
    <row r="4183" spans="1:1" x14ac:dyDescent="0.25">
      <c r="A4183" s="9">
        <f t="shared" si="89"/>
        <v>0</v>
      </c>
    </row>
    <row r="4184" spans="1:1" x14ac:dyDescent="0.25">
      <c r="A4184" s="9">
        <f t="shared" si="89"/>
        <v>0</v>
      </c>
    </row>
    <row r="4185" spans="1:1" x14ac:dyDescent="0.25">
      <c r="A4185" s="9">
        <f t="shared" si="89"/>
        <v>0</v>
      </c>
    </row>
    <row r="4186" spans="1:1" x14ac:dyDescent="0.25">
      <c r="A4186" s="9">
        <f t="shared" si="89"/>
        <v>0</v>
      </c>
    </row>
    <row r="4187" spans="1:1" x14ac:dyDescent="0.25">
      <c r="A4187" s="9">
        <f t="shared" si="89"/>
        <v>0</v>
      </c>
    </row>
    <row r="4188" spans="1:1" x14ac:dyDescent="0.25">
      <c r="A4188" s="9">
        <f t="shared" si="89"/>
        <v>0</v>
      </c>
    </row>
    <row r="4189" spans="1:1" x14ac:dyDescent="0.25">
      <c r="A4189" s="9">
        <f t="shared" si="89"/>
        <v>0</v>
      </c>
    </row>
    <row r="4190" spans="1:1" x14ac:dyDescent="0.25">
      <c r="A4190" s="9">
        <f t="shared" si="89"/>
        <v>0</v>
      </c>
    </row>
    <row r="4191" spans="1:1" x14ac:dyDescent="0.25">
      <c r="A4191" s="9">
        <f t="shared" si="89"/>
        <v>0</v>
      </c>
    </row>
    <row r="4192" spans="1:1" x14ac:dyDescent="0.25">
      <c r="A4192" s="9">
        <f t="shared" si="89"/>
        <v>0</v>
      </c>
    </row>
    <row r="4193" spans="1:1" x14ac:dyDescent="0.25">
      <c r="A4193" s="9">
        <f t="shared" si="89"/>
        <v>0</v>
      </c>
    </row>
    <row r="4194" spans="1:1" x14ac:dyDescent="0.25">
      <c r="A4194" s="9">
        <f t="shared" si="89"/>
        <v>0</v>
      </c>
    </row>
    <row r="4195" spans="1:1" x14ac:dyDescent="0.25">
      <c r="A4195" s="9">
        <f t="shared" si="89"/>
        <v>0</v>
      </c>
    </row>
    <row r="4196" spans="1:1" x14ac:dyDescent="0.25">
      <c r="A4196" s="9">
        <f t="shared" si="89"/>
        <v>0</v>
      </c>
    </row>
    <row r="4197" spans="1:1" x14ac:dyDescent="0.25">
      <c r="A4197" s="9">
        <f t="shared" si="89"/>
        <v>0</v>
      </c>
    </row>
    <row r="4198" spans="1:1" x14ac:dyDescent="0.25">
      <c r="A4198" s="9">
        <f t="shared" si="89"/>
        <v>0</v>
      </c>
    </row>
    <row r="4199" spans="1:1" x14ac:dyDescent="0.25">
      <c r="A4199" s="9">
        <f t="shared" si="89"/>
        <v>0</v>
      </c>
    </row>
    <row r="4200" spans="1:1" x14ac:dyDescent="0.25">
      <c r="A4200" s="9">
        <f t="shared" si="89"/>
        <v>0</v>
      </c>
    </row>
    <row r="4201" spans="1:1" x14ac:dyDescent="0.25">
      <c r="A4201" s="9">
        <f t="shared" si="89"/>
        <v>0</v>
      </c>
    </row>
    <row r="4202" spans="1:1" x14ac:dyDescent="0.25">
      <c r="A4202" s="9">
        <f t="shared" si="89"/>
        <v>0</v>
      </c>
    </row>
    <row r="4203" spans="1:1" x14ac:dyDescent="0.25">
      <c r="A4203" s="9">
        <f t="shared" si="89"/>
        <v>0</v>
      </c>
    </row>
    <row r="4204" spans="1:1" x14ac:dyDescent="0.25">
      <c r="A4204" s="9">
        <f t="shared" si="89"/>
        <v>0</v>
      </c>
    </row>
    <row r="4205" spans="1:1" x14ac:dyDescent="0.25">
      <c r="A4205" s="9">
        <f t="shared" si="89"/>
        <v>0</v>
      </c>
    </row>
    <row r="4206" spans="1:1" x14ac:dyDescent="0.25">
      <c r="A4206" s="9">
        <f t="shared" si="89"/>
        <v>0</v>
      </c>
    </row>
    <row r="4207" spans="1:1" x14ac:dyDescent="0.25">
      <c r="A4207" s="9">
        <f t="shared" si="89"/>
        <v>0</v>
      </c>
    </row>
    <row r="4208" spans="1:1" x14ac:dyDescent="0.25">
      <c r="A4208" s="9">
        <f t="shared" si="89"/>
        <v>0</v>
      </c>
    </row>
    <row r="4209" spans="1:1" x14ac:dyDescent="0.25">
      <c r="A4209" s="9">
        <f t="shared" si="89"/>
        <v>0</v>
      </c>
    </row>
    <row r="4210" spans="1:1" x14ac:dyDescent="0.25">
      <c r="A4210" s="9">
        <f t="shared" si="89"/>
        <v>0</v>
      </c>
    </row>
    <row r="4211" spans="1:1" x14ac:dyDescent="0.25">
      <c r="A4211" s="9">
        <f t="shared" si="89"/>
        <v>0</v>
      </c>
    </row>
    <row r="4212" spans="1:1" x14ac:dyDescent="0.25">
      <c r="A4212" s="9">
        <f t="shared" si="89"/>
        <v>0</v>
      </c>
    </row>
    <row r="4213" spans="1:1" x14ac:dyDescent="0.25">
      <c r="A4213" s="9">
        <f t="shared" si="89"/>
        <v>0</v>
      </c>
    </row>
    <row r="4214" spans="1:1" x14ac:dyDescent="0.25">
      <c r="A4214" s="9">
        <f t="shared" si="89"/>
        <v>0</v>
      </c>
    </row>
    <row r="4215" spans="1:1" x14ac:dyDescent="0.25">
      <c r="A4215" s="9">
        <f t="shared" si="89"/>
        <v>0</v>
      </c>
    </row>
    <row r="4216" spans="1:1" x14ac:dyDescent="0.25">
      <c r="A4216" s="9">
        <f t="shared" si="89"/>
        <v>0</v>
      </c>
    </row>
    <row r="4217" spans="1:1" x14ac:dyDescent="0.25">
      <c r="A4217" s="9">
        <f t="shared" si="89"/>
        <v>0</v>
      </c>
    </row>
    <row r="4218" spans="1:1" x14ac:dyDescent="0.25">
      <c r="A4218" s="9">
        <f t="shared" si="89"/>
        <v>0</v>
      </c>
    </row>
    <row r="4219" spans="1:1" x14ac:dyDescent="0.25">
      <c r="A4219" s="9">
        <f t="shared" si="89"/>
        <v>0</v>
      </c>
    </row>
    <row r="4220" spans="1:1" x14ac:dyDescent="0.25">
      <c r="A4220" s="9">
        <f t="shared" si="89"/>
        <v>0</v>
      </c>
    </row>
    <row r="4221" spans="1:1" x14ac:dyDescent="0.25">
      <c r="A4221" s="9">
        <f t="shared" si="89"/>
        <v>0</v>
      </c>
    </row>
    <row r="4222" spans="1:1" x14ac:dyDescent="0.25">
      <c r="A4222" s="9">
        <f t="shared" si="89"/>
        <v>0</v>
      </c>
    </row>
    <row r="4223" spans="1:1" x14ac:dyDescent="0.25">
      <c r="A4223" s="9">
        <f t="shared" si="89"/>
        <v>0</v>
      </c>
    </row>
    <row r="4224" spans="1:1" x14ac:dyDescent="0.25">
      <c r="A4224" s="9">
        <f t="shared" si="89"/>
        <v>0</v>
      </c>
    </row>
    <row r="4225" spans="1:1" x14ac:dyDescent="0.25">
      <c r="A4225" s="9">
        <f t="shared" si="89"/>
        <v>0</v>
      </c>
    </row>
    <row r="4226" spans="1:1" x14ac:dyDescent="0.25">
      <c r="A4226" s="9">
        <f t="shared" si="89"/>
        <v>0</v>
      </c>
    </row>
    <row r="4227" spans="1:1" x14ac:dyDescent="0.25">
      <c r="A4227" s="9">
        <f t="shared" si="89"/>
        <v>0</v>
      </c>
    </row>
    <row r="4228" spans="1:1" x14ac:dyDescent="0.25">
      <c r="A4228" s="9">
        <f t="shared" si="89"/>
        <v>0</v>
      </c>
    </row>
    <row r="4229" spans="1:1" x14ac:dyDescent="0.25">
      <c r="A4229" s="9">
        <f t="shared" si="89"/>
        <v>0</v>
      </c>
    </row>
    <row r="4230" spans="1:1" x14ac:dyDescent="0.25">
      <c r="A4230" s="9">
        <f t="shared" si="89"/>
        <v>0</v>
      </c>
    </row>
    <row r="4231" spans="1:1" x14ac:dyDescent="0.25">
      <c r="A4231" s="9">
        <f t="shared" si="89"/>
        <v>0</v>
      </c>
    </row>
    <row r="4232" spans="1:1" x14ac:dyDescent="0.25">
      <c r="A4232" s="9">
        <f t="shared" si="89"/>
        <v>0</v>
      </c>
    </row>
    <row r="4233" spans="1:1" x14ac:dyDescent="0.25">
      <c r="A4233" s="9">
        <f t="shared" si="89"/>
        <v>0</v>
      </c>
    </row>
    <row r="4234" spans="1:1" x14ac:dyDescent="0.25">
      <c r="A4234" s="9">
        <f t="shared" si="89"/>
        <v>0</v>
      </c>
    </row>
    <row r="4235" spans="1:1" x14ac:dyDescent="0.25">
      <c r="A4235" s="9">
        <f t="shared" si="89"/>
        <v>0</v>
      </c>
    </row>
    <row r="4236" spans="1:1" x14ac:dyDescent="0.25">
      <c r="A4236" s="9">
        <f t="shared" ref="A4236:A4299" si="90">IF(G4236&gt;0,1,0)</f>
        <v>0</v>
      </c>
    </row>
    <row r="4237" spans="1:1" x14ac:dyDescent="0.25">
      <c r="A4237" s="9">
        <f t="shared" si="90"/>
        <v>0</v>
      </c>
    </row>
    <row r="4238" spans="1:1" x14ac:dyDescent="0.25">
      <c r="A4238" s="9">
        <f t="shared" si="90"/>
        <v>0</v>
      </c>
    </row>
    <row r="4239" spans="1:1" x14ac:dyDescent="0.25">
      <c r="A4239" s="9">
        <f t="shared" si="90"/>
        <v>0</v>
      </c>
    </row>
    <row r="4240" spans="1:1" x14ac:dyDescent="0.25">
      <c r="A4240" s="9">
        <f t="shared" si="90"/>
        <v>0</v>
      </c>
    </row>
    <row r="4241" spans="1:1" x14ac:dyDescent="0.25">
      <c r="A4241" s="9">
        <f t="shared" si="90"/>
        <v>0</v>
      </c>
    </row>
    <row r="4242" spans="1:1" x14ac:dyDescent="0.25">
      <c r="A4242" s="9">
        <f t="shared" si="90"/>
        <v>0</v>
      </c>
    </row>
    <row r="4243" spans="1:1" x14ac:dyDescent="0.25">
      <c r="A4243" s="9">
        <f t="shared" si="90"/>
        <v>0</v>
      </c>
    </row>
    <row r="4244" spans="1:1" x14ac:dyDescent="0.25">
      <c r="A4244" s="9">
        <f t="shared" si="90"/>
        <v>0</v>
      </c>
    </row>
    <row r="4245" spans="1:1" x14ac:dyDescent="0.25">
      <c r="A4245" s="9">
        <f t="shared" si="90"/>
        <v>0</v>
      </c>
    </row>
    <row r="4246" spans="1:1" x14ac:dyDescent="0.25">
      <c r="A4246" s="9">
        <f t="shared" si="90"/>
        <v>0</v>
      </c>
    </row>
    <row r="4247" spans="1:1" x14ac:dyDescent="0.25">
      <c r="A4247" s="9">
        <f t="shared" si="90"/>
        <v>0</v>
      </c>
    </row>
    <row r="4248" spans="1:1" x14ac:dyDescent="0.25">
      <c r="A4248" s="9">
        <f t="shared" si="90"/>
        <v>0</v>
      </c>
    </row>
    <row r="4249" spans="1:1" x14ac:dyDescent="0.25">
      <c r="A4249" s="9">
        <f t="shared" si="90"/>
        <v>0</v>
      </c>
    </row>
    <row r="4250" spans="1:1" x14ac:dyDescent="0.25">
      <c r="A4250" s="9">
        <f t="shared" si="90"/>
        <v>0</v>
      </c>
    </row>
    <row r="4251" spans="1:1" x14ac:dyDescent="0.25">
      <c r="A4251" s="9">
        <f t="shared" si="90"/>
        <v>0</v>
      </c>
    </row>
    <row r="4252" spans="1:1" x14ac:dyDescent="0.25">
      <c r="A4252" s="9">
        <f t="shared" si="90"/>
        <v>0</v>
      </c>
    </row>
    <row r="4253" spans="1:1" x14ac:dyDescent="0.25">
      <c r="A4253" s="9">
        <f t="shared" si="90"/>
        <v>0</v>
      </c>
    </row>
    <row r="4254" spans="1:1" x14ac:dyDescent="0.25">
      <c r="A4254" s="9">
        <f t="shared" si="90"/>
        <v>0</v>
      </c>
    </row>
    <row r="4255" spans="1:1" x14ac:dyDescent="0.25">
      <c r="A4255" s="9">
        <f t="shared" si="90"/>
        <v>0</v>
      </c>
    </row>
    <row r="4256" spans="1:1" x14ac:dyDescent="0.25">
      <c r="A4256" s="9">
        <f t="shared" si="90"/>
        <v>0</v>
      </c>
    </row>
    <row r="4257" spans="1:1" x14ac:dyDescent="0.25">
      <c r="A4257" s="9">
        <f t="shared" si="90"/>
        <v>0</v>
      </c>
    </row>
    <row r="4258" spans="1:1" x14ac:dyDescent="0.25">
      <c r="A4258" s="9">
        <f t="shared" si="90"/>
        <v>0</v>
      </c>
    </row>
    <row r="4259" spans="1:1" x14ac:dyDescent="0.25">
      <c r="A4259" s="9">
        <f t="shared" si="90"/>
        <v>0</v>
      </c>
    </row>
    <row r="4260" spans="1:1" x14ac:dyDescent="0.25">
      <c r="A4260" s="9">
        <f t="shared" si="90"/>
        <v>0</v>
      </c>
    </row>
    <row r="4261" spans="1:1" x14ac:dyDescent="0.25">
      <c r="A4261" s="9">
        <f t="shared" si="90"/>
        <v>0</v>
      </c>
    </row>
    <row r="4262" spans="1:1" x14ac:dyDescent="0.25">
      <c r="A4262" s="9">
        <f t="shared" si="90"/>
        <v>0</v>
      </c>
    </row>
    <row r="4263" spans="1:1" x14ac:dyDescent="0.25">
      <c r="A4263" s="9">
        <f t="shared" si="90"/>
        <v>0</v>
      </c>
    </row>
    <row r="4264" spans="1:1" x14ac:dyDescent="0.25">
      <c r="A4264" s="9">
        <f t="shared" si="90"/>
        <v>0</v>
      </c>
    </row>
    <row r="4265" spans="1:1" x14ac:dyDescent="0.25">
      <c r="A4265" s="9">
        <f t="shared" si="90"/>
        <v>0</v>
      </c>
    </row>
    <row r="4266" spans="1:1" x14ac:dyDescent="0.25">
      <c r="A4266" s="9">
        <f t="shared" si="90"/>
        <v>0</v>
      </c>
    </row>
    <row r="4267" spans="1:1" x14ac:dyDescent="0.25">
      <c r="A4267" s="9">
        <f t="shared" si="90"/>
        <v>0</v>
      </c>
    </row>
    <row r="4268" spans="1:1" x14ac:dyDescent="0.25">
      <c r="A4268" s="9">
        <f t="shared" si="90"/>
        <v>0</v>
      </c>
    </row>
    <row r="4269" spans="1:1" x14ac:dyDescent="0.25">
      <c r="A4269" s="9">
        <f t="shared" si="90"/>
        <v>0</v>
      </c>
    </row>
    <row r="4270" spans="1:1" x14ac:dyDescent="0.25">
      <c r="A4270" s="9">
        <f t="shared" si="90"/>
        <v>0</v>
      </c>
    </row>
    <row r="4271" spans="1:1" x14ac:dyDescent="0.25">
      <c r="A4271" s="9">
        <f t="shared" si="90"/>
        <v>0</v>
      </c>
    </row>
    <row r="4272" spans="1:1" x14ac:dyDescent="0.25">
      <c r="A4272" s="9">
        <f t="shared" si="90"/>
        <v>0</v>
      </c>
    </row>
    <row r="4273" spans="1:1" x14ac:dyDescent="0.25">
      <c r="A4273" s="9">
        <f t="shared" si="90"/>
        <v>0</v>
      </c>
    </row>
    <row r="4274" spans="1:1" x14ac:dyDescent="0.25">
      <c r="A4274" s="9">
        <f t="shared" si="90"/>
        <v>0</v>
      </c>
    </row>
    <row r="4275" spans="1:1" x14ac:dyDescent="0.25">
      <c r="A4275" s="9">
        <f t="shared" si="90"/>
        <v>0</v>
      </c>
    </row>
    <row r="4276" spans="1:1" x14ac:dyDescent="0.25">
      <c r="A4276" s="9">
        <f t="shared" si="90"/>
        <v>0</v>
      </c>
    </row>
    <row r="4277" spans="1:1" x14ac:dyDescent="0.25">
      <c r="A4277" s="9">
        <f t="shared" si="90"/>
        <v>0</v>
      </c>
    </row>
    <row r="4278" spans="1:1" x14ac:dyDescent="0.25">
      <c r="A4278" s="9">
        <f t="shared" si="90"/>
        <v>0</v>
      </c>
    </row>
    <row r="4279" spans="1:1" x14ac:dyDescent="0.25">
      <c r="A4279" s="9">
        <f t="shared" si="90"/>
        <v>0</v>
      </c>
    </row>
    <row r="4280" spans="1:1" x14ac:dyDescent="0.25">
      <c r="A4280" s="9">
        <f t="shared" si="90"/>
        <v>0</v>
      </c>
    </row>
    <row r="4281" spans="1:1" x14ac:dyDescent="0.25">
      <c r="A4281" s="9">
        <f t="shared" si="90"/>
        <v>0</v>
      </c>
    </row>
    <row r="4282" spans="1:1" x14ac:dyDescent="0.25">
      <c r="A4282" s="9">
        <f t="shared" si="90"/>
        <v>0</v>
      </c>
    </row>
    <row r="4283" spans="1:1" x14ac:dyDescent="0.25">
      <c r="A4283" s="9">
        <f t="shared" si="90"/>
        <v>0</v>
      </c>
    </row>
    <row r="4284" spans="1:1" x14ac:dyDescent="0.25">
      <c r="A4284" s="9">
        <f t="shared" si="90"/>
        <v>0</v>
      </c>
    </row>
    <row r="4285" spans="1:1" x14ac:dyDescent="0.25">
      <c r="A4285" s="9">
        <f t="shared" si="90"/>
        <v>0</v>
      </c>
    </row>
    <row r="4286" spans="1:1" x14ac:dyDescent="0.25">
      <c r="A4286" s="9">
        <f t="shared" si="90"/>
        <v>0</v>
      </c>
    </row>
    <row r="4287" spans="1:1" x14ac:dyDescent="0.25">
      <c r="A4287" s="9">
        <f t="shared" si="90"/>
        <v>0</v>
      </c>
    </row>
    <row r="4288" spans="1:1" x14ac:dyDescent="0.25">
      <c r="A4288" s="9">
        <f t="shared" si="90"/>
        <v>0</v>
      </c>
    </row>
    <row r="4289" spans="1:1" x14ac:dyDescent="0.25">
      <c r="A4289" s="9">
        <f t="shared" si="90"/>
        <v>0</v>
      </c>
    </row>
    <row r="4290" spans="1:1" x14ac:dyDescent="0.25">
      <c r="A4290" s="9">
        <f t="shared" si="90"/>
        <v>0</v>
      </c>
    </row>
    <row r="4291" spans="1:1" x14ac:dyDescent="0.25">
      <c r="A4291" s="9">
        <f t="shared" si="90"/>
        <v>0</v>
      </c>
    </row>
    <row r="4292" spans="1:1" x14ac:dyDescent="0.25">
      <c r="A4292" s="9">
        <f t="shared" si="90"/>
        <v>0</v>
      </c>
    </row>
    <row r="4293" spans="1:1" x14ac:dyDescent="0.25">
      <c r="A4293" s="9">
        <f t="shared" si="90"/>
        <v>0</v>
      </c>
    </row>
    <row r="4294" spans="1:1" x14ac:dyDescent="0.25">
      <c r="A4294" s="9">
        <f t="shared" si="90"/>
        <v>0</v>
      </c>
    </row>
    <row r="4295" spans="1:1" x14ac:dyDescent="0.25">
      <c r="A4295" s="9">
        <f t="shared" si="90"/>
        <v>0</v>
      </c>
    </row>
    <row r="4296" spans="1:1" x14ac:dyDescent="0.25">
      <c r="A4296" s="9">
        <f t="shared" si="90"/>
        <v>0</v>
      </c>
    </row>
    <row r="4297" spans="1:1" x14ac:dyDescent="0.25">
      <c r="A4297" s="9">
        <f t="shared" si="90"/>
        <v>0</v>
      </c>
    </row>
    <row r="4298" spans="1:1" x14ac:dyDescent="0.25">
      <c r="A4298" s="9">
        <f t="shared" si="90"/>
        <v>0</v>
      </c>
    </row>
    <row r="4299" spans="1:1" x14ac:dyDescent="0.25">
      <c r="A4299" s="9">
        <f t="shared" si="90"/>
        <v>0</v>
      </c>
    </row>
    <row r="4300" spans="1:1" x14ac:dyDescent="0.25">
      <c r="A4300" s="9">
        <f t="shared" ref="A4300:A4363" si="91">IF(G4300&gt;0,1,0)</f>
        <v>0</v>
      </c>
    </row>
    <row r="4301" spans="1:1" x14ac:dyDescent="0.25">
      <c r="A4301" s="9">
        <f t="shared" si="91"/>
        <v>0</v>
      </c>
    </row>
    <row r="4302" spans="1:1" x14ac:dyDescent="0.25">
      <c r="A4302" s="9">
        <f t="shared" si="91"/>
        <v>0</v>
      </c>
    </row>
    <row r="4303" spans="1:1" x14ac:dyDescent="0.25">
      <c r="A4303" s="9">
        <f t="shared" si="91"/>
        <v>0</v>
      </c>
    </row>
    <row r="4304" spans="1:1" x14ac:dyDescent="0.25">
      <c r="A4304" s="9">
        <f t="shared" si="91"/>
        <v>0</v>
      </c>
    </row>
    <row r="4305" spans="1:1" x14ac:dyDescent="0.25">
      <c r="A4305" s="9">
        <f t="shared" si="91"/>
        <v>0</v>
      </c>
    </row>
    <row r="4306" spans="1:1" x14ac:dyDescent="0.25">
      <c r="A4306" s="9">
        <f t="shared" si="91"/>
        <v>0</v>
      </c>
    </row>
    <row r="4307" spans="1:1" x14ac:dyDescent="0.25">
      <c r="A4307" s="9">
        <f t="shared" si="91"/>
        <v>0</v>
      </c>
    </row>
    <row r="4308" spans="1:1" x14ac:dyDescent="0.25">
      <c r="A4308" s="9">
        <f t="shared" si="91"/>
        <v>0</v>
      </c>
    </row>
    <row r="4309" spans="1:1" x14ac:dyDescent="0.25">
      <c r="A4309" s="9">
        <f t="shared" si="91"/>
        <v>0</v>
      </c>
    </row>
    <row r="4310" spans="1:1" x14ac:dyDescent="0.25">
      <c r="A4310" s="9">
        <f t="shared" si="91"/>
        <v>0</v>
      </c>
    </row>
    <row r="4311" spans="1:1" x14ac:dyDescent="0.25">
      <c r="A4311" s="9">
        <f t="shared" si="91"/>
        <v>0</v>
      </c>
    </row>
    <row r="4312" spans="1:1" x14ac:dyDescent="0.25">
      <c r="A4312" s="9">
        <f t="shared" si="91"/>
        <v>0</v>
      </c>
    </row>
    <row r="4313" spans="1:1" x14ac:dyDescent="0.25">
      <c r="A4313" s="9">
        <f t="shared" si="91"/>
        <v>0</v>
      </c>
    </row>
    <row r="4314" spans="1:1" x14ac:dyDescent="0.25">
      <c r="A4314" s="9">
        <f t="shared" si="91"/>
        <v>0</v>
      </c>
    </row>
    <row r="4315" spans="1:1" x14ac:dyDescent="0.25">
      <c r="A4315" s="9">
        <f t="shared" si="91"/>
        <v>0</v>
      </c>
    </row>
    <row r="4316" spans="1:1" x14ac:dyDescent="0.25">
      <c r="A4316" s="9">
        <f t="shared" si="91"/>
        <v>0</v>
      </c>
    </row>
    <row r="4317" spans="1:1" x14ac:dyDescent="0.25">
      <c r="A4317" s="9">
        <f t="shared" si="91"/>
        <v>0</v>
      </c>
    </row>
    <row r="4318" spans="1:1" x14ac:dyDescent="0.25">
      <c r="A4318" s="9">
        <f t="shared" si="91"/>
        <v>0</v>
      </c>
    </row>
    <row r="4319" spans="1:1" x14ac:dyDescent="0.25">
      <c r="A4319" s="9">
        <f t="shared" si="91"/>
        <v>0</v>
      </c>
    </row>
    <row r="4320" spans="1:1" x14ac:dyDescent="0.25">
      <c r="A4320" s="9">
        <f t="shared" si="91"/>
        <v>0</v>
      </c>
    </row>
    <row r="4321" spans="1:1" x14ac:dyDescent="0.25">
      <c r="A4321" s="9">
        <f t="shared" si="91"/>
        <v>0</v>
      </c>
    </row>
    <row r="4322" spans="1:1" x14ac:dyDescent="0.25">
      <c r="A4322" s="9">
        <f t="shared" si="91"/>
        <v>0</v>
      </c>
    </row>
    <row r="4323" spans="1:1" x14ac:dyDescent="0.25">
      <c r="A4323" s="9">
        <f t="shared" si="91"/>
        <v>0</v>
      </c>
    </row>
    <row r="4324" spans="1:1" x14ac:dyDescent="0.25">
      <c r="A4324" s="9">
        <f t="shared" si="91"/>
        <v>0</v>
      </c>
    </row>
    <row r="4325" spans="1:1" x14ac:dyDescent="0.25">
      <c r="A4325" s="9">
        <f t="shared" si="91"/>
        <v>0</v>
      </c>
    </row>
    <row r="4326" spans="1:1" x14ac:dyDescent="0.25">
      <c r="A4326" s="9">
        <f t="shared" si="91"/>
        <v>0</v>
      </c>
    </row>
    <row r="4327" spans="1:1" x14ac:dyDescent="0.25">
      <c r="A4327" s="9">
        <f t="shared" si="91"/>
        <v>0</v>
      </c>
    </row>
    <row r="4328" spans="1:1" x14ac:dyDescent="0.25">
      <c r="A4328" s="9">
        <f t="shared" si="91"/>
        <v>0</v>
      </c>
    </row>
    <row r="4329" spans="1:1" x14ac:dyDescent="0.25">
      <c r="A4329" s="9">
        <f t="shared" si="91"/>
        <v>0</v>
      </c>
    </row>
    <row r="4330" spans="1:1" x14ac:dyDescent="0.25">
      <c r="A4330" s="9">
        <f t="shared" si="91"/>
        <v>0</v>
      </c>
    </row>
    <row r="4331" spans="1:1" x14ac:dyDescent="0.25">
      <c r="A4331" s="9">
        <f t="shared" si="91"/>
        <v>0</v>
      </c>
    </row>
    <row r="4332" spans="1:1" x14ac:dyDescent="0.25">
      <c r="A4332" s="9">
        <f t="shared" si="91"/>
        <v>0</v>
      </c>
    </row>
    <row r="4333" spans="1:1" x14ac:dyDescent="0.25">
      <c r="A4333" s="9">
        <f t="shared" si="91"/>
        <v>0</v>
      </c>
    </row>
    <row r="4334" spans="1:1" x14ac:dyDescent="0.25">
      <c r="A4334" s="9">
        <f t="shared" si="91"/>
        <v>0</v>
      </c>
    </row>
    <row r="4335" spans="1:1" x14ac:dyDescent="0.25">
      <c r="A4335" s="9">
        <f t="shared" si="91"/>
        <v>0</v>
      </c>
    </row>
    <row r="4336" spans="1:1" x14ac:dyDescent="0.25">
      <c r="A4336" s="9">
        <f t="shared" si="91"/>
        <v>0</v>
      </c>
    </row>
    <row r="4337" spans="1:1" x14ac:dyDescent="0.25">
      <c r="A4337" s="9">
        <f t="shared" si="91"/>
        <v>0</v>
      </c>
    </row>
    <row r="4338" spans="1:1" x14ac:dyDescent="0.25">
      <c r="A4338" s="9">
        <f t="shared" si="91"/>
        <v>0</v>
      </c>
    </row>
    <row r="4339" spans="1:1" x14ac:dyDescent="0.25">
      <c r="A4339" s="9">
        <f t="shared" si="91"/>
        <v>0</v>
      </c>
    </row>
    <row r="4340" spans="1:1" x14ac:dyDescent="0.25">
      <c r="A4340" s="9">
        <f t="shared" si="91"/>
        <v>0</v>
      </c>
    </row>
    <row r="4341" spans="1:1" x14ac:dyDescent="0.25">
      <c r="A4341" s="9">
        <f t="shared" si="91"/>
        <v>0</v>
      </c>
    </row>
    <row r="4342" spans="1:1" x14ac:dyDescent="0.25">
      <c r="A4342" s="9">
        <f t="shared" si="91"/>
        <v>0</v>
      </c>
    </row>
    <row r="4343" spans="1:1" x14ac:dyDescent="0.25">
      <c r="A4343" s="9">
        <f t="shared" si="91"/>
        <v>0</v>
      </c>
    </row>
    <row r="4344" spans="1:1" x14ac:dyDescent="0.25">
      <c r="A4344" s="9">
        <f t="shared" si="91"/>
        <v>0</v>
      </c>
    </row>
    <row r="4345" spans="1:1" x14ac:dyDescent="0.25">
      <c r="A4345" s="9">
        <f t="shared" si="91"/>
        <v>0</v>
      </c>
    </row>
    <row r="4346" spans="1:1" x14ac:dyDescent="0.25">
      <c r="A4346" s="9">
        <f t="shared" si="91"/>
        <v>0</v>
      </c>
    </row>
    <row r="4347" spans="1:1" x14ac:dyDescent="0.25">
      <c r="A4347" s="9">
        <f t="shared" si="91"/>
        <v>0</v>
      </c>
    </row>
    <row r="4348" spans="1:1" x14ac:dyDescent="0.25">
      <c r="A4348" s="9">
        <f t="shared" si="91"/>
        <v>0</v>
      </c>
    </row>
    <row r="4349" spans="1:1" x14ac:dyDescent="0.25">
      <c r="A4349" s="9">
        <f t="shared" si="91"/>
        <v>0</v>
      </c>
    </row>
    <row r="4350" spans="1:1" x14ac:dyDescent="0.25">
      <c r="A4350" s="9">
        <f t="shared" si="91"/>
        <v>0</v>
      </c>
    </row>
    <row r="4351" spans="1:1" x14ac:dyDescent="0.25">
      <c r="A4351" s="9">
        <f t="shared" si="91"/>
        <v>0</v>
      </c>
    </row>
    <row r="4352" spans="1:1" x14ac:dyDescent="0.25">
      <c r="A4352" s="9">
        <f t="shared" si="91"/>
        <v>0</v>
      </c>
    </row>
    <row r="4353" spans="1:1" x14ac:dyDescent="0.25">
      <c r="A4353" s="9">
        <f t="shared" si="91"/>
        <v>0</v>
      </c>
    </row>
    <row r="4354" spans="1:1" x14ac:dyDescent="0.25">
      <c r="A4354" s="9">
        <f t="shared" si="91"/>
        <v>0</v>
      </c>
    </row>
    <row r="4355" spans="1:1" x14ac:dyDescent="0.25">
      <c r="A4355" s="9">
        <f t="shared" si="91"/>
        <v>0</v>
      </c>
    </row>
    <row r="4356" spans="1:1" x14ac:dyDescent="0.25">
      <c r="A4356" s="9">
        <f t="shared" si="91"/>
        <v>0</v>
      </c>
    </row>
    <row r="4357" spans="1:1" x14ac:dyDescent="0.25">
      <c r="A4357" s="9">
        <f t="shared" si="91"/>
        <v>0</v>
      </c>
    </row>
    <row r="4358" spans="1:1" x14ac:dyDescent="0.25">
      <c r="A4358" s="9">
        <f t="shared" si="91"/>
        <v>0</v>
      </c>
    </row>
    <row r="4359" spans="1:1" x14ac:dyDescent="0.25">
      <c r="A4359" s="9">
        <f t="shared" si="91"/>
        <v>0</v>
      </c>
    </row>
    <row r="4360" spans="1:1" x14ac:dyDescent="0.25">
      <c r="A4360" s="9">
        <f t="shared" si="91"/>
        <v>0</v>
      </c>
    </row>
    <row r="4361" spans="1:1" x14ac:dyDescent="0.25">
      <c r="A4361" s="9">
        <f t="shared" si="91"/>
        <v>0</v>
      </c>
    </row>
    <row r="4362" spans="1:1" x14ac:dyDescent="0.25">
      <c r="A4362" s="9">
        <f t="shared" si="91"/>
        <v>0</v>
      </c>
    </row>
    <row r="4363" spans="1:1" x14ac:dyDescent="0.25">
      <c r="A4363" s="9">
        <f t="shared" si="91"/>
        <v>0</v>
      </c>
    </row>
    <row r="4364" spans="1:1" x14ac:dyDescent="0.25">
      <c r="A4364" s="9">
        <f t="shared" ref="A4364:A4427" si="92">IF(G4364&gt;0,1,0)</f>
        <v>0</v>
      </c>
    </row>
    <row r="4365" spans="1:1" x14ac:dyDescent="0.25">
      <c r="A4365" s="9">
        <f t="shared" si="92"/>
        <v>0</v>
      </c>
    </row>
    <row r="4366" spans="1:1" x14ac:dyDescent="0.25">
      <c r="A4366" s="9">
        <f t="shared" si="92"/>
        <v>0</v>
      </c>
    </row>
    <row r="4367" spans="1:1" x14ac:dyDescent="0.25">
      <c r="A4367" s="9">
        <f t="shared" si="92"/>
        <v>0</v>
      </c>
    </row>
    <row r="4368" spans="1:1" x14ac:dyDescent="0.25">
      <c r="A4368" s="9">
        <f t="shared" si="92"/>
        <v>0</v>
      </c>
    </row>
    <row r="4369" spans="1:1" x14ac:dyDescent="0.25">
      <c r="A4369" s="9">
        <f t="shared" si="92"/>
        <v>0</v>
      </c>
    </row>
    <row r="4370" spans="1:1" x14ac:dyDescent="0.25">
      <c r="A4370" s="9">
        <f t="shared" si="92"/>
        <v>0</v>
      </c>
    </row>
    <row r="4371" spans="1:1" x14ac:dyDescent="0.25">
      <c r="A4371" s="9">
        <f t="shared" si="92"/>
        <v>0</v>
      </c>
    </row>
    <row r="4372" spans="1:1" x14ac:dyDescent="0.25">
      <c r="A4372" s="9">
        <f t="shared" si="92"/>
        <v>0</v>
      </c>
    </row>
    <row r="4373" spans="1:1" x14ac:dyDescent="0.25">
      <c r="A4373" s="9">
        <f t="shared" si="92"/>
        <v>0</v>
      </c>
    </row>
    <row r="4374" spans="1:1" x14ac:dyDescent="0.25">
      <c r="A4374" s="9">
        <f t="shared" si="92"/>
        <v>0</v>
      </c>
    </row>
    <row r="4375" spans="1:1" x14ac:dyDescent="0.25">
      <c r="A4375" s="9">
        <f t="shared" si="92"/>
        <v>0</v>
      </c>
    </row>
    <row r="4376" spans="1:1" x14ac:dyDescent="0.25">
      <c r="A4376" s="9">
        <f t="shared" si="92"/>
        <v>0</v>
      </c>
    </row>
    <row r="4377" spans="1:1" x14ac:dyDescent="0.25">
      <c r="A4377" s="9">
        <f t="shared" si="92"/>
        <v>0</v>
      </c>
    </row>
    <row r="4378" spans="1:1" x14ac:dyDescent="0.25">
      <c r="A4378" s="9">
        <f t="shared" si="92"/>
        <v>0</v>
      </c>
    </row>
    <row r="4379" spans="1:1" x14ac:dyDescent="0.25">
      <c r="A4379" s="9">
        <f t="shared" si="92"/>
        <v>0</v>
      </c>
    </row>
    <row r="4380" spans="1:1" x14ac:dyDescent="0.25">
      <c r="A4380" s="9">
        <f t="shared" si="92"/>
        <v>0</v>
      </c>
    </row>
    <row r="4381" spans="1:1" x14ac:dyDescent="0.25">
      <c r="A4381" s="9">
        <f t="shared" si="92"/>
        <v>0</v>
      </c>
    </row>
    <row r="4382" spans="1:1" x14ac:dyDescent="0.25">
      <c r="A4382" s="9">
        <f t="shared" si="92"/>
        <v>0</v>
      </c>
    </row>
    <row r="4383" spans="1:1" x14ac:dyDescent="0.25">
      <c r="A4383" s="9">
        <f t="shared" si="92"/>
        <v>0</v>
      </c>
    </row>
    <row r="4384" spans="1:1" x14ac:dyDescent="0.25">
      <c r="A4384" s="9">
        <f t="shared" si="92"/>
        <v>0</v>
      </c>
    </row>
    <row r="4385" spans="1:1" x14ac:dyDescent="0.25">
      <c r="A4385" s="9">
        <f t="shared" si="92"/>
        <v>0</v>
      </c>
    </row>
    <row r="4386" spans="1:1" x14ac:dyDescent="0.25">
      <c r="A4386" s="9">
        <f t="shared" si="92"/>
        <v>0</v>
      </c>
    </row>
    <row r="4387" spans="1:1" x14ac:dyDescent="0.25">
      <c r="A4387" s="9">
        <f t="shared" si="92"/>
        <v>0</v>
      </c>
    </row>
    <row r="4388" spans="1:1" x14ac:dyDescent="0.25">
      <c r="A4388" s="9">
        <f t="shared" si="92"/>
        <v>0</v>
      </c>
    </row>
    <row r="4389" spans="1:1" x14ac:dyDescent="0.25">
      <c r="A4389" s="9">
        <f t="shared" si="92"/>
        <v>0</v>
      </c>
    </row>
    <row r="4390" spans="1:1" x14ac:dyDescent="0.25">
      <c r="A4390" s="9">
        <f t="shared" si="92"/>
        <v>0</v>
      </c>
    </row>
    <row r="4391" spans="1:1" x14ac:dyDescent="0.25">
      <c r="A4391" s="9">
        <f t="shared" si="92"/>
        <v>0</v>
      </c>
    </row>
    <row r="4392" spans="1:1" x14ac:dyDescent="0.25">
      <c r="A4392" s="9">
        <f t="shared" si="92"/>
        <v>0</v>
      </c>
    </row>
    <row r="4393" spans="1:1" x14ac:dyDescent="0.25">
      <c r="A4393" s="9">
        <f t="shared" si="92"/>
        <v>0</v>
      </c>
    </row>
    <row r="4394" spans="1:1" x14ac:dyDescent="0.25">
      <c r="A4394" s="9">
        <f t="shared" si="92"/>
        <v>0</v>
      </c>
    </row>
    <row r="4395" spans="1:1" x14ac:dyDescent="0.25">
      <c r="A4395" s="9">
        <f t="shared" si="92"/>
        <v>0</v>
      </c>
    </row>
    <row r="4396" spans="1:1" x14ac:dyDescent="0.25">
      <c r="A4396" s="9">
        <f t="shared" si="92"/>
        <v>0</v>
      </c>
    </row>
    <row r="4397" spans="1:1" x14ac:dyDescent="0.25">
      <c r="A4397" s="9">
        <f t="shared" si="92"/>
        <v>0</v>
      </c>
    </row>
    <row r="4398" spans="1:1" x14ac:dyDescent="0.25">
      <c r="A4398" s="9">
        <f t="shared" si="92"/>
        <v>0</v>
      </c>
    </row>
    <row r="4399" spans="1:1" x14ac:dyDescent="0.25">
      <c r="A4399" s="9">
        <f t="shared" si="92"/>
        <v>0</v>
      </c>
    </row>
    <row r="4400" spans="1:1" x14ac:dyDescent="0.25">
      <c r="A4400" s="9">
        <f t="shared" si="92"/>
        <v>0</v>
      </c>
    </row>
    <row r="4401" spans="1:1" x14ac:dyDescent="0.25">
      <c r="A4401" s="9">
        <f t="shared" si="92"/>
        <v>0</v>
      </c>
    </row>
    <row r="4402" spans="1:1" x14ac:dyDescent="0.25">
      <c r="A4402" s="9">
        <f t="shared" si="92"/>
        <v>0</v>
      </c>
    </row>
    <row r="4403" spans="1:1" x14ac:dyDescent="0.25">
      <c r="A4403" s="9">
        <f t="shared" si="92"/>
        <v>0</v>
      </c>
    </row>
    <row r="4404" spans="1:1" x14ac:dyDescent="0.25">
      <c r="A4404" s="9">
        <f t="shared" si="92"/>
        <v>0</v>
      </c>
    </row>
    <row r="4405" spans="1:1" x14ac:dyDescent="0.25">
      <c r="A4405" s="9">
        <f t="shared" si="92"/>
        <v>0</v>
      </c>
    </row>
    <row r="4406" spans="1:1" x14ac:dyDescent="0.25">
      <c r="A4406" s="9">
        <f t="shared" si="92"/>
        <v>0</v>
      </c>
    </row>
    <row r="4407" spans="1:1" x14ac:dyDescent="0.25">
      <c r="A4407" s="9">
        <f t="shared" si="92"/>
        <v>0</v>
      </c>
    </row>
    <row r="4408" spans="1:1" x14ac:dyDescent="0.25">
      <c r="A4408" s="9">
        <f t="shared" si="92"/>
        <v>0</v>
      </c>
    </row>
    <row r="4409" spans="1:1" x14ac:dyDescent="0.25">
      <c r="A4409" s="9">
        <f t="shared" si="92"/>
        <v>0</v>
      </c>
    </row>
    <row r="4410" spans="1:1" x14ac:dyDescent="0.25">
      <c r="A4410" s="9">
        <f t="shared" si="92"/>
        <v>0</v>
      </c>
    </row>
    <row r="4411" spans="1:1" x14ac:dyDescent="0.25">
      <c r="A4411" s="9">
        <f t="shared" si="92"/>
        <v>0</v>
      </c>
    </row>
    <row r="4412" spans="1:1" x14ac:dyDescent="0.25">
      <c r="A4412" s="9">
        <f t="shared" si="92"/>
        <v>0</v>
      </c>
    </row>
    <row r="4413" spans="1:1" x14ac:dyDescent="0.25">
      <c r="A4413" s="9">
        <f t="shared" si="92"/>
        <v>0</v>
      </c>
    </row>
    <row r="4414" spans="1:1" x14ac:dyDescent="0.25">
      <c r="A4414" s="9">
        <f t="shared" si="92"/>
        <v>0</v>
      </c>
    </row>
    <row r="4415" spans="1:1" x14ac:dyDescent="0.25">
      <c r="A4415" s="9">
        <f t="shared" si="92"/>
        <v>0</v>
      </c>
    </row>
    <row r="4416" spans="1:1" x14ac:dyDescent="0.25">
      <c r="A4416" s="9">
        <f t="shared" si="92"/>
        <v>0</v>
      </c>
    </row>
    <row r="4417" spans="1:1" x14ac:dyDescent="0.25">
      <c r="A4417" s="9">
        <f t="shared" si="92"/>
        <v>0</v>
      </c>
    </row>
    <row r="4418" spans="1:1" x14ac:dyDescent="0.25">
      <c r="A4418" s="9">
        <f t="shared" si="92"/>
        <v>0</v>
      </c>
    </row>
    <row r="4419" spans="1:1" x14ac:dyDescent="0.25">
      <c r="A4419" s="9">
        <f t="shared" si="92"/>
        <v>0</v>
      </c>
    </row>
    <row r="4420" spans="1:1" x14ac:dyDescent="0.25">
      <c r="A4420" s="9">
        <f t="shared" si="92"/>
        <v>0</v>
      </c>
    </row>
    <row r="4421" spans="1:1" x14ac:dyDescent="0.25">
      <c r="A4421" s="9">
        <f t="shared" si="92"/>
        <v>0</v>
      </c>
    </row>
    <row r="4422" spans="1:1" x14ac:dyDescent="0.25">
      <c r="A4422" s="9">
        <f t="shared" si="92"/>
        <v>0</v>
      </c>
    </row>
    <row r="4423" spans="1:1" x14ac:dyDescent="0.25">
      <c r="A4423" s="9">
        <f t="shared" si="92"/>
        <v>0</v>
      </c>
    </row>
    <row r="4424" spans="1:1" x14ac:dyDescent="0.25">
      <c r="A4424" s="9">
        <f t="shared" si="92"/>
        <v>0</v>
      </c>
    </row>
    <row r="4425" spans="1:1" x14ac:dyDescent="0.25">
      <c r="A4425" s="9">
        <f t="shared" si="92"/>
        <v>0</v>
      </c>
    </row>
    <row r="4426" spans="1:1" x14ac:dyDescent="0.25">
      <c r="A4426" s="9">
        <f t="shared" si="92"/>
        <v>0</v>
      </c>
    </row>
    <row r="4427" spans="1:1" x14ac:dyDescent="0.25">
      <c r="A4427" s="9">
        <f t="shared" si="92"/>
        <v>0</v>
      </c>
    </row>
    <row r="4428" spans="1:1" x14ac:dyDescent="0.25">
      <c r="A4428" s="9">
        <f t="shared" ref="A4428:A4491" si="93">IF(G4428&gt;0,1,0)</f>
        <v>0</v>
      </c>
    </row>
    <row r="4429" spans="1:1" x14ac:dyDescent="0.25">
      <c r="A4429" s="9">
        <f t="shared" si="93"/>
        <v>0</v>
      </c>
    </row>
    <row r="4430" spans="1:1" x14ac:dyDescent="0.25">
      <c r="A4430" s="9">
        <f t="shared" si="93"/>
        <v>0</v>
      </c>
    </row>
    <row r="4431" spans="1:1" x14ac:dyDescent="0.25">
      <c r="A4431" s="9">
        <f t="shared" si="93"/>
        <v>0</v>
      </c>
    </row>
    <row r="4432" spans="1:1" x14ac:dyDescent="0.25">
      <c r="A4432" s="9">
        <f t="shared" si="93"/>
        <v>0</v>
      </c>
    </row>
    <row r="4433" spans="1:1" x14ac:dyDescent="0.25">
      <c r="A4433" s="9">
        <f t="shared" si="93"/>
        <v>0</v>
      </c>
    </row>
    <row r="4434" spans="1:1" x14ac:dyDescent="0.25">
      <c r="A4434" s="9">
        <f t="shared" si="93"/>
        <v>0</v>
      </c>
    </row>
    <row r="4435" spans="1:1" x14ac:dyDescent="0.25">
      <c r="A4435" s="9">
        <f t="shared" si="93"/>
        <v>0</v>
      </c>
    </row>
    <row r="4436" spans="1:1" x14ac:dyDescent="0.25">
      <c r="A4436" s="9">
        <f t="shared" si="93"/>
        <v>0</v>
      </c>
    </row>
    <row r="4437" spans="1:1" x14ac:dyDescent="0.25">
      <c r="A4437" s="9">
        <f t="shared" si="93"/>
        <v>0</v>
      </c>
    </row>
    <row r="4438" spans="1:1" x14ac:dyDescent="0.25">
      <c r="A4438" s="9">
        <f t="shared" si="93"/>
        <v>0</v>
      </c>
    </row>
    <row r="4439" spans="1:1" x14ac:dyDescent="0.25">
      <c r="A4439" s="9">
        <f t="shared" si="93"/>
        <v>0</v>
      </c>
    </row>
    <row r="4440" spans="1:1" x14ac:dyDescent="0.25">
      <c r="A4440" s="9">
        <f t="shared" si="93"/>
        <v>0</v>
      </c>
    </row>
    <row r="4441" spans="1:1" x14ac:dyDescent="0.25">
      <c r="A4441" s="9">
        <f t="shared" si="93"/>
        <v>0</v>
      </c>
    </row>
    <row r="4442" spans="1:1" x14ac:dyDescent="0.25">
      <c r="A4442" s="9">
        <f t="shared" si="93"/>
        <v>0</v>
      </c>
    </row>
    <row r="4443" spans="1:1" x14ac:dyDescent="0.25">
      <c r="A4443" s="9">
        <f t="shared" si="93"/>
        <v>0</v>
      </c>
    </row>
    <row r="4444" spans="1:1" x14ac:dyDescent="0.25">
      <c r="A4444" s="9">
        <f t="shared" si="93"/>
        <v>0</v>
      </c>
    </row>
    <row r="4445" spans="1:1" x14ac:dyDescent="0.25">
      <c r="A4445" s="9">
        <f t="shared" si="93"/>
        <v>0</v>
      </c>
    </row>
    <row r="4446" spans="1:1" x14ac:dyDescent="0.25">
      <c r="A4446" s="9">
        <f t="shared" si="93"/>
        <v>0</v>
      </c>
    </row>
    <row r="4447" spans="1:1" x14ac:dyDescent="0.25">
      <c r="A4447" s="9">
        <f t="shared" si="93"/>
        <v>0</v>
      </c>
    </row>
    <row r="4448" spans="1:1" x14ac:dyDescent="0.25">
      <c r="A4448" s="9">
        <f t="shared" si="93"/>
        <v>0</v>
      </c>
    </row>
    <row r="4449" spans="1:1" x14ac:dyDescent="0.25">
      <c r="A4449" s="9">
        <f t="shared" si="93"/>
        <v>0</v>
      </c>
    </row>
    <row r="4450" spans="1:1" x14ac:dyDescent="0.25">
      <c r="A4450" s="9">
        <f t="shared" si="93"/>
        <v>0</v>
      </c>
    </row>
    <row r="4451" spans="1:1" x14ac:dyDescent="0.25">
      <c r="A4451" s="9">
        <f t="shared" si="93"/>
        <v>0</v>
      </c>
    </row>
    <row r="4452" spans="1:1" x14ac:dyDescent="0.25">
      <c r="A4452" s="9">
        <f t="shared" si="93"/>
        <v>0</v>
      </c>
    </row>
    <row r="4453" spans="1:1" x14ac:dyDescent="0.25">
      <c r="A4453" s="9">
        <f t="shared" si="93"/>
        <v>0</v>
      </c>
    </row>
    <row r="4454" spans="1:1" x14ac:dyDescent="0.25">
      <c r="A4454" s="9">
        <f t="shared" si="93"/>
        <v>0</v>
      </c>
    </row>
    <row r="4455" spans="1:1" x14ac:dyDescent="0.25">
      <c r="A4455" s="9">
        <f t="shared" si="93"/>
        <v>0</v>
      </c>
    </row>
    <row r="4456" spans="1:1" x14ac:dyDescent="0.25">
      <c r="A4456" s="9">
        <f t="shared" si="93"/>
        <v>0</v>
      </c>
    </row>
    <row r="4457" spans="1:1" x14ac:dyDescent="0.25">
      <c r="A4457" s="9">
        <f t="shared" si="93"/>
        <v>0</v>
      </c>
    </row>
    <row r="4458" spans="1:1" x14ac:dyDescent="0.25">
      <c r="A4458" s="9">
        <f t="shared" si="93"/>
        <v>0</v>
      </c>
    </row>
    <row r="4459" spans="1:1" x14ac:dyDescent="0.25">
      <c r="A4459" s="9">
        <f t="shared" si="93"/>
        <v>0</v>
      </c>
    </row>
    <row r="4460" spans="1:1" x14ac:dyDescent="0.25">
      <c r="A4460" s="9">
        <f t="shared" si="93"/>
        <v>0</v>
      </c>
    </row>
    <row r="4461" spans="1:1" x14ac:dyDescent="0.25">
      <c r="A4461" s="9">
        <f t="shared" si="93"/>
        <v>0</v>
      </c>
    </row>
    <row r="4462" spans="1:1" x14ac:dyDescent="0.25">
      <c r="A4462" s="9">
        <f t="shared" si="93"/>
        <v>0</v>
      </c>
    </row>
    <row r="4463" spans="1:1" x14ac:dyDescent="0.25">
      <c r="A4463" s="9">
        <f t="shared" si="93"/>
        <v>0</v>
      </c>
    </row>
    <row r="4464" spans="1:1" x14ac:dyDescent="0.25">
      <c r="A4464" s="9">
        <f t="shared" si="93"/>
        <v>0</v>
      </c>
    </row>
    <row r="4465" spans="1:1" x14ac:dyDescent="0.25">
      <c r="A4465" s="9">
        <f t="shared" si="93"/>
        <v>0</v>
      </c>
    </row>
    <row r="4466" spans="1:1" x14ac:dyDescent="0.25">
      <c r="A4466" s="9">
        <f t="shared" si="93"/>
        <v>0</v>
      </c>
    </row>
    <row r="4467" spans="1:1" x14ac:dyDescent="0.25">
      <c r="A4467" s="9">
        <f t="shared" si="93"/>
        <v>0</v>
      </c>
    </row>
    <row r="4468" spans="1:1" x14ac:dyDescent="0.25">
      <c r="A4468" s="9">
        <f t="shared" si="93"/>
        <v>0</v>
      </c>
    </row>
    <row r="4469" spans="1:1" x14ac:dyDescent="0.25">
      <c r="A4469" s="9">
        <f t="shared" si="93"/>
        <v>0</v>
      </c>
    </row>
    <row r="4470" spans="1:1" x14ac:dyDescent="0.25">
      <c r="A4470" s="9">
        <f t="shared" si="93"/>
        <v>0</v>
      </c>
    </row>
    <row r="4471" spans="1:1" x14ac:dyDescent="0.25">
      <c r="A4471" s="9">
        <f t="shared" si="93"/>
        <v>0</v>
      </c>
    </row>
    <row r="4472" spans="1:1" x14ac:dyDescent="0.25">
      <c r="A4472" s="9">
        <f t="shared" si="93"/>
        <v>0</v>
      </c>
    </row>
    <row r="4473" spans="1:1" x14ac:dyDescent="0.25">
      <c r="A4473" s="9">
        <f t="shared" si="93"/>
        <v>0</v>
      </c>
    </row>
    <row r="4474" spans="1:1" x14ac:dyDescent="0.25">
      <c r="A4474" s="9">
        <f t="shared" si="93"/>
        <v>0</v>
      </c>
    </row>
    <row r="4475" spans="1:1" x14ac:dyDescent="0.25">
      <c r="A4475" s="9">
        <f t="shared" si="93"/>
        <v>0</v>
      </c>
    </row>
    <row r="4476" spans="1:1" x14ac:dyDescent="0.25">
      <c r="A4476" s="9">
        <f t="shared" si="93"/>
        <v>0</v>
      </c>
    </row>
    <row r="4477" spans="1:1" x14ac:dyDescent="0.25">
      <c r="A4477" s="9">
        <f t="shared" si="93"/>
        <v>0</v>
      </c>
    </row>
    <row r="4478" spans="1:1" x14ac:dyDescent="0.25">
      <c r="A4478" s="9">
        <f t="shared" si="93"/>
        <v>0</v>
      </c>
    </row>
    <row r="4479" spans="1:1" x14ac:dyDescent="0.25">
      <c r="A4479" s="9">
        <f t="shared" si="93"/>
        <v>0</v>
      </c>
    </row>
    <row r="4480" spans="1:1" x14ac:dyDescent="0.25">
      <c r="A4480" s="9">
        <f t="shared" si="93"/>
        <v>0</v>
      </c>
    </row>
    <row r="4481" spans="1:1" x14ac:dyDescent="0.25">
      <c r="A4481" s="9">
        <f t="shared" si="93"/>
        <v>0</v>
      </c>
    </row>
    <row r="4482" spans="1:1" x14ac:dyDescent="0.25">
      <c r="A4482" s="9">
        <f t="shared" si="93"/>
        <v>0</v>
      </c>
    </row>
    <row r="4483" spans="1:1" x14ac:dyDescent="0.25">
      <c r="A4483" s="9">
        <f t="shared" si="93"/>
        <v>0</v>
      </c>
    </row>
    <row r="4484" spans="1:1" x14ac:dyDescent="0.25">
      <c r="A4484" s="9">
        <f t="shared" si="93"/>
        <v>0</v>
      </c>
    </row>
    <row r="4485" spans="1:1" x14ac:dyDescent="0.25">
      <c r="A4485" s="9">
        <f t="shared" si="93"/>
        <v>0</v>
      </c>
    </row>
    <row r="4486" spans="1:1" x14ac:dyDescent="0.25">
      <c r="A4486" s="9">
        <f t="shared" si="93"/>
        <v>0</v>
      </c>
    </row>
    <row r="4487" spans="1:1" x14ac:dyDescent="0.25">
      <c r="A4487" s="9">
        <f t="shared" si="93"/>
        <v>0</v>
      </c>
    </row>
    <row r="4488" spans="1:1" x14ac:dyDescent="0.25">
      <c r="A4488" s="9">
        <f t="shared" si="93"/>
        <v>0</v>
      </c>
    </row>
    <row r="4489" spans="1:1" x14ac:dyDescent="0.25">
      <c r="A4489" s="9">
        <f t="shared" si="93"/>
        <v>0</v>
      </c>
    </row>
    <row r="4490" spans="1:1" x14ac:dyDescent="0.25">
      <c r="A4490" s="9">
        <f t="shared" si="93"/>
        <v>0</v>
      </c>
    </row>
    <row r="4491" spans="1:1" x14ac:dyDescent="0.25">
      <c r="A4491" s="9">
        <f t="shared" si="93"/>
        <v>0</v>
      </c>
    </row>
    <row r="4492" spans="1:1" x14ac:dyDescent="0.25">
      <c r="A4492" s="9">
        <f t="shared" ref="A4492:A4555" si="94">IF(G4492&gt;0,1,0)</f>
        <v>0</v>
      </c>
    </row>
    <row r="4493" spans="1:1" x14ac:dyDescent="0.25">
      <c r="A4493" s="9">
        <f t="shared" si="94"/>
        <v>0</v>
      </c>
    </row>
    <row r="4494" spans="1:1" x14ac:dyDescent="0.25">
      <c r="A4494" s="9">
        <f t="shared" si="94"/>
        <v>0</v>
      </c>
    </row>
    <row r="4495" spans="1:1" x14ac:dyDescent="0.25">
      <c r="A4495" s="9">
        <f t="shared" si="94"/>
        <v>0</v>
      </c>
    </row>
    <row r="4496" spans="1:1" x14ac:dyDescent="0.25">
      <c r="A4496" s="9">
        <f t="shared" si="94"/>
        <v>0</v>
      </c>
    </row>
    <row r="4497" spans="1:1" x14ac:dyDescent="0.25">
      <c r="A4497" s="9">
        <f t="shared" si="94"/>
        <v>0</v>
      </c>
    </row>
    <row r="4498" spans="1:1" x14ac:dyDescent="0.25">
      <c r="A4498" s="9">
        <f t="shared" si="94"/>
        <v>0</v>
      </c>
    </row>
    <row r="4499" spans="1:1" x14ac:dyDescent="0.25">
      <c r="A4499" s="9">
        <f t="shared" si="94"/>
        <v>0</v>
      </c>
    </row>
    <row r="4500" spans="1:1" x14ac:dyDescent="0.25">
      <c r="A4500" s="9">
        <f t="shared" si="94"/>
        <v>0</v>
      </c>
    </row>
    <row r="4501" spans="1:1" x14ac:dyDescent="0.25">
      <c r="A4501" s="9">
        <f t="shared" si="94"/>
        <v>0</v>
      </c>
    </row>
    <row r="4502" spans="1:1" x14ac:dyDescent="0.25">
      <c r="A4502" s="9">
        <f t="shared" si="94"/>
        <v>0</v>
      </c>
    </row>
    <row r="4503" spans="1:1" x14ac:dyDescent="0.25">
      <c r="A4503" s="9">
        <f t="shared" si="94"/>
        <v>0</v>
      </c>
    </row>
    <row r="4504" spans="1:1" x14ac:dyDescent="0.25">
      <c r="A4504" s="9">
        <f t="shared" si="94"/>
        <v>0</v>
      </c>
    </row>
    <row r="4505" spans="1:1" x14ac:dyDescent="0.25">
      <c r="A4505" s="9">
        <f t="shared" si="94"/>
        <v>0</v>
      </c>
    </row>
    <row r="4506" spans="1:1" x14ac:dyDescent="0.25">
      <c r="A4506" s="9">
        <f t="shared" si="94"/>
        <v>0</v>
      </c>
    </row>
    <row r="4507" spans="1:1" x14ac:dyDescent="0.25">
      <c r="A4507" s="9">
        <f t="shared" si="94"/>
        <v>0</v>
      </c>
    </row>
    <row r="4508" spans="1:1" x14ac:dyDescent="0.25">
      <c r="A4508" s="9">
        <f t="shared" si="94"/>
        <v>0</v>
      </c>
    </row>
    <row r="4509" spans="1:1" x14ac:dyDescent="0.25">
      <c r="A4509" s="9">
        <f t="shared" si="94"/>
        <v>0</v>
      </c>
    </row>
    <row r="4510" spans="1:1" x14ac:dyDescent="0.25">
      <c r="A4510" s="9">
        <f t="shared" si="94"/>
        <v>0</v>
      </c>
    </row>
    <row r="4511" spans="1:1" x14ac:dyDescent="0.25">
      <c r="A4511" s="9">
        <f t="shared" si="94"/>
        <v>0</v>
      </c>
    </row>
    <row r="4512" spans="1:1" x14ac:dyDescent="0.25">
      <c r="A4512" s="9">
        <f t="shared" si="94"/>
        <v>0</v>
      </c>
    </row>
    <row r="4513" spans="1:1" x14ac:dyDescent="0.25">
      <c r="A4513" s="9">
        <f t="shared" si="94"/>
        <v>0</v>
      </c>
    </row>
    <row r="4514" spans="1:1" x14ac:dyDescent="0.25">
      <c r="A4514" s="9">
        <f t="shared" si="94"/>
        <v>0</v>
      </c>
    </row>
    <row r="4515" spans="1:1" x14ac:dyDescent="0.25">
      <c r="A4515" s="9">
        <f t="shared" si="94"/>
        <v>0</v>
      </c>
    </row>
    <row r="4516" spans="1:1" x14ac:dyDescent="0.25">
      <c r="A4516" s="9">
        <f t="shared" si="94"/>
        <v>0</v>
      </c>
    </row>
    <row r="4517" spans="1:1" x14ac:dyDescent="0.25">
      <c r="A4517" s="9">
        <f t="shared" si="94"/>
        <v>0</v>
      </c>
    </row>
    <row r="4518" spans="1:1" x14ac:dyDescent="0.25">
      <c r="A4518" s="9">
        <f t="shared" si="94"/>
        <v>0</v>
      </c>
    </row>
    <row r="4519" spans="1:1" x14ac:dyDescent="0.25">
      <c r="A4519" s="9">
        <f t="shared" si="94"/>
        <v>0</v>
      </c>
    </row>
    <row r="4520" spans="1:1" x14ac:dyDescent="0.25">
      <c r="A4520" s="9">
        <f t="shared" si="94"/>
        <v>0</v>
      </c>
    </row>
    <row r="4521" spans="1:1" x14ac:dyDescent="0.25">
      <c r="A4521" s="9">
        <f t="shared" si="94"/>
        <v>0</v>
      </c>
    </row>
    <row r="4522" spans="1:1" x14ac:dyDescent="0.25">
      <c r="A4522" s="9">
        <f t="shared" si="94"/>
        <v>0</v>
      </c>
    </row>
    <row r="4523" spans="1:1" x14ac:dyDescent="0.25">
      <c r="A4523" s="9">
        <f t="shared" si="94"/>
        <v>0</v>
      </c>
    </row>
    <row r="4524" spans="1:1" x14ac:dyDescent="0.25">
      <c r="A4524" s="9">
        <f t="shared" si="94"/>
        <v>0</v>
      </c>
    </row>
    <row r="4525" spans="1:1" x14ac:dyDescent="0.25">
      <c r="A4525" s="9">
        <f t="shared" si="94"/>
        <v>0</v>
      </c>
    </row>
    <row r="4526" spans="1:1" x14ac:dyDescent="0.25">
      <c r="A4526" s="9">
        <f t="shared" si="94"/>
        <v>0</v>
      </c>
    </row>
    <row r="4527" spans="1:1" x14ac:dyDescent="0.25">
      <c r="A4527" s="9">
        <f t="shared" si="94"/>
        <v>0</v>
      </c>
    </row>
    <row r="4528" spans="1:1" x14ac:dyDescent="0.25">
      <c r="A4528" s="9">
        <f t="shared" si="94"/>
        <v>0</v>
      </c>
    </row>
    <row r="4529" spans="1:1" x14ac:dyDescent="0.25">
      <c r="A4529" s="9">
        <f t="shared" si="94"/>
        <v>0</v>
      </c>
    </row>
    <row r="4530" spans="1:1" x14ac:dyDescent="0.25">
      <c r="A4530" s="9">
        <f t="shared" si="94"/>
        <v>0</v>
      </c>
    </row>
    <row r="4531" spans="1:1" x14ac:dyDescent="0.25">
      <c r="A4531" s="9">
        <f t="shared" si="94"/>
        <v>0</v>
      </c>
    </row>
    <row r="4532" spans="1:1" x14ac:dyDescent="0.25">
      <c r="A4532" s="9">
        <f t="shared" si="94"/>
        <v>0</v>
      </c>
    </row>
    <row r="4533" spans="1:1" x14ac:dyDescent="0.25">
      <c r="A4533" s="9">
        <f t="shared" si="94"/>
        <v>0</v>
      </c>
    </row>
    <row r="4534" spans="1:1" x14ac:dyDescent="0.25">
      <c r="A4534" s="9">
        <f t="shared" si="94"/>
        <v>0</v>
      </c>
    </row>
    <row r="4535" spans="1:1" x14ac:dyDescent="0.25">
      <c r="A4535" s="9">
        <f t="shared" si="94"/>
        <v>0</v>
      </c>
    </row>
    <row r="4536" spans="1:1" x14ac:dyDescent="0.25">
      <c r="A4536" s="9">
        <f t="shared" si="94"/>
        <v>0</v>
      </c>
    </row>
    <row r="4537" spans="1:1" x14ac:dyDescent="0.25">
      <c r="A4537" s="9">
        <f t="shared" si="94"/>
        <v>0</v>
      </c>
    </row>
    <row r="4538" spans="1:1" x14ac:dyDescent="0.25">
      <c r="A4538" s="9">
        <f t="shared" si="94"/>
        <v>0</v>
      </c>
    </row>
    <row r="4539" spans="1:1" x14ac:dyDescent="0.25">
      <c r="A4539" s="9">
        <f t="shared" si="94"/>
        <v>0</v>
      </c>
    </row>
    <row r="4540" spans="1:1" x14ac:dyDescent="0.25">
      <c r="A4540" s="9">
        <f t="shared" si="94"/>
        <v>0</v>
      </c>
    </row>
    <row r="4541" spans="1:1" x14ac:dyDescent="0.25">
      <c r="A4541" s="9">
        <f t="shared" si="94"/>
        <v>0</v>
      </c>
    </row>
    <row r="4542" spans="1:1" x14ac:dyDescent="0.25">
      <c r="A4542" s="9">
        <f t="shared" si="94"/>
        <v>0</v>
      </c>
    </row>
    <row r="4543" spans="1:1" x14ac:dyDescent="0.25">
      <c r="A4543" s="9">
        <f t="shared" si="94"/>
        <v>0</v>
      </c>
    </row>
    <row r="4544" spans="1:1" x14ac:dyDescent="0.25">
      <c r="A4544" s="9">
        <f t="shared" si="94"/>
        <v>0</v>
      </c>
    </row>
    <row r="4545" spans="1:1" x14ac:dyDescent="0.25">
      <c r="A4545" s="9">
        <f t="shared" si="94"/>
        <v>0</v>
      </c>
    </row>
    <row r="4546" spans="1:1" x14ac:dyDescent="0.25">
      <c r="A4546" s="9">
        <f t="shared" si="94"/>
        <v>0</v>
      </c>
    </row>
    <row r="4547" spans="1:1" x14ac:dyDescent="0.25">
      <c r="A4547" s="9">
        <f t="shared" si="94"/>
        <v>0</v>
      </c>
    </row>
    <row r="4548" spans="1:1" x14ac:dyDescent="0.25">
      <c r="A4548" s="9">
        <f t="shared" si="94"/>
        <v>0</v>
      </c>
    </row>
    <row r="4549" spans="1:1" x14ac:dyDescent="0.25">
      <c r="A4549" s="9">
        <f t="shared" si="94"/>
        <v>0</v>
      </c>
    </row>
    <row r="4550" spans="1:1" x14ac:dyDescent="0.25">
      <c r="A4550" s="9">
        <f t="shared" si="94"/>
        <v>0</v>
      </c>
    </row>
    <row r="4551" spans="1:1" x14ac:dyDescent="0.25">
      <c r="A4551" s="9">
        <f t="shared" si="94"/>
        <v>0</v>
      </c>
    </row>
    <row r="4552" spans="1:1" x14ac:dyDescent="0.25">
      <c r="A4552" s="9">
        <f t="shared" si="94"/>
        <v>0</v>
      </c>
    </row>
    <row r="4553" spans="1:1" x14ac:dyDescent="0.25">
      <c r="A4553" s="9">
        <f t="shared" si="94"/>
        <v>0</v>
      </c>
    </row>
    <row r="4554" spans="1:1" x14ac:dyDescent="0.25">
      <c r="A4554" s="9">
        <f t="shared" si="94"/>
        <v>0</v>
      </c>
    </row>
    <row r="4555" spans="1:1" x14ac:dyDescent="0.25">
      <c r="A4555" s="9">
        <f t="shared" si="94"/>
        <v>0</v>
      </c>
    </row>
    <row r="4556" spans="1:1" x14ac:dyDescent="0.25">
      <c r="A4556" s="9">
        <f t="shared" ref="A4556:A4619" si="95">IF(G4556&gt;0,1,0)</f>
        <v>0</v>
      </c>
    </row>
    <row r="4557" spans="1:1" x14ac:dyDescent="0.25">
      <c r="A4557" s="9">
        <f t="shared" si="95"/>
        <v>0</v>
      </c>
    </row>
    <row r="4558" spans="1:1" x14ac:dyDescent="0.25">
      <c r="A4558" s="9">
        <f t="shared" si="95"/>
        <v>0</v>
      </c>
    </row>
    <row r="4559" spans="1:1" x14ac:dyDescent="0.25">
      <c r="A4559" s="9">
        <f t="shared" si="95"/>
        <v>0</v>
      </c>
    </row>
    <row r="4560" spans="1:1" x14ac:dyDescent="0.25">
      <c r="A4560" s="9">
        <f t="shared" si="95"/>
        <v>0</v>
      </c>
    </row>
    <row r="4561" spans="1:1" x14ac:dyDescent="0.25">
      <c r="A4561" s="9">
        <f t="shared" si="95"/>
        <v>0</v>
      </c>
    </row>
    <row r="4562" spans="1:1" x14ac:dyDescent="0.25">
      <c r="A4562" s="9">
        <f t="shared" si="95"/>
        <v>0</v>
      </c>
    </row>
    <row r="4563" spans="1:1" x14ac:dyDescent="0.25">
      <c r="A4563" s="9">
        <f t="shared" si="95"/>
        <v>0</v>
      </c>
    </row>
    <row r="4564" spans="1:1" x14ac:dyDescent="0.25">
      <c r="A4564" s="9">
        <f t="shared" si="95"/>
        <v>0</v>
      </c>
    </row>
    <row r="4565" spans="1:1" x14ac:dyDescent="0.25">
      <c r="A4565" s="9">
        <f t="shared" si="95"/>
        <v>0</v>
      </c>
    </row>
    <row r="4566" spans="1:1" x14ac:dyDescent="0.25">
      <c r="A4566" s="9">
        <f t="shared" si="95"/>
        <v>0</v>
      </c>
    </row>
    <row r="4567" spans="1:1" x14ac:dyDescent="0.25">
      <c r="A4567" s="9">
        <f t="shared" si="95"/>
        <v>0</v>
      </c>
    </row>
    <row r="4568" spans="1:1" x14ac:dyDescent="0.25">
      <c r="A4568" s="9">
        <f t="shared" si="95"/>
        <v>0</v>
      </c>
    </row>
    <row r="4569" spans="1:1" x14ac:dyDescent="0.25">
      <c r="A4569" s="9">
        <f t="shared" si="95"/>
        <v>0</v>
      </c>
    </row>
    <row r="4570" spans="1:1" x14ac:dyDescent="0.25">
      <c r="A4570" s="9">
        <f t="shared" si="95"/>
        <v>0</v>
      </c>
    </row>
    <row r="4571" spans="1:1" x14ac:dyDescent="0.25">
      <c r="A4571" s="9">
        <f t="shared" si="95"/>
        <v>0</v>
      </c>
    </row>
    <row r="4572" spans="1:1" x14ac:dyDescent="0.25">
      <c r="A4572" s="9">
        <f t="shared" si="95"/>
        <v>0</v>
      </c>
    </row>
    <row r="4573" spans="1:1" x14ac:dyDescent="0.25">
      <c r="A4573" s="9">
        <f t="shared" si="95"/>
        <v>0</v>
      </c>
    </row>
    <row r="4574" spans="1:1" x14ac:dyDescent="0.25">
      <c r="A4574" s="9">
        <f t="shared" si="95"/>
        <v>0</v>
      </c>
    </row>
    <row r="4575" spans="1:1" x14ac:dyDescent="0.25">
      <c r="A4575" s="9">
        <f t="shared" si="95"/>
        <v>0</v>
      </c>
    </row>
    <row r="4576" spans="1:1" x14ac:dyDescent="0.25">
      <c r="A4576" s="9">
        <f t="shared" si="95"/>
        <v>0</v>
      </c>
    </row>
    <row r="4577" spans="1:1" x14ac:dyDescent="0.25">
      <c r="A4577" s="9">
        <f t="shared" si="95"/>
        <v>0</v>
      </c>
    </row>
    <row r="4578" spans="1:1" x14ac:dyDescent="0.25">
      <c r="A4578" s="9">
        <f t="shared" si="95"/>
        <v>0</v>
      </c>
    </row>
    <row r="4579" spans="1:1" x14ac:dyDescent="0.25">
      <c r="A4579" s="9">
        <f t="shared" si="95"/>
        <v>0</v>
      </c>
    </row>
    <row r="4580" spans="1:1" x14ac:dyDescent="0.25">
      <c r="A4580" s="9">
        <f t="shared" si="95"/>
        <v>0</v>
      </c>
    </row>
    <row r="4581" spans="1:1" x14ac:dyDescent="0.25">
      <c r="A4581" s="9">
        <f t="shared" si="95"/>
        <v>0</v>
      </c>
    </row>
    <row r="4582" spans="1:1" x14ac:dyDescent="0.25">
      <c r="A4582" s="9">
        <f t="shared" si="95"/>
        <v>0</v>
      </c>
    </row>
    <row r="4583" spans="1:1" x14ac:dyDescent="0.25">
      <c r="A4583" s="9">
        <f t="shared" si="95"/>
        <v>0</v>
      </c>
    </row>
    <row r="4584" spans="1:1" x14ac:dyDescent="0.25">
      <c r="A4584" s="9">
        <f t="shared" si="95"/>
        <v>0</v>
      </c>
    </row>
    <row r="4585" spans="1:1" x14ac:dyDescent="0.25">
      <c r="A4585" s="9">
        <f t="shared" si="95"/>
        <v>0</v>
      </c>
    </row>
    <row r="4586" spans="1:1" x14ac:dyDescent="0.25">
      <c r="A4586" s="9">
        <f t="shared" si="95"/>
        <v>0</v>
      </c>
    </row>
    <row r="4587" spans="1:1" x14ac:dyDescent="0.25">
      <c r="A4587" s="9">
        <f t="shared" si="95"/>
        <v>0</v>
      </c>
    </row>
    <row r="4588" spans="1:1" x14ac:dyDescent="0.25">
      <c r="A4588" s="9">
        <f t="shared" si="95"/>
        <v>0</v>
      </c>
    </row>
    <row r="4589" spans="1:1" x14ac:dyDescent="0.25">
      <c r="A4589" s="9">
        <f t="shared" si="95"/>
        <v>0</v>
      </c>
    </row>
    <row r="4590" spans="1:1" x14ac:dyDescent="0.25">
      <c r="A4590" s="9">
        <f t="shared" si="95"/>
        <v>0</v>
      </c>
    </row>
    <row r="4591" spans="1:1" x14ac:dyDescent="0.25">
      <c r="A4591" s="9">
        <f t="shared" si="95"/>
        <v>0</v>
      </c>
    </row>
    <row r="4592" spans="1:1" x14ac:dyDescent="0.25">
      <c r="A4592" s="9">
        <f t="shared" si="95"/>
        <v>0</v>
      </c>
    </row>
    <row r="4593" spans="1:1" x14ac:dyDescent="0.25">
      <c r="A4593" s="9">
        <f t="shared" si="95"/>
        <v>0</v>
      </c>
    </row>
    <row r="4594" spans="1:1" x14ac:dyDescent="0.25">
      <c r="A4594" s="9">
        <f t="shared" si="95"/>
        <v>0</v>
      </c>
    </row>
    <row r="4595" spans="1:1" x14ac:dyDescent="0.25">
      <c r="A4595" s="9">
        <f t="shared" si="95"/>
        <v>0</v>
      </c>
    </row>
    <row r="4596" spans="1:1" x14ac:dyDescent="0.25">
      <c r="A4596" s="9">
        <f t="shared" si="95"/>
        <v>0</v>
      </c>
    </row>
    <row r="4597" spans="1:1" x14ac:dyDescent="0.25">
      <c r="A4597" s="9">
        <f t="shared" si="95"/>
        <v>0</v>
      </c>
    </row>
    <row r="4598" spans="1:1" x14ac:dyDescent="0.25">
      <c r="A4598" s="9">
        <f t="shared" si="95"/>
        <v>0</v>
      </c>
    </row>
    <row r="4599" spans="1:1" x14ac:dyDescent="0.25">
      <c r="A4599" s="9">
        <f t="shared" si="95"/>
        <v>0</v>
      </c>
    </row>
    <row r="4600" spans="1:1" x14ac:dyDescent="0.25">
      <c r="A4600" s="9">
        <f t="shared" si="95"/>
        <v>0</v>
      </c>
    </row>
    <row r="4601" spans="1:1" x14ac:dyDescent="0.25">
      <c r="A4601" s="9">
        <f t="shared" si="95"/>
        <v>0</v>
      </c>
    </row>
    <row r="4602" spans="1:1" x14ac:dyDescent="0.25">
      <c r="A4602" s="9">
        <f t="shared" si="95"/>
        <v>0</v>
      </c>
    </row>
    <row r="4603" spans="1:1" x14ac:dyDescent="0.25">
      <c r="A4603" s="9">
        <f t="shared" si="95"/>
        <v>0</v>
      </c>
    </row>
    <row r="4604" spans="1:1" x14ac:dyDescent="0.25">
      <c r="A4604" s="9">
        <f t="shared" si="95"/>
        <v>0</v>
      </c>
    </row>
    <row r="4605" spans="1:1" x14ac:dyDescent="0.25">
      <c r="A4605" s="9">
        <f t="shared" si="95"/>
        <v>0</v>
      </c>
    </row>
    <row r="4606" spans="1:1" x14ac:dyDescent="0.25">
      <c r="A4606" s="9">
        <f t="shared" si="95"/>
        <v>0</v>
      </c>
    </row>
    <row r="4607" spans="1:1" x14ac:dyDescent="0.25">
      <c r="A4607" s="9">
        <f t="shared" si="95"/>
        <v>0</v>
      </c>
    </row>
    <row r="4608" spans="1:1" x14ac:dyDescent="0.25">
      <c r="A4608" s="9">
        <f t="shared" si="95"/>
        <v>0</v>
      </c>
    </row>
    <row r="4609" spans="1:1" x14ac:dyDescent="0.25">
      <c r="A4609" s="9">
        <f t="shared" si="95"/>
        <v>0</v>
      </c>
    </row>
    <row r="4610" spans="1:1" x14ac:dyDescent="0.25">
      <c r="A4610" s="9">
        <f t="shared" si="95"/>
        <v>0</v>
      </c>
    </row>
    <row r="4611" spans="1:1" x14ac:dyDescent="0.25">
      <c r="A4611" s="9">
        <f t="shared" si="95"/>
        <v>0</v>
      </c>
    </row>
    <row r="4612" spans="1:1" x14ac:dyDescent="0.25">
      <c r="A4612" s="9">
        <f t="shared" si="95"/>
        <v>0</v>
      </c>
    </row>
    <row r="4613" spans="1:1" x14ac:dyDescent="0.25">
      <c r="A4613" s="9">
        <f t="shared" si="95"/>
        <v>0</v>
      </c>
    </row>
    <row r="4614" spans="1:1" x14ac:dyDescent="0.25">
      <c r="A4614" s="9">
        <f t="shared" si="95"/>
        <v>0</v>
      </c>
    </row>
    <row r="4615" spans="1:1" x14ac:dyDescent="0.25">
      <c r="A4615" s="9">
        <f t="shared" si="95"/>
        <v>0</v>
      </c>
    </row>
    <row r="4616" spans="1:1" x14ac:dyDescent="0.25">
      <c r="A4616" s="9">
        <f t="shared" si="95"/>
        <v>0</v>
      </c>
    </row>
    <row r="4617" spans="1:1" x14ac:dyDescent="0.25">
      <c r="A4617" s="9">
        <f t="shared" si="95"/>
        <v>0</v>
      </c>
    </row>
    <row r="4618" spans="1:1" x14ac:dyDescent="0.25">
      <c r="A4618" s="9">
        <f t="shared" si="95"/>
        <v>0</v>
      </c>
    </row>
    <row r="4619" spans="1:1" x14ac:dyDescent="0.25">
      <c r="A4619" s="9">
        <f t="shared" si="95"/>
        <v>0</v>
      </c>
    </row>
    <row r="4620" spans="1:1" x14ac:dyDescent="0.25">
      <c r="A4620" s="9">
        <f t="shared" ref="A4620:A4683" si="96">IF(G4620&gt;0,1,0)</f>
        <v>0</v>
      </c>
    </row>
    <row r="4621" spans="1:1" x14ac:dyDescent="0.25">
      <c r="A4621" s="9">
        <f t="shared" si="96"/>
        <v>0</v>
      </c>
    </row>
    <row r="4622" spans="1:1" x14ac:dyDescent="0.25">
      <c r="A4622" s="9">
        <f t="shared" si="96"/>
        <v>0</v>
      </c>
    </row>
    <row r="4623" spans="1:1" x14ac:dyDescent="0.25">
      <c r="A4623" s="9">
        <f t="shared" si="96"/>
        <v>0</v>
      </c>
    </row>
    <row r="4624" spans="1:1" x14ac:dyDescent="0.25">
      <c r="A4624" s="9">
        <f t="shared" si="96"/>
        <v>0</v>
      </c>
    </row>
    <row r="4625" spans="1:1" x14ac:dyDescent="0.25">
      <c r="A4625" s="9">
        <f t="shared" si="96"/>
        <v>0</v>
      </c>
    </row>
    <row r="4626" spans="1:1" x14ac:dyDescent="0.25">
      <c r="A4626" s="9">
        <f t="shared" si="96"/>
        <v>0</v>
      </c>
    </row>
    <row r="4627" spans="1:1" x14ac:dyDescent="0.25">
      <c r="A4627" s="9">
        <f t="shared" si="96"/>
        <v>0</v>
      </c>
    </row>
    <row r="4628" spans="1:1" x14ac:dyDescent="0.25">
      <c r="A4628" s="9">
        <f t="shared" si="96"/>
        <v>0</v>
      </c>
    </row>
    <row r="4629" spans="1:1" x14ac:dyDescent="0.25">
      <c r="A4629" s="9">
        <f t="shared" si="96"/>
        <v>0</v>
      </c>
    </row>
    <row r="4630" spans="1:1" x14ac:dyDescent="0.25">
      <c r="A4630" s="9">
        <f t="shared" si="96"/>
        <v>0</v>
      </c>
    </row>
    <row r="4631" spans="1:1" x14ac:dyDescent="0.25">
      <c r="A4631" s="9">
        <f t="shared" si="96"/>
        <v>0</v>
      </c>
    </row>
    <row r="4632" spans="1:1" x14ac:dyDescent="0.25">
      <c r="A4632" s="9">
        <f t="shared" si="96"/>
        <v>0</v>
      </c>
    </row>
    <row r="4633" spans="1:1" x14ac:dyDescent="0.25">
      <c r="A4633" s="9">
        <f t="shared" si="96"/>
        <v>0</v>
      </c>
    </row>
    <row r="4634" spans="1:1" x14ac:dyDescent="0.25">
      <c r="A4634" s="9">
        <f t="shared" si="96"/>
        <v>0</v>
      </c>
    </row>
    <row r="4635" spans="1:1" x14ac:dyDescent="0.25">
      <c r="A4635" s="9">
        <f t="shared" si="96"/>
        <v>0</v>
      </c>
    </row>
    <row r="4636" spans="1:1" x14ac:dyDescent="0.25">
      <c r="A4636" s="9">
        <f t="shared" si="96"/>
        <v>0</v>
      </c>
    </row>
    <row r="4637" spans="1:1" x14ac:dyDescent="0.25">
      <c r="A4637" s="9">
        <f t="shared" si="96"/>
        <v>0</v>
      </c>
    </row>
    <row r="4638" spans="1:1" x14ac:dyDescent="0.25">
      <c r="A4638" s="9">
        <f t="shared" si="96"/>
        <v>0</v>
      </c>
    </row>
    <row r="4639" spans="1:1" x14ac:dyDescent="0.25">
      <c r="A4639" s="9">
        <f t="shared" si="96"/>
        <v>0</v>
      </c>
    </row>
    <row r="4640" spans="1:1" x14ac:dyDescent="0.25">
      <c r="A4640" s="9">
        <f t="shared" si="96"/>
        <v>0</v>
      </c>
    </row>
    <row r="4641" spans="1:1" x14ac:dyDescent="0.25">
      <c r="A4641" s="9">
        <f t="shared" si="96"/>
        <v>0</v>
      </c>
    </row>
    <row r="4642" spans="1:1" x14ac:dyDescent="0.25">
      <c r="A4642" s="9">
        <f t="shared" si="96"/>
        <v>0</v>
      </c>
    </row>
    <row r="4643" spans="1:1" x14ac:dyDescent="0.25">
      <c r="A4643" s="9">
        <f t="shared" si="96"/>
        <v>0</v>
      </c>
    </row>
    <row r="4644" spans="1:1" x14ac:dyDescent="0.25">
      <c r="A4644" s="9">
        <f t="shared" si="96"/>
        <v>0</v>
      </c>
    </row>
    <row r="4645" spans="1:1" x14ac:dyDescent="0.25">
      <c r="A4645" s="9">
        <f t="shared" si="96"/>
        <v>0</v>
      </c>
    </row>
    <row r="4646" spans="1:1" x14ac:dyDescent="0.25">
      <c r="A4646" s="9">
        <f t="shared" si="96"/>
        <v>0</v>
      </c>
    </row>
    <row r="4647" spans="1:1" x14ac:dyDescent="0.25">
      <c r="A4647" s="9">
        <f t="shared" si="96"/>
        <v>0</v>
      </c>
    </row>
    <row r="4648" spans="1:1" x14ac:dyDescent="0.25">
      <c r="A4648" s="9">
        <f t="shared" si="96"/>
        <v>0</v>
      </c>
    </row>
    <row r="4649" spans="1:1" x14ac:dyDescent="0.25">
      <c r="A4649" s="9">
        <f t="shared" si="96"/>
        <v>0</v>
      </c>
    </row>
    <row r="4650" spans="1:1" x14ac:dyDescent="0.25">
      <c r="A4650" s="9">
        <f t="shared" si="96"/>
        <v>0</v>
      </c>
    </row>
    <row r="4651" spans="1:1" x14ac:dyDescent="0.25">
      <c r="A4651" s="9">
        <f t="shared" si="96"/>
        <v>0</v>
      </c>
    </row>
    <row r="4652" spans="1:1" x14ac:dyDescent="0.25">
      <c r="A4652" s="9">
        <f t="shared" si="96"/>
        <v>0</v>
      </c>
    </row>
    <row r="4653" spans="1:1" x14ac:dyDescent="0.25">
      <c r="A4653" s="9">
        <f t="shared" si="96"/>
        <v>0</v>
      </c>
    </row>
    <row r="4654" spans="1:1" x14ac:dyDescent="0.25">
      <c r="A4654" s="9">
        <f t="shared" si="96"/>
        <v>0</v>
      </c>
    </row>
    <row r="4655" spans="1:1" x14ac:dyDescent="0.25">
      <c r="A4655" s="9">
        <f t="shared" si="96"/>
        <v>0</v>
      </c>
    </row>
    <row r="4656" spans="1:1" x14ac:dyDescent="0.25">
      <c r="A4656" s="9">
        <f t="shared" si="96"/>
        <v>0</v>
      </c>
    </row>
    <row r="4657" spans="1:1" x14ac:dyDescent="0.25">
      <c r="A4657" s="9">
        <f t="shared" si="96"/>
        <v>0</v>
      </c>
    </row>
    <row r="4658" spans="1:1" x14ac:dyDescent="0.25">
      <c r="A4658" s="9">
        <f t="shared" si="96"/>
        <v>0</v>
      </c>
    </row>
    <row r="4659" spans="1:1" x14ac:dyDescent="0.25">
      <c r="A4659" s="9">
        <f t="shared" si="96"/>
        <v>0</v>
      </c>
    </row>
    <row r="4660" spans="1:1" x14ac:dyDescent="0.25">
      <c r="A4660" s="9">
        <f t="shared" si="96"/>
        <v>0</v>
      </c>
    </row>
    <row r="4661" spans="1:1" x14ac:dyDescent="0.25">
      <c r="A4661" s="9">
        <f t="shared" si="96"/>
        <v>0</v>
      </c>
    </row>
    <row r="4662" spans="1:1" x14ac:dyDescent="0.25">
      <c r="A4662" s="9">
        <f t="shared" si="96"/>
        <v>0</v>
      </c>
    </row>
    <row r="4663" spans="1:1" x14ac:dyDescent="0.25">
      <c r="A4663" s="9">
        <f t="shared" si="96"/>
        <v>0</v>
      </c>
    </row>
    <row r="4664" spans="1:1" x14ac:dyDescent="0.25">
      <c r="A4664" s="9">
        <f t="shared" si="96"/>
        <v>0</v>
      </c>
    </row>
    <row r="4665" spans="1:1" x14ac:dyDescent="0.25">
      <c r="A4665" s="9">
        <f t="shared" si="96"/>
        <v>0</v>
      </c>
    </row>
    <row r="4666" spans="1:1" x14ac:dyDescent="0.25">
      <c r="A4666" s="9">
        <f t="shared" si="96"/>
        <v>0</v>
      </c>
    </row>
    <row r="4667" spans="1:1" x14ac:dyDescent="0.25">
      <c r="A4667" s="9">
        <f t="shared" si="96"/>
        <v>0</v>
      </c>
    </row>
    <row r="4668" spans="1:1" x14ac:dyDescent="0.25">
      <c r="A4668" s="9">
        <f t="shared" si="96"/>
        <v>0</v>
      </c>
    </row>
    <row r="4669" spans="1:1" x14ac:dyDescent="0.25">
      <c r="A4669" s="9">
        <f t="shared" si="96"/>
        <v>0</v>
      </c>
    </row>
    <row r="4670" spans="1:1" x14ac:dyDescent="0.25">
      <c r="A4670" s="9">
        <f t="shared" si="96"/>
        <v>0</v>
      </c>
    </row>
    <row r="4671" spans="1:1" x14ac:dyDescent="0.25">
      <c r="A4671" s="9">
        <f t="shared" si="96"/>
        <v>0</v>
      </c>
    </row>
    <row r="4672" spans="1:1" x14ac:dyDescent="0.25">
      <c r="A4672" s="9">
        <f t="shared" si="96"/>
        <v>0</v>
      </c>
    </row>
    <row r="4673" spans="1:1" x14ac:dyDescent="0.25">
      <c r="A4673" s="9">
        <f t="shared" si="96"/>
        <v>0</v>
      </c>
    </row>
    <row r="4674" spans="1:1" x14ac:dyDescent="0.25">
      <c r="A4674" s="9">
        <f t="shared" si="96"/>
        <v>0</v>
      </c>
    </row>
    <row r="4675" spans="1:1" x14ac:dyDescent="0.25">
      <c r="A4675" s="9">
        <f t="shared" si="96"/>
        <v>0</v>
      </c>
    </row>
    <row r="4676" spans="1:1" x14ac:dyDescent="0.25">
      <c r="A4676" s="9">
        <f t="shared" si="96"/>
        <v>0</v>
      </c>
    </row>
    <row r="4677" spans="1:1" x14ac:dyDescent="0.25">
      <c r="A4677" s="9">
        <f t="shared" si="96"/>
        <v>0</v>
      </c>
    </row>
    <row r="4678" spans="1:1" x14ac:dyDescent="0.25">
      <c r="A4678" s="9">
        <f t="shared" si="96"/>
        <v>0</v>
      </c>
    </row>
    <row r="4679" spans="1:1" x14ac:dyDescent="0.25">
      <c r="A4679" s="9">
        <f t="shared" si="96"/>
        <v>0</v>
      </c>
    </row>
    <row r="4680" spans="1:1" x14ac:dyDescent="0.25">
      <c r="A4680" s="9">
        <f t="shared" si="96"/>
        <v>0</v>
      </c>
    </row>
    <row r="4681" spans="1:1" x14ac:dyDescent="0.25">
      <c r="A4681" s="9">
        <f t="shared" si="96"/>
        <v>0</v>
      </c>
    </row>
    <row r="4682" spans="1:1" x14ac:dyDescent="0.25">
      <c r="A4682" s="9">
        <f t="shared" si="96"/>
        <v>0</v>
      </c>
    </row>
    <row r="4683" spans="1:1" x14ac:dyDescent="0.25">
      <c r="A4683" s="9">
        <f t="shared" si="96"/>
        <v>0</v>
      </c>
    </row>
    <row r="4684" spans="1:1" x14ac:dyDescent="0.25">
      <c r="A4684" s="9">
        <f t="shared" ref="A4684:A4747" si="97">IF(G4684&gt;0,1,0)</f>
        <v>0</v>
      </c>
    </row>
    <row r="4685" spans="1:1" x14ac:dyDescent="0.25">
      <c r="A4685" s="9">
        <f t="shared" si="97"/>
        <v>0</v>
      </c>
    </row>
    <row r="4686" spans="1:1" x14ac:dyDescent="0.25">
      <c r="A4686" s="9">
        <f t="shared" si="97"/>
        <v>0</v>
      </c>
    </row>
    <row r="4687" spans="1:1" x14ac:dyDescent="0.25">
      <c r="A4687" s="9">
        <f t="shared" si="97"/>
        <v>0</v>
      </c>
    </row>
    <row r="4688" spans="1:1" x14ac:dyDescent="0.25">
      <c r="A4688" s="9">
        <f t="shared" si="97"/>
        <v>0</v>
      </c>
    </row>
    <row r="4689" spans="1:1" x14ac:dyDescent="0.25">
      <c r="A4689" s="9">
        <f t="shared" si="97"/>
        <v>0</v>
      </c>
    </row>
    <row r="4690" spans="1:1" x14ac:dyDescent="0.25">
      <c r="A4690" s="9">
        <f t="shared" si="97"/>
        <v>0</v>
      </c>
    </row>
    <row r="4691" spans="1:1" x14ac:dyDescent="0.25">
      <c r="A4691" s="9">
        <f t="shared" si="97"/>
        <v>0</v>
      </c>
    </row>
    <row r="4692" spans="1:1" x14ac:dyDescent="0.25">
      <c r="A4692" s="9">
        <f t="shared" si="97"/>
        <v>0</v>
      </c>
    </row>
    <row r="4693" spans="1:1" x14ac:dyDescent="0.25">
      <c r="A4693" s="9">
        <f t="shared" si="97"/>
        <v>0</v>
      </c>
    </row>
    <row r="4694" spans="1:1" x14ac:dyDescent="0.25">
      <c r="A4694" s="9">
        <f t="shared" si="97"/>
        <v>0</v>
      </c>
    </row>
    <row r="4695" spans="1:1" x14ac:dyDescent="0.25">
      <c r="A4695" s="9">
        <f t="shared" si="97"/>
        <v>0</v>
      </c>
    </row>
    <row r="4696" spans="1:1" x14ac:dyDescent="0.25">
      <c r="A4696" s="9">
        <f t="shared" si="97"/>
        <v>0</v>
      </c>
    </row>
    <row r="4697" spans="1:1" x14ac:dyDescent="0.25">
      <c r="A4697" s="9">
        <f t="shared" si="97"/>
        <v>0</v>
      </c>
    </row>
    <row r="4698" spans="1:1" x14ac:dyDescent="0.25">
      <c r="A4698" s="9">
        <f t="shared" si="97"/>
        <v>0</v>
      </c>
    </row>
    <row r="4699" spans="1:1" x14ac:dyDescent="0.25">
      <c r="A4699" s="9">
        <f t="shared" si="97"/>
        <v>0</v>
      </c>
    </row>
    <row r="4700" spans="1:1" x14ac:dyDescent="0.25">
      <c r="A4700" s="9">
        <f t="shared" si="97"/>
        <v>0</v>
      </c>
    </row>
    <row r="4701" spans="1:1" x14ac:dyDescent="0.25">
      <c r="A4701" s="9">
        <f t="shared" si="97"/>
        <v>0</v>
      </c>
    </row>
    <row r="4702" spans="1:1" x14ac:dyDescent="0.25">
      <c r="A4702" s="9">
        <f t="shared" si="97"/>
        <v>0</v>
      </c>
    </row>
    <row r="4703" spans="1:1" x14ac:dyDescent="0.25">
      <c r="A4703" s="9">
        <f t="shared" si="97"/>
        <v>0</v>
      </c>
    </row>
    <row r="4704" spans="1:1" x14ac:dyDescent="0.25">
      <c r="A4704" s="9">
        <f t="shared" si="97"/>
        <v>0</v>
      </c>
    </row>
    <row r="4705" spans="1:1" x14ac:dyDescent="0.25">
      <c r="A4705" s="9">
        <f t="shared" si="97"/>
        <v>0</v>
      </c>
    </row>
    <row r="4706" spans="1:1" x14ac:dyDescent="0.25">
      <c r="A4706" s="9">
        <f t="shared" si="97"/>
        <v>0</v>
      </c>
    </row>
    <row r="4707" spans="1:1" x14ac:dyDescent="0.25">
      <c r="A4707" s="9">
        <f t="shared" si="97"/>
        <v>0</v>
      </c>
    </row>
    <row r="4708" spans="1:1" x14ac:dyDescent="0.25">
      <c r="A4708" s="9">
        <f t="shared" si="97"/>
        <v>0</v>
      </c>
    </row>
    <row r="4709" spans="1:1" x14ac:dyDescent="0.25">
      <c r="A4709" s="9">
        <f t="shared" si="97"/>
        <v>0</v>
      </c>
    </row>
    <row r="4710" spans="1:1" x14ac:dyDescent="0.25">
      <c r="A4710" s="9">
        <f t="shared" si="97"/>
        <v>0</v>
      </c>
    </row>
    <row r="4711" spans="1:1" x14ac:dyDescent="0.25">
      <c r="A4711" s="9">
        <f t="shared" si="97"/>
        <v>0</v>
      </c>
    </row>
    <row r="4712" spans="1:1" x14ac:dyDescent="0.25">
      <c r="A4712" s="9">
        <f t="shared" si="97"/>
        <v>0</v>
      </c>
    </row>
    <row r="4713" spans="1:1" x14ac:dyDescent="0.25">
      <c r="A4713" s="9">
        <f t="shared" si="97"/>
        <v>0</v>
      </c>
    </row>
    <row r="4714" spans="1:1" x14ac:dyDescent="0.25">
      <c r="A4714" s="9">
        <f t="shared" si="97"/>
        <v>0</v>
      </c>
    </row>
    <row r="4715" spans="1:1" x14ac:dyDescent="0.25">
      <c r="A4715" s="9">
        <f t="shared" si="97"/>
        <v>0</v>
      </c>
    </row>
    <row r="4716" spans="1:1" x14ac:dyDescent="0.25">
      <c r="A4716" s="9">
        <f t="shared" si="97"/>
        <v>0</v>
      </c>
    </row>
    <row r="4717" spans="1:1" x14ac:dyDescent="0.25">
      <c r="A4717" s="9">
        <f t="shared" si="97"/>
        <v>0</v>
      </c>
    </row>
    <row r="4718" spans="1:1" x14ac:dyDescent="0.25">
      <c r="A4718" s="9">
        <f t="shared" si="97"/>
        <v>0</v>
      </c>
    </row>
    <row r="4719" spans="1:1" x14ac:dyDescent="0.25">
      <c r="A4719" s="9">
        <f t="shared" si="97"/>
        <v>0</v>
      </c>
    </row>
    <row r="4720" spans="1:1" x14ac:dyDescent="0.25">
      <c r="A4720" s="9">
        <f t="shared" si="97"/>
        <v>0</v>
      </c>
    </row>
    <row r="4721" spans="1:1" x14ac:dyDescent="0.25">
      <c r="A4721" s="9">
        <f t="shared" si="97"/>
        <v>0</v>
      </c>
    </row>
    <row r="4722" spans="1:1" x14ac:dyDescent="0.25">
      <c r="A4722" s="9">
        <f t="shared" si="97"/>
        <v>0</v>
      </c>
    </row>
    <row r="4723" spans="1:1" x14ac:dyDescent="0.25">
      <c r="A4723" s="9">
        <f t="shared" si="97"/>
        <v>0</v>
      </c>
    </row>
    <row r="4724" spans="1:1" x14ac:dyDescent="0.25">
      <c r="A4724" s="9">
        <f t="shared" si="97"/>
        <v>0</v>
      </c>
    </row>
    <row r="4725" spans="1:1" x14ac:dyDescent="0.25">
      <c r="A4725" s="9">
        <f t="shared" si="97"/>
        <v>0</v>
      </c>
    </row>
    <row r="4726" spans="1:1" x14ac:dyDescent="0.25">
      <c r="A4726" s="9">
        <f t="shared" si="97"/>
        <v>0</v>
      </c>
    </row>
    <row r="4727" spans="1:1" x14ac:dyDescent="0.25">
      <c r="A4727" s="9">
        <f t="shared" si="97"/>
        <v>0</v>
      </c>
    </row>
    <row r="4728" spans="1:1" x14ac:dyDescent="0.25">
      <c r="A4728" s="9">
        <f t="shared" si="97"/>
        <v>0</v>
      </c>
    </row>
    <row r="4729" spans="1:1" x14ac:dyDescent="0.25">
      <c r="A4729" s="9">
        <f t="shared" si="97"/>
        <v>0</v>
      </c>
    </row>
    <row r="4730" spans="1:1" x14ac:dyDescent="0.25">
      <c r="A4730" s="9">
        <f t="shared" si="97"/>
        <v>0</v>
      </c>
    </row>
    <row r="4731" spans="1:1" x14ac:dyDescent="0.25">
      <c r="A4731" s="9">
        <f t="shared" si="97"/>
        <v>0</v>
      </c>
    </row>
    <row r="4732" spans="1:1" x14ac:dyDescent="0.25">
      <c r="A4732" s="9">
        <f t="shared" si="97"/>
        <v>0</v>
      </c>
    </row>
    <row r="4733" spans="1:1" x14ac:dyDescent="0.25">
      <c r="A4733" s="9">
        <f t="shared" si="97"/>
        <v>0</v>
      </c>
    </row>
    <row r="4734" spans="1:1" x14ac:dyDescent="0.25">
      <c r="A4734" s="9">
        <f t="shared" si="97"/>
        <v>0</v>
      </c>
    </row>
    <row r="4735" spans="1:1" x14ac:dyDescent="0.25">
      <c r="A4735" s="9">
        <f t="shared" si="97"/>
        <v>0</v>
      </c>
    </row>
    <row r="4736" spans="1:1" x14ac:dyDescent="0.25">
      <c r="A4736" s="9">
        <f t="shared" si="97"/>
        <v>0</v>
      </c>
    </row>
    <row r="4737" spans="1:1" x14ac:dyDescent="0.25">
      <c r="A4737" s="9">
        <f t="shared" si="97"/>
        <v>0</v>
      </c>
    </row>
    <row r="4738" spans="1:1" x14ac:dyDescent="0.25">
      <c r="A4738" s="9">
        <f t="shared" si="97"/>
        <v>0</v>
      </c>
    </row>
    <row r="4739" spans="1:1" x14ac:dyDescent="0.25">
      <c r="A4739" s="9">
        <f t="shared" si="97"/>
        <v>0</v>
      </c>
    </row>
    <row r="4740" spans="1:1" x14ac:dyDescent="0.25">
      <c r="A4740" s="9">
        <f t="shared" si="97"/>
        <v>0</v>
      </c>
    </row>
    <row r="4741" spans="1:1" x14ac:dyDescent="0.25">
      <c r="A4741" s="9">
        <f t="shared" si="97"/>
        <v>0</v>
      </c>
    </row>
    <row r="4742" spans="1:1" x14ac:dyDescent="0.25">
      <c r="A4742" s="9">
        <f t="shared" si="97"/>
        <v>0</v>
      </c>
    </row>
    <row r="4743" spans="1:1" x14ac:dyDescent="0.25">
      <c r="A4743" s="9">
        <f t="shared" si="97"/>
        <v>0</v>
      </c>
    </row>
    <row r="4744" spans="1:1" x14ac:dyDescent="0.25">
      <c r="A4744" s="9">
        <f t="shared" si="97"/>
        <v>0</v>
      </c>
    </row>
    <row r="4745" spans="1:1" x14ac:dyDescent="0.25">
      <c r="A4745" s="9">
        <f t="shared" si="97"/>
        <v>0</v>
      </c>
    </row>
    <row r="4746" spans="1:1" x14ac:dyDescent="0.25">
      <c r="A4746" s="9">
        <f t="shared" si="97"/>
        <v>0</v>
      </c>
    </row>
    <row r="4747" spans="1:1" x14ac:dyDescent="0.25">
      <c r="A4747" s="9">
        <f t="shared" si="97"/>
        <v>0</v>
      </c>
    </row>
    <row r="4748" spans="1:1" x14ac:dyDescent="0.25">
      <c r="A4748" s="9">
        <f t="shared" ref="A4748:A4811" si="98">IF(G4748&gt;0,1,0)</f>
        <v>0</v>
      </c>
    </row>
    <row r="4749" spans="1:1" x14ac:dyDescent="0.25">
      <c r="A4749" s="9">
        <f t="shared" si="98"/>
        <v>0</v>
      </c>
    </row>
    <row r="4750" spans="1:1" x14ac:dyDescent="0.25">
      <c r="A4750" s="9">
        <f t="shared" si="98"/>
        <v>0</v>
      </c>
    </row>
    <row r="4751" spans="1:1" x14ac:dyDescent="0.25">
      <c r="A4751" s="9">
        <f t="shared" si="98"/>
        <v>0</v>
      </c>
    </row>
    <row r="4752" spans="1:1" x14ac:dyDescent="0.25">
      <c r="A4752" s="9">
        <f t="shared" si="98"/>
        <v>0</v>
      </c>
    </row>
    <row r="4753" spans="1:1" x14ac:dyDescent="0.25">
      <c r="A4753" s="9">
        <f t="shared" si="98"/>
        <v>0</v>
      </c>
    </row>
    <row r="4754" spans="1:1" x14ac:dyDescent="0.25">
      <c r="A4754" s="9">
        <f t="shared" si="98"/>
        <v>0</v>
      </c>
    </row>
    <row r="4755" spans="1:1" x14ac:dyDescent="0.25">
      <c r="A4755" s="9">
        <f t="shared" si="98"/>
        <v>0</v>
      </c>
    </row>
    <row r="4756" spans="1:1" x14ac:dyDescent="0.25">
      <c r="A4756" s="9">
        <f t="shared" si="98"/>
        <v>0</v>
      </c>
    </row>
    <row r="4757" spans="1:1" x14ac:dyDescent="0.25">
      <c r="A4757" s="9">
        <f t="shared" si="98"/>
        <v>0</v>
      </c>
    </row>
    <row r="4758" spans="1:1" x14ac:dyDescent="0.25">
      <c r="A4758" s="9">
        <f t="shared" si="98"/>
        <v>0</v>
      </c>
    </row>
    <row r="4759" spans="1:1" x14ac:dyDescent="0.25">
      <c r="A4759" s="9">
        <f t="shared" si="98"/>
        <v>0</v>
      </c>
    </row>
    <row r="4760" spans="1:1" x14ac:dyDescent="0.25">
      <c r="A4760" s="9">
        <f t="shared" si="98"/>
        <v>0</v>
      </c>
    </row>
    <row r="4761" spans="1:1" x14ac:dyDescent="0.25">
      <c r="A4761" s="9">
        <f t="shared" si="98"/>
        <v>0</v>
      </c>
    </row>
    <row r="4762" spans="1:1" x14ac:dyDescent="0.25">
      <c r="A4762" s="9">
        <f t="shared" si="98"/>
        <v>0</v>
      </c>
    </row>
    <row r="4763" spans="1:1" x14ac:dyDescent="0.25">
      <c r="A4763" s="9">
        <f t="shared" si="98"/>
        <v>0</v>
      </c>
    </row>
    <row r="4764" spans="1:1" x14ac:dyDescent="0.25">
      <c r="A4764" s="9">
        <f t="shared" si="98"/>
        <v>0</v>
      </c>
    </row>
    <row r="4765" spans="1:1" x14ac:dyDescent="0.25">
      <c r="A4765" s="9">
        <f t="shared" si="98"/>
        <v>0</v>
      </c>
    </row>
    <row r="4766" spans="1:1" x14ac:dyDescent="0.25">
      <c r="A4766" s="9">
        <f t="shared" si="98"/>
        <v>0</v>
      </c>
    </row>
    <row r="4767" spans="1:1" x14ac:dyDescent="0.25">
      <c r="A4767" s="9">
        <f t="shared" si="98"/>
        <v>0</v>
      </c>
    </row>
    <row r="4768" spans="1:1" x14ac:dyDescent="0.25">
      <c r="A4768" s="9">
        <f t="shared" si="98"/>
        <v>0</v>
      </c>
    </row>
    <row r="4769" spans="1:1" x14ac:dyDescent="0.25">
      <c r="A4769" s="9">
        <f t="shared" si="98"/>
        <v>0</v>
      </c>
    </row>
    <row r="4770" spans="1:1" x14ac:dyDescent="0.25">
      <c r="A4770" s="9">
        <f t="shared" si="98"/>
        <v>0</v>
      </c>
    </row>
    <row r="4771" spans="1:1" x14ac:dyDescent="0.25">
      <c r="A4771" s="9">
        <f t="shared" si="98"/>
        <v>0</v>
      </c>
    </row>
    <row r="4772" spans="1:1" x14ac:dyDescent="0.25">
      <c r="A4772" s="9">
        <f t="shared" si="98"/>
        <v>0</v>
      </c>
    </row>
    <row r="4773" spans="1:1" x14ac:dyDescent="0.25">
      <c r="A4773" s="9">
        <f t="shared" si="98"/>
        <v>0</v>
      </c>
    </row>
    <row r="4774" spans="1:1" x14ac:dyDescent="0.25">
      <c r="A4774" s="9">
        <f t="shared" si="98"/>
        <v>0</v>
      </c>
    </row>
    <row r="4775" spans="1:1" x14ac:dyDescent="0.25">
      <c r="A4775" s="9">
        <f t="shared" si="98"/>
        <v>0</v>
      </c>
    </row>
    <row r="4776" spans="1:1" x14ac:dyDescent="0.25">
      <c r="A4776" s="9">
        <f t="shared" si="98"/>
        <v>0</v>
      </c>
    </row>
    <row r="4777" spans="1:1" x14ac:dyDescent="0.25">
      <c r="A4777" s="9">
        <f t="shared" si="98"/>
        <v>0</v>
      </c>
    </row>
    <row r="4778" spans="1:1" x14ac:dyDescent="0.25">
      <c r="A4778" s="9">
        <f t="shared" si="98"/>
        <v>0</v>
      </c>
    </row>
    <row r="4779" spans="1:1" x14ac:dyDescent="0.25">
      <c r="A4779" s="9">
        <f t="shared" si="98"/>
        <v>0</v>
      </c>
    </row>
    <row r="4780" spans="1:1" x14ac:dyDescent="0.25">
      <c r="A4780" s="9">
        <f t="shared" si="98"/>
        <v>0</v>
      </c>
    </row>
    <row r="4781" spans="1:1" x14ac:dyDescent="0.25">
      <c r="A4781" s="9">
        <f t="shared" si="98"/>
        <v>0</v>
      </c>
    </row>
    <row r="4782" spans="1:1" x14ac:dyDescent="0.25">
      <c r="A4782" s="9">
        <f t="shared" si="98"/>
        <v>0</v>
      </c>
    </row>
    <row r="4783" spans="1:1" x14ac:dyDescent="0.25">
      <c r="A4783" s="9">
        <f t="shared" si="98"/>
        <v>0</v>
      </c>
    </row>
    <row r="4784" spans="1:1" x14ac:dyDescent="0.25">
      <c r="A4784" s="9">
        <f t="shared" si="98"/>
        <v>0</v>
      </c>
    </row>
    <row r="4785" spans="1:1" x14ac:dyDescent="0.25">
      <c r="A4785" s="9">
        <f t="shared" si="98"/>
        <v>0</v>
      </c>
    </row>
    <row r="4786" spans="1:1" x14ac:dyDescent="0.25">
      <c r="A4786" s="9">
        <f t="shared" si="98"/>
        <v>0</v>
      </c>
    </row>
    <row r="4787" spans="1:1" x14ac:dyDescent="0.25">
      <c r="A4787" s="9">
        <f t="shared" si="98"/>
        <v>0</v>
      </c>
    </row>
    <row r="4788" spans="1:1" x14ac:dyDescent="0.25">
      <c r="A4788" s="9">
        <f t="shared" si="98"/>
        <v>0</v>
      </c>
    </row>
    <row r="4789" spans="1:1" x14ac:dyDescent="0.25">
      <c r="A4789" s="9">
        <f t="shared" si="98"/>
        <v>0</v>
      </c>
    </row>
    <row r="4790" spans="1:1" x14ac:dyDescent="0.25">
      <c r="A4790" s="9">
        <f t="shared" si="98"/>
        <v>0</v>
      </c>
    </row>
    <row r="4791" spans="1:1" x14ac:dyDescent="0.25">
      <c r="A4791" s="9">
        <f t="shared" si="98"/>
        <v>0</v>
      </c>
    </row>
    <row r="4792" spans="1:1" x14ac:dyDescent="0.25">
      <c r="A4792" s="9">
        <f t="shared" si="98"/>
        <v>0</v>
      </c>
    </row>
    <row r="4793" spans="1:1" x14ac:dyDescent="0.25">
      <c r="A4793" s="9">
        <f t="shared" si="98"/>
        <v>0</v>
      </c>
    </row>
    <row r="4794" spans="1:1" x14ac:dyDescent="0.25">
      <c r="A4794" s="9">
        <f t="shared" si="98"/>
        <v>0</v>
      </c>
    </row>
    <row r="4795" spans="1:1" x14ac:dyDescent="0.25">
      <c r="A4795" s="9">
        <f t="shared" si="98"/>
        <v>0</v>
      </c>
    </row>
    <row r="4796" spans="1:1" x14ac:dyDescent="0.25">
      <c r="A4796" s="9">
        <f t="shared" si="98"/>
        <v>0</v>
      </c>
    </row>
    <row r="4797" spans="1:1" x14ac:dyDescent="0.25">
      <c r="A4797" s="9">
        <f t="shared" si="98"/>
        <v>0</v>
      </c>
    </row>
    <row r="4798" spans="1:1" x14ac:dyDescent="0.25">
      <c r="A4798" s="9">
        <f t="shared" si="98"/>
        <v>0</v>
      </c>
    </row>
    <row r="4799" spans="1:1" x14ac:dyDescent="0.25">
      <c r="A4799" s="9">
        <f t="shared" si="98"/>
        <v>0</v>
      </c>
    </row>
    <row r="4800" spans="1:1" x14ac:dyDescent="0.25">
      <c r="A4800" s="9">
        <f t="shared" si="98"/>
        <v>0</v>
      </c>
    </row>
    <row r="4801" spans="1:1" x14ac:dyDescent="0.25">
      <c r="A4801" s="9">
        <f t="shared" si="98"/>
        <v>0</v>
      </c>
    </row>
    <row r="4802" spans="1:1" x14ac:dyDescent="0.25">
      <c r="A4802" s="9">
        <f t="shared" si="98"/>
        <v>0</v>
      </c>
    </row>
    <row r="4803" spans="1:1" x14ac:dyDescent="0.25">
      <c r="A4803" s="9">
        <f t="shared" si="98"/>
        <v>0</v>
      </c>
    </row>
    <row r="4804" spans="1:1" x14ac:dyDescent="0.25">
      <c r="A4804" s="9">
        <f t="shared" si="98"/>
        <v>0</v>
      </c>
    </row>
    <row r="4805" spans="1:1" x14ac:dyDescent="0.25">
      <c r="A4805" s="9">
        <f t="shared" si="98"/>
        <v>0</v>
      </c>
    </row>
    <row r="4806" spans="1:1" x14ac:dyDescent="0.25">
      <c r="A4806" s="9">
        <f t="shared" si="98"/>
        <v>0</v>
      </c>
    </row>
    <row r="4807" spans="1:1" x14ac:dyDescent="0.25">
      <c r="A4807" s="9">
        <f t="shared" si="98"/>
        <v>0</v>
      </c>
    </row>
    <row r="4808" spans="1:1" x14ac:dyDescent="0.25">
      <c r="A4808" s="9">
        <f t="shared" si="98"/>
        <v>0</v>
      </c>
    </row>
    <row r="4809" spans="1:1" x14ac:dyDescent="0.25">
      <c r="A4809" s="9">
        <f t="shared" si="98"/>
        <v>0</v>
      </c>
    </row>
    <row r="4810" spans="1:1" x14ac:dyDescent="0.25">
      <c r="A4810" s="9">
        <f t="shared" si="98"/>
        <v>0</v>
      </c>
    </row>
    <row r="4811" spans="1:1" x14ac:dyDescent="0.25">
      <c r="A4811" s="9">
        <f t="shared" si="98"/>
        <v>0</v>
      </c>
    </row>
    <row r="4812" spans="1:1" x14ac:dyDescent="0.25">
      <c r="A4812" s="9">
        <f t="shared" ref="A4812:A4875" si="99">IF(G4812&gt;0,1,0)</f>
        <v>0</v>
      </c>
    </row>
    <row r="4813" spans="1:1" x14ac:dyDescent="0.25">
      <c r="A4813" s="9">
        <f t="shared" si="99"/>
        <v>0</v>
      </c>
    </row>
    <row r="4814" spans="1:1" x14ac:dyDescent="0.25">
      <c r="A4814" s="9">
        <f t="shared" si="99"/>
        <v>0</v>
      </c>
    </row>
    <row r="4815" spans="1:1" x14ac:dyDescent="0.25">
      <c r="A4815" s="9">
        <f t="shared" si="99"/>
        <v>0</v>
      </c>
    </row>
    <row r="4816" spans="1:1" x14ac:dyDescent="0.25">
      <c r="A4816" s="9">
        <f t="shared" si="99"/>
        <v>0</v>
      </c>
    </row>
    <row r="4817" spans="1:1" x14ac:dyDescent="0.25">
      <c r="A4817" s="9">
        <f t="shared" si="99"/>
        <v>0</v>
      </c>
    </row>
    <row r="4818" spans="1:1" x14ac:dyDescent="0.25">
      <c r="A4818" s="9">
        <f t="shared" si="99"/>
        <v>0</v>
      </c>
    </row>
    <row r="4819" spans="1:1" x14ac:dyDescent="0.25">
      <c r="A4819" s="9">
        <f t="shared" si="99"/>
        <v>0</v>
      </c>
    </row>
    <row r="4820" spans="1:1" x14ac:dyDescent="0.25">
      <c r="A4820" s="9">
        <f t="shared" si="99"/>
        <v>0</v>
      </c>
    </row>
    <row r="4821" spans="1:1" x14ac:dyDescent="0.25">
      <c r="A4821" s="9">
        <f t="shared" si="99"/>
        <v>0</v>
      </c>
    </row>
    <row r="4822" spans="1:1" x14ac:dyDescent="0.25">
      <c r="A4822" s="9">
        <f t="shared" si="99"/>
        <v>0</v>
      </c>
    </row>
    <row r="4823" spans="1:1" x14ac:dyDescent="0.25">
      <c r="A4823" s="9">
        <f t="shared" si="99"/>
        <v>0</v>
      </c>
    </row>
    <row r="4824" spans="1:1" x14ac:dyDescent="0.25">
      <c r="A4824" s="9">
        <f t="shared" si="99"/>
        <v>0</v>
      </c>
    </row>
    <row r="4825" spans="1:1" x14ac:dyDescent="0.25">
      <c r="A4825" s="9">
        <f t="shared" si="99"/>
        <v>0</v>
      </c>
    </row>
    <row r="4826" spans="1:1" x14ac:dyDescent="0.25">
      <c r="A4826" s="9">
        <f t="shared" si="99"/>
        <v>0</v>
      </c>
    </row>
    <row r="4827" spans="1:1" x14ac:dyDescent="0.25">
      <c r="A4827" s="9">
        <f t="shared" si="99"/>
        <v>0</v>
      </c>
    </row>
    <row r="4828" spans="1:1" x14ac:dyDescent="0.25">
      <c r="A4828" s="9">
        <f t="shared" si="99"/>
        <v>0</v>
      </c>
    </row>
    <row r="4829" spans="1:1" x14ac:dyDescent="0.25">
      <c r="A4829" s="9">
        <f t="shared" si="99"/>
        <v>0</v>
      </c>
    </row>
    <row r="4830" spans="1:1" x14ac:dyDescent="0.25">
      <c r="A4830" s="9">
        <f t="shared" si="99"/>
        <v>0</v>
      </c>
    </row>
    <row r="4831" spans="1:1" x14ac:dyDescent="0.25">
      <c r="A4831" s="9">
        <f t="shared" si="99"/>
        <v>0</v>
      </c>
    </row>
    <row r="4832" spans="1:1" x14ac:dyDescent="0.25">
      <c r="A4832" s="9">
        <f t="shared" si="99"/>
        <v>0</v>
      </c>
    </row>
    <row r="4833" spans="1:1" x14ac:dyDescent="0.25">
      <c r="A4833" s="9">
        <f t="shared" si="99"/>
        <v>0</v>
      </c>
    </row>
    <row r="4834" spans="1:1" x14ac:dyDescent="0.25">
      <c r="A4834" s="9">
        <f t="shared" si="99"/>
        <v>0</v>
      </c>
    </row>
    <row r="4835" spans="1:1" x14ac:dyDescent="0.25">
      <c r="A4835" s="9">
        <f t="shared" si="99"/>
        <v>0</v>
      </c>
    </row>
    <row r="4836" spans="1:1" x14ac:dyDescent="0.25">
      <c r="A4836" s="9">
        <f t="shared" si="99"/>
        <v>0</v>
      </c>
    </row>
    <row r="4837" spans="1:1" x14ac:dyDescent="0.25">
      <c r="A4837" s="9">
        <f t="shared" si="99"/>
        <v>0</v>
      </c>
    </row>
    <row r="4838" spans="1:1" x14ac:dyDescent="0.25">
      <c r="A4838" s="9">
        <f t="shared" si="99"/>
        <v>0</v>
      </c>
    </row>
    <row r="4839" spans="1:1" x14ac:dyDescent="0.25">
      <c r="A4839" s="9">
        <f t="shared" si="99"/>
        <v>0</v>
      </c>
    </row>
    <row r="4840" spans="1:1" x14ac:dyDescent="0.25">
      <c r="A4840" s="9">
        <f t="shared" si="99"/>
        <v>0</v>
      </c>
    </row>
    <row r="4841" spans="1:1" x14ac:dyDescent="0.25">
      <c r="A4841" s="9">
        <f t="shared" si="99"/>
        <v>0</v>
      </c>
    </row>
    <row r="4842" spans="1:1" x14ac:dyDescent="0.25">
      <c r="A4842" s="9">
        <f t="shared" si="99"/>
        <v>0</v>
      </c>
    </row>
    <row r="4843" spans="1:1" x14ac:dyDescent="0.25">
      <c r="A4843" s="9">
        <f t="shared" si="99"/>
        <v>0</v>
      </c>
    </row>
    <row r="4844" spans="1:1" x14ac:dyDescent="0.25">
      <c r="A4844" s="9">
        <f t="shared" si="99"/>
        <v>0</v>
      </c>
    </row>
    <row r="4845" spans="1:1" x14ac:dyDescent="0.25">
      <c r="A4845" s="9">
        <f t="shared" si="99"/>
        <v>0</v>
      </c>
    </row>
    <row r="4846" spans="1:1" x14ac:dyDescent="0.25">
      <c r="A4846" s="9">
        <f t="shared" si="99"/>
        <v>0</v>
      </c>
    </row>
    <row r="4847" spans="1:1" x14ac:dyDescent="0.25">
      <c r="A4847" s="9">
        <f t="shared" si="99"/>
        <v>0</v>
      </c>
    </row>
    <row r="4848" spans="1:1" x14ac:dyDescent="0.25">
      <c r="A4848" s="9">
        <f t="shared" si="99"/>
        <v>0</v>
      </c>
    </row>
    <row r="4849" spans="1:1" x14ac:dyDescent="0.25">
      <c r="A4849" s="9">
        <f t="shared" si="99"/>
        <v>0</v>
      </c>
    </row>
    <row r="4850" spans="1:1" x14ac:dyDescent="0.25">
      <c r="A4850" s="9">
        <f t="shared" si="99"/>
        <v>0</v>
      </c>
    </row>
    <row r="4851" spans="1:1" x14ac:dyDescent="0.25">
      <c r="A4851" s="9">
        <f t="shared" si="99"/>
        <v>0</v>
      </c>
    </row>
    <row r="4852" spans="1:1" x14ac:dyDescent="0.25">
      <c r="A4852" s="9">
        <f t="shared" si="99"/>
        <v>0</v>
      </c>
    </row>
    <row r="4853" spans="1:1" x14ac:dyDescent="0.25">
      <c r="A4853" s="9">
        <f t="shared" si="99"/>
        <v>0</v>
      </c>
    </row>
    <row r="4854" spans="1:1" x14ac:dyDescent="0.25">
      <c r="A4854" s="9">
        <f t="shared" si="99"/>
        <v>0</v>
      </c>
    </row>
    <row r="4855" spans="1:1" x14ac:dyDescent="0.25">
      <c r="A4855" s="9">
        <f t="shared" si="99"/>
        <v>0</v>
      </c>
    </row>
    <row r="4856" spans="1:1" x14ac:dyDescent="0.25">
      <c r="A4856" s="9">
        <f t="shared" si="99"/>
        <v>0</v>
      </c>
    </row>
    <row r="4857" spans="1:1" x14ac:dyDescent="0.25">
      <c r="A4857" s="9">
        <f t="shared" si="99"/>
        <v>0</v>
      </c>
    </row>
    <row r="4858" spans="1:1" x14ac:dyDescent="0.25">
      <c r="A4858" s="9">
        <f t="shared" si="99"/>
        <v>0</v>
      </c>
    </row>
    <row r="4859" spans="1:1" x14ac:dyDescent="0.25">
      <c r="A4859" s="9">
        <f t="shared" si="99"/>
        <v>0</v>
      </c>
    </row>
    <row r="4860" spans="1:1" x14ac:dyDescent="0.25">
      <c r="A4860" s="9">
        <f t="shared" si="99"/>
        <v>0</v>
      </c>
    </row>
    <row r="4861" spans="1:1" x14ac:dyDescent="0.25">
      <c r="A4861" s="9">
        <f t="shared" si="99"/>
        <v>0</v>
      </c>
    </row>
    <row r="4862" spans="1:1" x14ac:dyDescent="0.25">
      <c r="A4862" s="9">
        <f t="shared" si="99"/>
        <v>0</v>
      </c>
    </row>
    <row r="4863" spans="1:1" x14ac:dyDescent="0.25">
      <c r="A4863" s="9">
        <f t="shared" si="99"/>
        <v>0</v>
      </c>
    </row>
    <row r="4864" spans="1:1" x14ac:dyDescent="0.25">
      <c r="A4864" s="9">
        <f t="shared" si="99"/>
        <v>0</v>
      </c>
    </row>
    <row r="4865" spans="1:1" x14ac:dyDescent="0.25">
      <c r="A4865" s="9">
        <f t="shared" si="99"/>
        <v>0</v>
      </c>
    </row>
    <row r="4866" spans="1:1" x14ac:dyDescent="0.25">
      <c r="A4866" s="9">
        <f t="shared" si="99"/>
        <v>0</v>
      </c>
    </row>
    <row r="4867" spans="1:1" x14ac:dyDescent="0.25">
      <c r="A4867" s="9">
        <f t="shared" si="99"/>
        <v>0</v>
      </c>
    </row>
    <row r="4868" spans="1:1" x14ac:dyDescent="0.25">
      <c r="A4868" s="9">
        <f t="shared" si="99"/>
        <v>0</v>
      </c>
    </row>
    <row r="4869" spans="1:1" x14ac:dyDescent="0.25">
      <c r="A4869" s="9">
        <f t="shared" si="99"/>
        <v>0</v>
      </c>
    </row>
    <row r="4870" spans="1:1" x14ac:dyDescent="0.25">
      <c r="A4870" s="9">
        <f t="shared" si="99"/>
        <v>0</v>
      </c>
    </row>
    <row r="4871" spans="1:1" x14ac:dyDescent="0.25">
      <c r="A4871" s="9">
        <f t="shared" si="99"/>
        <v>0</v>
      </c>
    </row>
    <row r="4872" spans="1:1" x14ac:dyDescent="0.25">
      <c r="A4872" s="9">
        <f t="shared" si="99"/>
        <v>0</v>
      </c>
    </row>
    <row r="4873" spans="1:1" x14ac:dyDescent="0.25">
      <c r="A4873" s="9">
        <f t="shared" si="99"/>
        <v>0</v>
      </c>
    </row>
    <row r="4874" spans="1:1" x14ac:dyDescent="0.25">
      <c r="A4874" s="9">
        <f t="shared" si="99"/>
        <v>0</v>
      </c>
    </row>
    <row r="4875" spans="1:1" x14ac:dyDescent="0.25">
      <c r="A4875" s="9">
        <f t="shared" si="99"/>
        <v>0</v>
      </c>
    </row>
    <row r="4876" spans="1:1" x14ac:dyDescent="0.25">
      <c r="A4876" s="9">
        <f t="shared" ref="A4876:A4939" si="100">IF(G4876&gt;0,1,0)</f>
        <v>0</v>
      </c>
    </row>
    <row r="4877" spans="1:1" x14ac:dyDescent="0.25">
      <c r="A4877" s="9">
        <f t="shared" si="100"/>
        <v>0</v>
      </c>
    </row>
    <row r="4878" spans="1:1" x14ac:dyDescent="0.25">
      <c r="A4878" s="9">
        <f t="shared" si="100"/>
        <v>0</v>
      </c>
    </row>
    <row r="4879" spans="1:1" x14ac:dyDescent="0.25">
      <c r="A4879" s="9">
        <f t="shared" si="100"/>
        <v>0</v>
      </c>
    </row>
    <row r="4880" spans="1:1" x14ac:dyDescent="0.25">
      <c r="A4880" s="9">
        <f t="shared" si="100"/>
        <v>0</v>
      </c>
    </row>
    <row r="4881" spans="1:1" x14ac:dyDescent="0.25">
      <c r="A4881" s="9">
        <f t="shared" si="100"/>
        <v>0</v>
      </c>
    </row>
    <row r="4882" spans="1:1" x14ac:dyDescent="0.25">
      <c r="A4882" s="9">
        <f t="shared" si="100"/>
        <v>0</v>
      </c>
    </row>
    <row r="4883" spans="1:1" x14ac:dyDescent="0.25">
      <c r="A4883" s="9">
        <f t="shared" si="100"/>
        <v>0</v>
      </c>
    </row>
    <row r="4884" spans="1:1" x14ac:dyDescent="0.25">
      <c r="A4884" s="9">
        <f t="shared" si="100"/>
        <v>0</v>
      </c>
    </row>
    <row r="4885" spans="1:1" x14ac:dyDescent="0.25">
      <c r="A4885" s="9">
        <f t="shared" si="100"/>
        <v>0</v>
      </c>
    </row>
    <row r="4886" spans="1:1" x14ac:dyDescent="0.25">
      <c r="A4886" s="9">
        <f t="shared" si="100"/>
        <v>0</v>
      </c>
    </row>
    <row r="4887" spans="1:1" x14ac:dyDescent="0.25">
      <c r="A4887" s="9">
        <f t="shared" si="100"/>
        <v>0</v>
      </c>
    </row>
    <row r="4888" spans="1:1" x14ac:dyDescent="0.25">
      <c r="A4888" s="9">
        <f t="shared" si="100"/>
        <v>0</v>
      </c>
    </row>
    <row r="4889" spans="1:1" x14ac:dyDescent="0.25">
      <c r="A4889" s="9">
        <f t="shared" si="100"/>
        <v>0</v>
      </c>
    </row>
    <row r="4890" spans="1:1" x14ac:dyDescent="0.25">
      <c r="A4890" s="9">
        <f t="shared" si="100"/>
        <v>0</v>
      </c>
    </row>
    <row r="4891" spans="1:1" x14ac:dyDescent="0.25">
      <c r="A4891" s="9">
        <f t="shared" si="100"/>
        <v>0</v>
      </c>
    </row>
    <row r="4892" spans="1:1" x14ac:dyDescent="0.25">
      <c r="A4892" s="9">
        <f t="shared" si="100"/>
        <v>0</v>
      </c>
    </row>
    <row r="4893" spans="1:1" x14ac:dyDescent="0.25">
      <c r="A4893" s="9">
        <f t="shared" si="100"/>
        <v>0</v>
      </c>
    </row>
    <row r="4894" spans="1:1" x14ac:dyDescent="0.25">
      <c r="A4894" s="9">
        <f t="shared" si="100"/>
        <v>0</v>
      </c>
    </row>
    <row r="4895" spans="1:1" x14ac:dyDescent="0.25">
      <c r="A4895" s="9">
        <f t="shared" si="100"/>
        <v>0</v>
      </c>
    </row>
    <row r="4896" spans="1:1" x14ac:dyDescent="0.25">
      <c r="A4896" s="9">
        <f t="shared" si="100"/>
        <v>0</v>
      </c>
    </row>
    <row r="4897" spans="1:1" x14ac:dyDescent="0.25">
      <c r="A4897" s="9">
        <f t="shared" si="100"/>
        <v>0</v>
      </c>
    </row>
    <row r="4898" spans="1:1" x14ac:dyDescent="0.25">
      <c r="A4898" s="9">
        <f t="shared" si="100"/>
        <v>0</v>
      </c>
    </row>
    <row r="4899" spans="1:1" x14ac:dyDescent="0.25">
      <c r="A4899" s="9">
        <f t="shared" si="100"/>
        <v>0</v>
      </c>
    </row>
    <row r="4900" spans="1:1" x14ac:dyDescent="0.25">
      <c r="A4900" s="9">
        <f t="shared" si="100"/>
        <v>0</v>
      </c>
    </row>
    <row r="4901" spans="1:1" x14ac:dyDescent="0.25">
      <c r="A4901" s="9">
        <f t="shared" si="100"/>
        <v>0</v>
      </c>
    </row>
    <row r="4902" spans="1:1" x14ac:dyDescent="0.25">
      <c r="A4902" s="9">
        <f t="shared" si="100"/>
        <v>0</v>
      </c>
    </row>
    <row r="4903" spans="1:1" x14ac:dyDescent="0.25">
      <c r="A4903" s="9">
        <f t="shared" si="100"/>
        <v>0</v>
      </c>
    </row>
    <row r="4904" spans="1:1" x14ac:dyDescent="0.25">
      <c r="A4904" s="9">
        <f t="shared" si="100"/>
        <v>0</v>
      </c>
    </row>
    <row r="4905" spans="1:1" x14ac:dyDescent="0.25">
      <c r="A4905" s="9">
        <f t="shared" si="100"/>
        <v>0</v>
      </c>
    </row>
    <row r="4906" spans="1:1" x14ac:dyDescent="0.25">
      <c r="A4906" s="9">
        <f t="shared" si="100"/>
        <v>0</v>
      </c>
    </row>
    <row r="4907" spans="1:1" x14ac:dyDescent="0.25">
      <c r="A4907" s="9">
        <f t="shared" si="100"/>
        <v>0</v>
      </c>
    </row>
    <row r="4908" spans="1:1" x14ac:dyDescent="0.25">
      <c r="A4908" s="9">
        <f t="shared" si="100"/>
        <v>0</v>
      </c>
    </row>
    <row r="4909" spans="1:1" x14ac:dyDescent="0.25">
      <c r="A4909" s="9">
        <f t="shared" si="100"/>
        <v>0</v>
      </c>
    </row>
    <row r="4910" spans="1:1" x14ac:dyDescent="0.25">
      <c r="A4910" s="9">
        <f t="shared" si="100"/>
        <v>0</v>
      </c>
    </row>
    <row r="4911" spans="1:1" x14ac:dyDescent="0.25">
      <c r="A4911" s="9">
        <f t="shared" si="100"/>
        <v>0</v>
      </c>
    </row>
    <row r="4912" spans="1:1" x14ac:dyDescent="0.25">
      <c r="A4912" s="9">
        <f t="shared" si="100"/>
        <v>0</v>
      </c>
    </row>
    <row r="4913" spans="1:1" x14ac:dyDescent="0.25">
      <c r="A4913" s="9">
        <f t="shared" si="100"/>
        <v>0</v>
      </c>
    </row>
    <row r="4914" spans="1:1" x14ac:dyDescent="0.25">
      <c r="A4914" s="9">
        <f t="shared" si="100"/>
        <v>0</v>
      </c>
    </row>
    <row r="4915" spans="1:1" x14ac:dyDescent="0.25">
      <c r="A4915" s="9">
        <f t="shared" si="100"/>
        <v>0</v>
      </c>
    </row>
    <row r="4916" spans="1:1" x14ac:dyDescent="0.25">
      <c r="A4916" s="9">
        <f t="shared" si="100"/>
        <v>0</v>
      </c>
    </row>
    <row r="4917" spans="1:1" x14ac:dyDescent="0.25">
      <c r="A4917" s="9">
        <f t="shared" si="100"/>
        <v>0</v>
      </c>
    </row>
    <row r="4918" spans="1:1" x14ac:dyDescent="0.25">
      <c r="A4918" s="9">
        <f t="shared" si="100"/>
        <v>0</v>
      </c>
    </row>
    <row r="4919" spans="1:1" x14ac:dyDescent="0.25">
      <c r="A4919" s="9">
        <f t="shared" si="100"/>
        <v>0</v>
      </c>
    </row>
    <row r="4920" spans="1:1" x14ac:dyDescent="0.25">
      <c r="A4920" s="9">
        <f t="shared" si="100"/>
        <v>0</v>
      </c>
    </row>
    <row r="4921" spans="1:1" x14ac:dyDescent="0.25">
      <c r="A4921" s="9">
        <f t="shared" si="100"/>
        <v>0</v>
      </c>
    </row>
    <row r="4922" spans="1:1" x14ac:dyDescent="0.25">
      <c r="A4922" s="9">
        <f t="shared" si="100"/>
        <v>0</v>
      </c>
    </row>
    <row r="4923" spans="1:1" x14ac:dyDescent="0.25">
      <c r="A4923" s="9">
        <f t="shared" si="100"/>
        <v>0</v>
      </c>
    </row>
    <row r="4924" spans="1:1" x14ac:dyDescent="0.25">
      <c r="A4924" s="9">
        <f t="shared" si="100"/>
        <v>0</v>
      </c>
    </row>
    <row r="4925" spans="1:1" x14ac:dyDescent="0.25">
      <c r="A4925" s="9">
        <f t="shared" si="100"/>
        <v>0</v>
      </c>
    </row>
    <row r="4926" spans="1:1" x14ac:dyDescent="0.25">
      <c r="A4926" s="9">
        <f t="shared" si="100"/>
        <v>0</v>
      </c>
    </row>
    <row r="4927" spans="1:1" x14ac:dyDescent="0.25">
      <c r="A4927" s="9">
        <f t="shared" si="100"/>
        <v>0</v>
      </c>
    </row>
    <row r="4928" spans="1:1" x14ac:dyDescent="0.25">
      <c r="A4928" s="9">
        <f t="shared" si="100"/>
        <v>0</v>
      </c>
    </row>
    <row r="4929" spans="1:1" x14ac:dyDescent="0.25">
      <c r="A4929" s="9">
        <f t="shared" si="100"/>
        <v>0</v>
      </c>
    </row>
    <row r="4930" spans="1:1" x14ac:dyDescent="0.25">
      <c r="A4930" s="9">
        <f t="shared" si="100"/>
        <v>0</v>
      </c>
    </row>
    <row r="4931" spans="1:1" x14ac:dyDescent="0.25">
      <c r="A4931" s="9">
        <f t="shared" si="100"/>
        <v>0</v>
      </c>
    </row>
    <row r="4932" spans="1:1" x14ac:dyDescent="0.25">
      <c r="A4932" s="9">
        <f t="shared" si="100"/>
        <v>0</v>
      </c>
    </row>
    <row r="4933" spans="1:1" x14ac:dyDescent="0.25">
      <c r="A4933" s="9">
        <f t="shared" si="100"/>
        <v>0</v>
      </c>
    </row>
    <row r="4934" spans="1:1" x14ac:dyDescent="0.25">
      <c r="A4934" s="9">
        <f t="shared" si="100"/>
        <v>0</v>
      </c>
    </row>
    <row r="4935" spans="1:1" x14ac:dyDescent="0.25">
      <c r="A4935" s="9">
        <f t="shared" si="100"/>
        <v>0</v>
      </c>
    </row>
    <row r="4936" spans="1:1" x14ac:dyDescent="0.25">
      <c r="A4936" s="9">
        <f t="shared" si="100"/>
        <v>0</v>
      </c>
    </row>
    <row r="4937" spans="1:1" x14ac:dyDescent="0.25">
      <c r="A4937" s="9">
        <f t="shared" si="100"/>
        <v>0</v>
      </c>
    </row>
    <row r="4938" spans="1:1" x14ac:dyDescent="0.25">
      <c r="A4938" s="9">
        <f t="shared" si="100"/>
        <v>0</v>
      </c>
    </row>
    <row r="4939" spans="1:1" x14ac:dyDescent="0.25">
      <c r="A4939" s="9">
        <f t="shared" si="100"/>
        <v>0</v>
      </c>
    </row>
    <row r="4940" spans="1:1" x14ac:dyDescent="0.25">
      <c r="A4940" s="9">
        <f t="shared" ref="A4940:A5000" si="101">IF(G4940&gt;0,1,0)</f>
        <v>0</v>
      </c>
    </row>
    <row r="4941" spans="1:1" x14ac:dyDescent="0.25">
      <c r="A4941" s="9">
        <f t="shared" si="101"/>
        <v>0</v>
      </c>
    </row>
    <row r="4942" spans="1:1" x14ac:dyDescent="0.25">
      <c r="A4942" s="9">
        <f t="shared" si="101"/>
        <v>0</v>
      </c>
    </row>
    <row r="4943" spans="1:1" x14ac:dyDescent="0.25">
      <c r="A4943" s="9">
        <f t="shared" si="101"/>
        <v>0</v>
      </c>
    </row>
    <row r="4944" spans="1:1" x14ac:dyDescent="0.25">
      <c r="A4944" s="9">
        <f t="shared" si="101"/>
        <v>0</v>
      </c>
    </row>
    <row r="4945" spans="1:1" x14ac:dyDescent="0.25">
      <c r="A4945" s="9">
        <f t="shared" si="101"/>
        <v>0</v>
      </c>
    </row>
    <row r="4946" spans="1:1" x14ac:dyDescent="0.25">
      <c r="A4946" s="9">
        <f t="shared" si="101"/>
        <v>0</v>
      </c>
    </row>
    <row r="4947" spans="1:1" x14ac:dyDescent="0.25">
      <c r="A4947" s="9">
        <f t="shared" si="101"/>
        <v>0</v>
      </c>
    </row>
    <row r="4948" spans="1:1" x14ac:dyDescent="0.25">
      <c r="A4948" s="9">
        <f t="shared" si="101"/>
        <v>0</v>
      </c>
    </row>
    <row r="4949" spans="1:1" x14ac:dyDescent="0.25">
      <c r="A4949" s="9">
        <f t="shared" si="101"/>
        <v>0</v>
      </c>
    </row>
    <row r="4950" spans="1:1" x14ac:dyDescent="0.25">
      <c r="A4950" s="9">
        <f t="shared" si="101"/>
        <v>0</v>
      </c>
    </row>
    <row r="4951" spans="1:1" x14ac:dyDescent="0.25">
      <c r="A4951" s="9">
        <f t="shared" si="101"/>
        <v>0</v>
      </c>
    </row>
    <row r="4952" spans="1:1" x14ac:dyDescent="0.25">
      <c r="A4952" s="9">
        <f t="shared" si="101"/>
        <v>0</v>
      </c>
    </row>
    <row r="4953" spans="1:1" x14ac:dyDescent="0.25">
      <c r="A4953" s="9">
        <f t="shared" si="101"/>
        <v>0</v>
      </c>
    </row>
    <row r="4954" spans="1:1" x14ac:dyDescent="0.25">
      <c r="A4954" s="9">
        <f t="shared" si="101"/>
        <v>0</v>
      </c>
    </row>
    <row r="4955" spans="1:1" x14ac:dyDescent="0.25">
      <c r="A4955" s="9">
        <f t="shared" si="101"/>
        <v>0</v>
      </c>
    </row>
    <row r="4956" spans="1:1" x14ac:dyDescent="0.25">
      <c r="A4956" s="9">
        <f t="shared" si="101"/>
        <v>0</v>
      </c>
    </row>
    <row r="4957" spans="1:1" x14ac:dyDescent="0.25">
      <c r="A4957" s="9">
        <f t="shared" si="101"/>
        <v>0</v>
      </c>
    </row>
    <row r="4958" spans="1:1" x14ac:dyDescent="0.25">
      <c r="A4958" s="9">
        <f t="shared" si="101"/>
        <v>0</v>
      </c>
    </row>
    <row r="4959" spans="1:1" x14ac:dyDescent="0.25">
      <c r="A4959" s="9">
        <f t="shared" si="101"/>
        <v>0</v>
      </c>
    </row>
    <row r="4960" spans="1:1" x14ac:dyDescent="0.25">
      <c r="A4960" s="9">
        <f t="shared" si="101"/>
        <v>0</v>
      </c>
    </row>
    <row r="4961" spans="1:1" x14ac:dyDescent="0.25">
      <c r="A4961" s="9">
        <f t="shared" si="101"/>
        <v>0</v>
      </c>
    </row>
    <row r="4962" spans="1:1" x14ac:dyDescent="0.25">
      <c r="A4962" s="9">
        <f t="shared" si="101"/>
        <v>0</v>
      </c>
    </row>
    <row r="4963" spans="1:1" x14ac:dyDescent="0.25">
      <c r="A4963" s="9">
        <f t="shared" si="101"/>
        <v>0</v>
      </c>
    </row>
    <row r="4964" spans="1:1" x14ac:dyDescent="0.25">
      <c r="A4964" s="9">
        <f t="shared" si="101"/>
        <v>0</v>
      </c>
    </row>
    <row r="4965" spans="1:1" x14ac:dyDescent="0.25">
      <c r="A4965" s="9">
        <f t="shared" si="101"/>
        <v>0</v>
      </c>
    </row>
    <row r="4966" spans="1:1" x14ac:dyDescent="0.25">
      <c r="A4966" s="9">
        <f t="shared" si="101"/>
        <v>0</v>
      </c>
    </row>
    <row r="4967" spans="1:1" x14ac:dyDescent="0.25">
      <c r="A4967" s="9">
        <f t="shared" si="101"/>
        <v>0</v>
      </c>
    </row>
    <row r="4968" spans="1:1" x14ac:dyDescent="0.25">
      <c r="A4968" s="9">
        <f t="shared" si="101"/>
        <v>0</v>
      </c>
    </row>
    <row r="4969" spans="1:1" x14ac:dyDescent="0.25">
      <c r="A4969" s="9">
        <f t="shared" si="101"/>
        <v>0</v>
      </c>
    </row>
    <row r="4970" spans="1:1" x14ac:dyDescent="0.25">
      <c r="A4970" s="9">
        <f t="shared" si="101"/>
        <v>0</v>
      </c>
    </row>
    <row r="4971" spans="1:1" x14ac:dyDescent="0.25">
      <c r="A4971" s="9">
        <f t="shared" si="101"/>
        <v>0</v>
      </c>
    </row>
    <row r="4972" spans="1:1" x14ac:dyDescent="0.25">
      <c r="A4972" s="9">
        <f t="shared" si="101"/>
        <v>0</v>
      </c>
    </row>
    <row r="4973" spans="1:1" x14ac:dyDescent="0.25">
      <c r="A4973" s="9">
        <f t="shared" si="101"/>
        <v>0</v>
      </c>
    </row>
    <row r="4974" spans="1:1" x14ac:dyDescent="0.25">
      <c r="A4974" s="9">
        <f t="shared" si="101"/>
        <v>0</v>
      </c>
    </row>
    <row r="4975" spans="1:1" x14ac:dyDescent="0.25">
      <c r="A4975" s="9">
        <f t="shared" si="101"/>
        <v>0</v>
      </c>
    </row>
    <row r="4976" spans="1:1" x14ac:dyDescent="0.25">
      <c r="A4976" s="9">
        <f t="shared" si="101"/>
        <v>0</v>
      </c>
    </row>
    <row r="4977" spans="1:1" x14ac:dyDescent="0.25">
      <c r="A4977" s="9">
        <f t="shared" si="101"/>
        <v>0</v>
      </c>
    </row>
    <row r="4978" spans="1:1" x14ac:dyDescent="0.25">
      <c r="A4978" s="9">
        <f t="shared" si="101"/>
        <v>0</v>
      </c>
    </row>
    <row r="4979" spans="1:1" x14ac:dyDescent="0.25">
      <c r="A4979" s="9">
        <f t="shared" si="101"/>
        <v>0</v>
      </c>
    </row>
    <row r="4980" spans="1:1" x14ac:dyDescent="0.25">
      <c r="A4980" s="9">
        <f t="shared" si="101"/>
        <v>0</v>
      </c>
    </row>
    <row r="4981" spans="1:1" x14ac:dyDescent="0.25">
      <c r="A4981" s="9">
        <f t="shared" si="101"/>
        <v>0</v>
      </c>
    </row>
    <row r="4982" spans="1:1" x14ac:dyDescent="0.25">
      <c r="A4982" s="9">
        <f t="shared" si="101"/>
        <v>0</v>
      </c>
    </row>
    <row r="4983" spans="1:1" x14ac:dyDescent="0.25">
      <c r="A4983" s="9">
        <f t="shared" si="101"/>
        <v>0</v>
      </c>
    </row>
    <row r="4984" spans="1:1" x14ac:dyDescent="0.25">
      <c r="A4984" s="9">
        <f t="shared" si="101"/>
        <v>0</v>
      </c>
    </row>
    <row r="4985" spans="1:1" x14ac:dyDescent="0.25">
      <c r="A4985" s="9">
        <f t="shared" si="101"/>
        <v>0</v>
      </c>
    </row>
    <row r="4986" spans="1:1" x14ac:dyDescent="0.25">
      <c r="A4986" s="9">
        <f t="shared" si="101"/>
        <v>0</v>
      </c>
    </row>
    <row r="4987" spans="1:1" x14ac:dyDescent="0.25">
      <c r="A4987" s="9">
        <f t="shared" si="101"/>
        <v>0</v>
      </c>
    </row>
    <row r="4988" spans="1:1" x14ac:dyDescent="0.25">
      <c r="A4988" s="9">
        <f t="shared" si="101"/>
        <v>0</v>
      </c>
    </row>
    <row r="4989" spans="1:1" x14ac:dyDescent="0.25">
      <c r="A4989" s="9">
        <f t="shared" si="101"/>
        <v>0</v>
      </c>
    </row>
    <row r="4990" spans="1:1" x14ac:dyDescent="0.25">
      <c r="A4990" s="9">
        <f t="shared" si="101"/>
        <v>0</v>
      </c>
    </row>
    <row r="4991" spans="1:1" x14ac:dyDescent="0.25">
      <c r="A4991" s="9">
        <f t="shared" si="101"/>
        <v>0</v>
      </c>
    </row>
    <row r="4992" spans="1:1" x14ac:dyDescent="0.25">
      <c r="A4992" s="9">
        <f t="shared" si="101"/>
        <v>0</v>
      </c>
    </row>
    <row r="4993" spans="1:1" x14ac:dyDescent="0.25">
      <c r="A4993" s="9">
        <f t="shared" si="101"/>
        <v>0</v>
      </c>
    </row>
    <row r="4994" spans="1:1" x14ac:dyDescent="0.25">
      <c r="A4994" s="9">
        <f t="shared" si="101"/>
        <v>0</v>
      </c>
    </row>
    <row r="4995" spans="1:1" x14ac:dyDescent="0.25">
      <c r="A4995" s="9">
        <f t="shared" si="101"/>
        <v>0</v>
      </c>
    </row>
    <row r="4996" spans="1:1" x14ac:dyDescent="0.25">
      <c r="A4996" s="9">
        <f t="shared" si="101"/>
        <v>0</v>
      </c>
    </row>
    <row r="4997" spans="1:1" x14ac:dyDescent="0.25">
      <c r="A4997" s="9">
        <f t="shared" si="101"/>
        <v>0</v>
      </c>
    </row>
    <row r="4998" spans="1:1" x14ac:dyDescent="0.25">
      <c r="A4998" s="9">
        <f t="shared" si="101"/>
        <v>0</v>
      </c>
    </row>
    <row r="4999" spans="1:1" x14ac:dyDescent="0.25">
      <c r="A4999" s="9">
        <f t="shared" si="101"/>
        <v>0</v>
      </c>
    </row>
    <row r="5000" spans="1:1" x14ac:dyDescent="0.25">
      <c r="A5000" s="9">
        <f t="shared" si="101"/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РасчетДокументация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Администратор</dc:creator>
  <cp:lastModifiedBy>User174</cp:lastModifiedBy>
  <dcterms:created xsi:type="dcterms:W3CDTF">2015-03-26T08:55:10Z</dcterms:created>
  <dcterms:modified xsi:type="dcterms:W3CDTF">2026-09-28T07:11:03Z</dcterms:modified>
</cp:coreProperties>
</file>